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FNB\TFM\01TRABAJO\03CFD\Simulaciones\"/>
    </mc:Choice>
  </mc:AlternateContent>
  <xr:revisionPtr revIDLastSave="0" documentId="13_ncr:1_{FBE1DB23-C2B7-49FC-84F1-AEE6026F8628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Training" sheetId="1" r:id="rId1"/>
    <sheet name="Validation" sheetId="2" r:id="rId2"/>
  </sheets>
  <definedNames>
    <definedName name="_xlnm._FilterDatabase" localSheetId="0" hidden="1">Training!$A$1:$R$2303</definedName>
    <definedName name="_xlnm._FilterDatabase" localSheetId="1" hidden="1">Validation!$A$1:$R$576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03" i="1" l="1"/>
  <c r="R2302" i="1"/>
  <c r="R2301" i="1"/>
  <c r="R2300" i="1"/>
  <c r="R2299" i="1"/>
  <c r="R2298" i="1"/>
  <c r="R2297" i="1"/>
  <c r="R1421" i="1"/>
  <c r="R2295" i="1"/>
  <c r="R2294" i="1"/>
  <c r="R2293" i="1"/>
  <c r="R2292" i="1"/>
  <c r="R126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1365" i="1"/>
  <c r="R2275" i="1"/>
  <c r="R2274" i="1"/>
  <c r="R2273" i="1"/>
  <c r="R2272" i="1"/>
  <c r="R2271" i="1"/>
  <c r="R2270" i="1"/>
  <c r="R2269" i="1"/>
  <c r="R2268" i="1"/>
  <c r="R56" i="1"/>
  <c r="R2266" i="1"/>
  <c r="R2265" i="1"/>
  <c r="R2264" i="1"/>
  <c r="R2263" i="1"/>
  <c r="R2262" i="1"/>
  <c r="R2261" i="1"/>
  <c r="R2260" i="1"/>
  <c r="R2259" i="1"/>
  <c r="R2258" i="1"/>
  <c r="R2257" i="1"/>
  <c r="R1588" i="1"/>
  <c r="R2255" i="1"/>
  <c r="R2254" i="1"/>
  <c r="R499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1390" i="1"/>
  <c r="R2210" i="1"/>
  <c r="R1857" i="1"/>
  <c r="R2208" i="1"/>
  <c r="R2207" i="1"/>
  <c r="R2206" i="1"/>
  <c r="R2205" i="1"/>
  <c r="R2204" i="1"/>
  <c r="R2203" i="1"/>
  <c r="R1171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629" i="1"/>
  <c r="R1364" i="1"/>
  <c r="R822" i="1"/>
  <c r="R2186" i="1"/>
  <c r="R2185" i="1"/>
  <c r="R2184" i="1"/>
  <c r="R2183" i="1"/>
  <c r="R2182" i="1"/>
  <c r="R2181" i="1"/>
  <c r="R2180" i="1"/>
  <c r="R2179" i="1"/>
  <c r="R2178" i="1"/>
  <c r="R1840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748" i="1"/>
  <c r="R2162" i="1"/>
  <c r="R2161" i="1"/>
  <c r="R2160" i="1"/>
  <c r="R2159" i="1"/>
  <c r="R2158" i="1"/>
  <c r="R2157" i="1"/>
  <c r="R2156" i="1"/>
  <c r="R2155" i="1"/>
  <c r="R1019" i="1"/>
  <c r="R2153" i="1"/>
  <c r="R2152" i="1"/>
  <c r="R2151" i="1"/>
  <c r="R2150" i="1"/>
  <c r="R257" i="1"/>
  <c r="R2148" i="1"/>
  <c r="R50" i="1"/>
  <c r="R2146" i="1"/>
  <c r="R2145" i="1"/>
  <c r="R2144" i="1"/>
  <c r="R2143" i="1"/>
  <c r="R1103" i="1"/>
  <c r="R2141" i="1"/>
  <c r="R2140" i="1"/>
  <c r="R2139" i="1"/>
  <c r="R2138" i="1"/>
  <c r="R1838" i="1"/>
  <c r="R2136" i="1"/>
  <c r="R2135" i="1"/>
  <c r="R2134" i="1"/>
  <c r="R2133" i="1"/>
  <c r="R2132" i="1"/>
  <c r="R2066" i="1"/>
  <c r="R2130" i="1"/>
  <c r="R1829" i="1"/>
  <c r="R2128" i="1"/>
  <c r="R2127" i="1"/>
  <c r="R2126" i="1"/>
  <c r="R2125" i="1"/>
  <c r="R2124" i="1"/>
  <c r="R2123" i="1"/>
  <c r="R2122" i="1"/>
  <c r="R2121" i="1"/>
  <c r="R2120" i="1"/>
  <c r="R2119" i="1"/>
  <c r="R1582" i="1"/>
  <c r="R1386" i="1"/>
  <c r="R22" i="1"/>
  <c r="R2115" i="1"/>
  <c r="R2114" i="1"/>
  <c r="R1348" i="1"/>
  <c r="R2112" i="1"/>
  <c r="R2111" i="1"/>
  <c r="R2110" i="1"/>
  <c r="R2109" i="1"/>
  <c r="R2108" i="1"/>
  <c r="R2107" i="1"/>
  <c r="R2106" i="1"/>
  <c r="R2105" i="1"/>
  <c r="R2104" i="1"/>
  <c r="R546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1565" i="1"/>
  <c r="R2088" i="1"/>
  <c r="R2087" i="1"/>
  <c r="R813" i="1"/>
  <c r="R2085" i="1"/>
  <c r="R2084" i="1"/>
  <c r="R1382" i="1"/>
  <c r="R2082" i="1"/>
  <c r="R2081" i="1"/>
  <c r="R2080" i="1"/>
  <c r="R2188" i="1"/>
  <c r="R2078" i="1"/>
  <c r="R2077" i="1"/>
  <c r="R2076" i="1"/>
  <c r="R2075" i="1"/>
  <c r="R2074" i="1"/>
  <c r="R2073" i="1"/>
  <c r="R2072" i="1"/>
  <c r="R2071" i="1"/>
  <c r="R728" i="1"/>
  <c r="R2069" i="1"/>
  <c r="R2068" i="1"/>
  <c r="R2067" i="1"/>
  <c r="R2065" i="1"/>
  <c r="R875" i="1"/>
  <c r="R110" i="1"/>
  <c r="R2063" i="1"/>
  <c r="R2062" i="1"/>
  <c r="R2061" i="1"/>
  <c r="R2060" i="1"/>
  <c r="R2059" i="1"/>
  <c r="R2058" i="1"/>
  <c r="R214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469" i="1"/>
  <c r="R2042" i="1"/>
  <c r="R2041" i="1"/>
  <c r="R2040" i="1"/>
  <c r="R923" i="1"/>
  <c r="R2038" i="1"/>
  <c r="R2037" i="1"/>
  <c r="R2036" i="1"/>
  <c r="R2035" i="1"/>
  <c r="R2034" i="1"/>
  <c r="R2033" i="1"/>
  <c r="R2032" i="1"/>
  <c r="R2031" i="1"/>
  <c r="R2030" i="1"/>
  <c r="R191" i="1"/>
  <c r="R2028" i="1"/>
  <c r="R2027" i="1"/>
  <c r="R2026" i="1"/>
  <c r="R2025" i="1"/>
  <c r="R2024" i="1"/>
  <c r="R2023" i="1"/>
  <c r="R1340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726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20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2296" i="1"/>
  <c r="R1973" i="1"/>
  <c r="R1320" i="1"/>
  <c r="R1971" i="1"/>
  <c r="R1970" i="1"/>
  <c r="R1969" i="1"/>
  <c r="R1968" i="1"/>
  <c r="R1967" i="1"/>
  <c r="R1966" i="1"/>
  <c r="R1965" i="1"/>
  <c r="R1964" i="1"/>
  <c r="R1963" i="1"/>
  <c r="R1962" i="1"/>
  <c r="R704" i="1"/>
  <c r="R1960" i="1"/>
  <c r="R1959" i="1"/>
  <c r="R1958" i="1"/>
  <c r="R1957" i="1"/>
  <c r="R1956" i="1"/>
  <c r="R2117" i="1"/>
  <c r="R1954" i="1"/>
  <c r="R2291" i="1"/>
  <c r="R1952" i="1"/>
  <c r="R1951" i="1"/>
  <c r="R1942" i="1"/>
  <c r="R1949" i="1"/>
  <c r="R1948" i="1"/>
  <c r="R1947" i="1"/>
  <c r="R1946" i="1"/>
  <c r="R1945" i="1"/>
  <c r="R1944" i="1"/>
  <c r="R1943" i="1"/>
  <c r="R1647" i="1"/>
  <c r="R1941" i="1"/>
  <c r="R1940" i="1"/>
  <c r="R1939" i="1"/>
  <c r="R1938" i="1"/>
  <c r="R1937" i="1"/>
  <c r="R1936" i="1"/>
  <c r="R1935" i="1"/>
  <c r="R1934" i="1"/>
  <c r="R1740" i="1"/>
  <c r="R1932" i="1"/>
  <c r="R1931" i="1"/>
  <c r="R1930" i="1"/>
  <c r="R1929" i="1"/>
  <c r="R1928" i="1"/>
  <c r="R1927" i="1"/>
  <c r="R1926" i="1"/>
  <c r="R1925" i="1"/>
  <c r="R1924" i="1"/>
  <c r="R1923" i="1"/>
  <c r="R1922" i="1"/>
  <c r="R2116" i="1"/>
  <c r="R1920" i="1"/>
  <c r="R1919" i="1"/>
  <c r="R1918" i="1"/>
  <c r="R1917" i="1"/>
  <c r="R1916" i="1"/>
  <c r="R1915" i="1"/>
  <c r="R1914" i="1"/>
  <c r="R1727" i="1"/>
  <c r="R1912" i="1"/>
  <c r="R1911" i="1"/>
  <c r="R79" i="1"/>
  <c r="R1909" i="1"/>
  <c r="R1908" i="1"/>
  <c r="R1907" i="1"/>
  <c r="R1906" i="1"/>
  <c r="R1905" i="1"/>
  <c r="R1904" i="1"/>
  <c r="R1903" i="1"/>
  <c r="R1902" i="1"/>
  <c r="R1901" i="1"/>
  <c r="R2187" i="1"/>
  <c r="R125" i="1"/>
  <c r="R1898" i="1"/>
  <c r="R1897" i="1"/>
  <c r="R1896" i="1"/>
  <c r="R1895" i="1"/>
  <c r="R1894" i="1"/>
  <c r="R1893" i="1"/>
  <c r="R1892" i="1"/>
  <c r="R1891" i="1"/>
  <c r="R1890" i="1"/>
  <c r="R698" i="1"/>
  <c r="R1888" i="1"/>
  <c r="R1887" i="1"/>
  <c r="R1886" i="1"/>
  <c r="R1885" i="1"/>
  <c r="R2029" i="1"/>
  <c r="R1883" i="1"/>
  <c r="R1882" i="1"/>
  <c r="R1308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5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012" i="1"/>
  <c r="R1839" i="1"/>
  <c r="R2177" i="1"/>
  <c r="R1837" i="1"/>
  <c r="R1836" i="1"/>
  <c r="R1835" i="1"/>
  <c r="R1834" i="1"/>
  <c r="R1833" i="1"/>
  <c r="R1832" i="1"/>
  <c r="R1831" i="1"/>
  <c r="R1830" i="1"/>
  <c r="R1554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2276" i="1"/>
  <c r="R1815" i="1"/>
  <c r="R1814" i="1"/>
  <c r="R1813" i="1"/>
  <c r="R1812" i="1"/>
  <c r="R1811" i="1"/>
  <c r="R1810" i="1"/>
  <c r="R1809" i="1"/>
  <c r="R1808" i="1"/>
  <c r="R1807" i="1"/>
  <c r="R1806" i="1"/>
  <c r="R54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61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552" i="1"/>
  <c r="R1773" i="1"/>
  <c r="R1772" i="1"/>
  <c r="R1771" i="1"/>
  <c r="R1770" i="1"/>
  <c r="R1769" i="1"/>
  <c r="R1768" i="1"/>
  <c r="R77" i="1"/>
  <c r="R1766" i="1"/>
  <c r="R1765" i="1"/>
  <c r="R1764" i="1"/>
  <c r="R1763" i="1"/>
  <c r="R1762" i="1"/>
  <c r="R1761" i="1"/>
  <c r="R1760" i="1"/>
  <c r="R1759" i="1"/>
  <c r="R1758" i="1"/>
  <c r="R1757" i="1"/>
  <c r="R1169" i="1"/>
  <c r="R1755" i="1"/>
  <c r="R1933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668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458" i="1"/>
  <c r="R1726" i="1"/>
  <c r="R1725" i="1"/>
  <c r="R1724" i="1"/>
  <c r="R1723" i="1"/>
  <c r="R1722" i="1"/>
  <c r="R1721" i="1"/>
  <c r="R1720" i="1"/>
  <c r="R1719" i="1"/>
  <c r="R1718" i="1"/>
  <c r="R1717" i="1"/>
  <c r="R1716" i="1"/>
  <c r="R1102" i="1"/>
  <c r="R1714" i="1"/>
  <c r="R1713" i="1"/>
  <c r="R1712" i="1"/>
  <c r="R1711" i="1"/>
  <c r="R1710" i="1"/>
  <c r="R1709" i="1"/>
  <c r="R1708" i="1"/>
  <c r="R1707" i="1"/>
  <c r="R1706" i="1"/>
  <c r="R1705" i="1"/>
  <c r="R1704" i="1"/>
  <c r="R2267" i="1"/>
  <c r="R1702" i="1"/>
  <c r="R1701" i="1"/>
  <c r="R2022" i="1"/>
  <c r="R1699" i="1"/>
  <c r="R1698" i="1"/>
  <c r="R299" i="1"/>
  <c r="R1696" i="1"/>
  <c r="R1695" i="1"/>
  <c r="R1101" i="1"/>
  <c r="R1693" i="1"/>
  <c r="R851" i="1"/>
  <c r="R1691" i="1"/>
  <c r="R1690" i="1"/>
  <c r="R1689" i="1"/>
  <c r="R1688" i="1"/>
  <c r="R1687" i="1"/>
  <c r="R1686" i="1"/>
  <c r="R1685" i="1"/>
  <c r="R1684" i="1"/>
  <c r="R1683" i="1"/>
  <c r="R1682" i="1"/>
  <c r="R1681" i="1"/>
  <c r="R667" i="1"/>
  <c r="R1679" i="1"/>
  <c r="R1678" i="1"/>
  <c r="R1677" i="1"/>
  <c r="R1676" i="1"/>
  <c r="R1099" i="1"/>
  <c r="R1674" i="1"/>
  <c r="R1673" i="1"/>
  <c r="R1672" i="1"/>
  <c r="R1671" i="1"/>
  <c r="R1670" i="1"/>
  <c r="R2008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20" i="1"/>
  <c r="R1646" i="1"/>
  <c r="R1645" i="1"/>
  <c r="R1644" i="1"/>
  <c r="R354" i="1"/>
  <c r="R1642" i="1"/>
  <c r="R1641" i="1"/>
  <c r="R1640" i="1"/>
  <c r="R1639" i="1"/>
  <c r="R1638" i="1"/>
  <c r="R1637" i="1"/>
  <c r="R1636" i="1"/>
  <c r="R1635" i="1"/>
  <c r="R1634" i="1"/>
  <c r="R1550" i="1"/>
  <c r="R1715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922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49" i="1"/>
  <c r="R1587" i="1"/>
  <c r="R1586" i="1"/>
  <c r="R1585" i="1"/>
  <c r="R1584" i="1"/>
  <c r="R1583" i="1"/>
  <c r="R1290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011" i="1"/>
  <c r="R1564" i="1"/>
  <c r="R1563" i="1"/>
  <c r="R1562" i="1"/>
  <c r="R1561" i="1"/>
  <c r="R1560" i="1"/>
  <c r="R1559" i="1"/>
  <c r="R1558" i="1"/>
  <c r="R928" i="1"/>
  <c r="R1556" i="1"/>
  <c r="R1555" i="1"/>
  <c r="R2163" i="1"/>
  <c r="R1553" i="1"/>
  <c r="R1703" i="1"/>
  <c r="R1551" i="1"/>
  <c r="R544" i="1"/>
  <c r="R1090" i="1"/>
  <c r="R1548" i="1"/>
  <c r="R1547" i="1"/>
  <c r="R1546" i="1"/>
  <c r="R1545" i="1"/>
  <c r="R1544" i="1"/>
  <c r="R1543" i="1"/>
  <c r="R1542" i="1"/>
  <c r="R1541" i="1"/>
  <c r="R617" i="1"/>
  <c r="R1539" i="1"/>
  <c r="R1538" i="1"/>
  <c r="R1537" i="1"/>
  <c r="R1536" i="1"/>
  <c r="R1535" i="1"/>
  <c r="R1534" i="1"/>
  <c r="R1533" i="1"/>
  <c r="R2064" i="1"/>
  <c r="R1531" i="1"/>
  <c r="R1530" i="1"/>
  <c r="R1529" i="1"/>
  <c r="R1528" i="1"/>
  <c r="R1527" i="1"/>
  <c r="R1526" i="1"/>
  <c r="R1525" i="1"/>
  <c r="R1524" i="1"/>
  <c r="R1523" i="1"/>
  <c r="R1522" i="1"/>
  <c r="R1521" i="1"/>
  <c r="R1452" i="1"/>
  <c r="R1519" i="1"/>
  <c r="R1700" i="1"/>
  <c r="R1517" i="1"/>
  <c r="R1516" i="1"/>
  <c r="R1515" i="1"/>
  <c r="R1514" i="1"/>
  <c r="R1513" i="1"/>
  <c r="R1512" i="1"/>
  <c r="R1511" i="1"/>
  <c r="R1010" i="1"/>
  <c r="R1509" i="1"/>
  <c r="R1508" i="1"/>
  <c r="R1507" i="1"/>
  <c r="R1506" i="1"/>
  <c r="R1505" i="1"/>
  <c r="R1504" i="1"/>
  <c r="R1503" i="1"/>
  <c r="R1502" i="1"/>
  <c r="R1501" i="1"/>
  <c r="R1071" i="1"/>
  <c r="R1499" i="1"/>
  <c r="R2057" i="1"/>
  <c r="R1497" i="1"/>
  <c r="R1496" i="1"/>
  <c r="R1495" i="1"/>
  <c r="R1494" i="1"/>
  <c r="R1493" i="1"/>
  <c r="R1492" i="1"/>
  <c r="R1380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985" i="1"/>
  <c r="R1540" i="1"/>
  <c r="R1459" i="1"/>
  <c r="R1458" i="1"/>
  <c r="R1457" i="1"/>
  <c r="R1456" i="1"/>
  <c r="R1455" i="1"/>
  <c r="R1454" i="1"/>
  <c r="R1453" i="1"/>
  <c r="R1921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249" i="1"/>
  <c r="R1430" i="1"/>
  <c r="R1429" i="1"/>
  <c r="R1428" i="1"/>
  <c r="R1427" i="1"/>
  <c r="R1426" i="1"/>
  <c r="R1425" i="1"/>
  <c r="R1424" i="1"/>
  <c r="R1423" i="1"/>
  <c r="R1377" i="1"/>
  <c r="R1532" i="1"/>
  <c r="R1420" i="1"/>
  <c r="R1643" i="1"/>
  <c r="R1418" i="1"/>
  <c r="R340" i="1"/>
  <c r="R1416" i="1"/>
  <c r="R1415" i="1"/>
  <c r="R1414" i="1"/>
  <c r="R1413" i="1"/>
  <c r="R1412" i="1"/>
  <c r="R1411" i="1"/>
  <c r="R541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816" i="1"/>
  <c r="R1392" i="1"/>
  <c r="R1391" i="1"/>
  <c r="R175" i="1"/>
  <c r="R1389" i="1"/>
  <c r="R1388" i="1"/>
  <c r="R1387" i="1"/>
  <c r="R1913" i="1"/>
  <c r="R1385" i="1"/>
  <c r="R1384" i="1"/>
  <c r="R1383" i="1"/>
  <c r="R76" i="1"/>
  <c r="R1381" i="1"/>
  <c r="R808" i="1"/>
  <c r="R1379" i="1"/>
  <c r="R1378" i="1"/>
  <c r="R1163" i="1"/>
  <c r="R1376" i="1"/>
  <c r="R1375" i="1"/>
  <c r="R1374" i="1"/>
  <c r="R1373" i="1"/>
  <c r="R1372" i="1"/>
  <c r="R1371" i="1"/>
  <c r="R332" i="1"/>
  <c r="R1369" i="1"/>
  <c r="R1368" i="1"/>
  <c r="R1367" i="1"/>
  <c r="R1366" i="1"/>
  <c r="R896" i="1"/>
  <c r="R537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616" i="1"/>
  <c r="R1347" i="1"/>
  <c r="R1346" i="1"/>
  <c r="R1345" i="1"/>
  <c r="R1344" i="1"/>
  <c r="R1343" i="1"/>
  <c r="R1342" i="1"/>
  <c r="R1341" i="1"/>
  <c r="R152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2142" i="1"/>
  <c r="R1319" i="1"/>
  <c r="R1318" i="1"/>
  <c r="R1317" i="1"/>
  <c r="R1316" i="1"/>
  <c r="R1315" i="1"/>
  <c r="R1314" i="1"/>
  <c r="R1313" i="1"/>
  <c r="R1312" i="1"/>
  <c r="R1311" i="1"/>
  <c r="R1310" i="1"/>
  <c r="R1309" i="1"/>
  <c r="R1805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633" i="1"/>
  <c r="R1289" i="1"/>
  <c r="R1288" i="1"/>
  <c r="R1287" i="1"/>
  <c r="R1286" i="1"/>
  <c r="R1285" i="1"/>
  <c r="R1284" i="1"/>
  <c r="R1283" i="1"/>
  <c r="R1282" i="1"/>
  <c r="R1281" i="1"/>
  <c r="R1280" i="1"/>
  <c r="R1279" i="1"/>
  <c r="R2256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590" i="1"/>
  <c r="R534" i="1"/>
  <c r="R1259" i="1"/>
  <c r="R2253" i="1"/>
  <c r="R1257" i="1"/>
  <c r="R1256" i="1"/>
  <c r="R97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91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2211" i="1"/>
  <c r="R1217" i="1"/>
  <c r="R1216" i="1"/>
  <c r="R1215" i="1"/>
  <c r="R1214" i="1"/>
  <c r="R1213" i="1"/>
  <c r="R1212" i="1"/>
  <c r="R1211" i="1"/>
  <c r="R1210" i="1"/>
  <c r="R1209" i="1"/>
  <c r="R1208" i="1"/>
  <c r="R1207" i="1"/>
  <c r="R844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2154" i="1"/>
  <c r="R1179" i="1"/>
  <c r="R1178" i="1"/>
  <c r="R568" i="1"/>
  <c r="R1176" i="1"/>
  <c r="R1175" i="1"/>
  <c r="R1174" i="1"/>
  <c r="R1173" i="1"/>
  <c r="R1172" i="1"/>
  <c r="R803" i="1"/>
  <c r="R1170" i="1"/>
  <c r="R562" i="1"/>
  <c r="R1168" i="1"/>
  <c r="R1167" i="1"/>
  <c r="R1166" i="1"/>
  <c r="R1165" i="1"/>
  <c r="R1164" i="1"/>
  <c r="R1518" i="1"/>
  <c r="R1162" i="1"/>
  <c r="R1161" i="1"/>
  <c r="R2137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788" i="1"/>
  <c r="R1135" i="1"/>
  <c r="R1134" i="1"/>
  <c r="R1994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958" i="1"/>
  <c r="R2086" i="1"/>
  <c r="R1107" i="1"/>
  <c r="R1106" i="1"/>
  <c r="R1105" i="1"/>
  <c r="R1104" i="1"/>
  <c r="R432" i="1"/>
  <c r="R556" i="1"/>
  <c r="R1278" i="1"/>
  <c r="R1100" i="1"/>
  <c r="R426" i="1"/>
  <c r="R1098" i="1"/>
  <c r="R1097" i="1"/>
  <c r="R1096" i="1"/>
  <c r="R1095" i="1"/>
  <c r="R1094" i="1"/>
  <c r="R1093" i="1"/>
  <c r="R1092" i="1"/>
  <c r="R1091" i="1"/>
  <c r="R1255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798" i="1"/>
  <c r="R1774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2131" i="1"/>
  <c r="R1045" i="1"/>
  <c r="R1044" i="1"/>
  <c r="R1261" i="1"/>
  <c r="R1042" i="1"/>
  <c r="R1900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70" i="1"/>
  <c r="R170" i="1"/>
  <c r="R1018" i="1"/>
  <c r="R1017" i="1"/>
  <c r="R1016" i="1"/>
  <c r="R1015" i="1"/>
  <c r="R1014" i="1"/>
  <c r="R1013" i="1"/>
  <c r="R953" i="1"/>
  <c r="R797" i="1"/>
  <c r="R1697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1419" i="1"/>
  <c r="R984" i="1"/>
  <c r="R983" i="1"/>
  <c r="R982" i="1"/>
  <c r="R981" i="1"/>
  <c r="R980" i="1"/>
  <c r="R979" i="1"/>
  <c r="R978" i="1"/>
  <c r="R977" i="1"/>
  <c r="R976" i="1"/>
  <c r="R1899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1889" i="1"/>
  <c r="R957" i="1"/>
  <c r="R956" i="1"/>
  <c r="R955" i="1"/>
  <c r="R954" i="1"/>
  <c r="R1974" i="1"/>
  <c r="R1972" i="1"/>
  <c r="R951" i="1"/>
  <c r="R950" i="1"/>
  <c r="R949" i="1"/>
  <c r="R948" i="1"/>
  <c r="R947" i="1"/>
  <c r="R946" i="1"/>
  <c r="R945" i="1"/>
  <c r="R944" i="1"/>
  <c r="R943" i="1"/>
  <c r="R942" i="1"/>
  <c r="R1767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1694" i="1"/>
  <c r="R927" i="1"/>
  <c r="R926" i="1"/>
  <c r="R2113" i="1"/>
  <c r="R99" i="1"/>
  <c r="R1046" i="1"/>
  <c r="R169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551" i="1"/>
  <c r="R895" i="1"/>
  <c r="R117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504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1510" i="1"/>
  <c r="R850" i="1"/>
  <c r="R849" i="1"/>
  <c r="R848" i="1"/>
  <c r="R847" i="1"/>
  <c r="R846" i="1"/>
  <c r="R845" i="1"/>
  <c r="R528" i="1"/>
  <c r="R843" i="1"/>
  <c r="R842" i="1"/>
  <c r="R841" i="1"/>
  <c r="R840" i="1"/>
  <c r="R839" i="1"/>
  <c r="R838" i="1"/>
  <c r="R837" i="1"/>
  <c r="R836" i="1"/>
  <c r="R1961" i="1"/>
  <c r="R834" i="1"/>
  <c r="R833" i="1"/>
  <c r="R832" i="1"/>
  <c r="R831" i="1"/>
  <c r="R1417" i="1"/>
  <c r="R829" i="1"/>
  <c r="R828" i="1"/>
  <c r="R827" i="1"/>
  <c r="R1680" i="1"/>
  <c r="R825" i="1"/>
  <c r="R824" i="1"/>
  <c r="R823" i="1"/>
  <c r="R1632" i="1"/>
  <c r="R821" i="1"/>
  <c r="R820" i="1"/>
  <c r="R819" i="1"/>
  <c r="R818" i="1"/>
  <c r="R817" i="1"/>
  <c r="R816" i="1"/>
  <c r="R815" i="1"/>
  <c r="R814" i="1"/>
  <c r="R1884" i="1"/>
  <c r="R812" i="1"/>
  <c r="R811" i="1"/>
  <c r="R810" i="1"/>
  <c r="R809" i="1"/>
  <c r="R1160" i="1"/>
  <c r="R807" i="1"/>
  <c r="R806" i="1"/>
  <c r="R805" i="1"/>
  <c r="R804" i="1"/>
  <c r="R515" i="1"/>
  <c r="R802" i="1"/>
  <c r="R801" i="1"/>
  <c r="R800" i="1"/>
  <c r="R799" i="1"/>
  <c r="R2083" i="1"/>
  <c r="R925" i="1"/>
  <c r="R796" i="1"/>
  <c r="R795" i="1"/>
  <c r="R794" i="1"/>
  <c r="R793" i="1"/>
  <c r="R792" i="1"/>
  <c r="R791" i="1"/>
  <c r="R790" i="1"/>
  <c r="R158" i="1"/>
  <c r="R788" i="1"/>
  <c r="R787" i="1"/>
  <c r="R786" i="1"/>
  <c r="R785" i="1"/>
  <c r="R784" i="1"/>
  <c r="R783" i="1"/>
  <c r="R782" i="1"/>
  <c r="R781" i="1"/>
  <c r="R2209" i="1"/>
  <c r="R779" i="1"/>
  <c r="R778" i="1"/>
  <c r="R2079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157" i="1"/>
  <c r="R750" i="1"/>
  <c r="R749" i="1"/>
  <c r="R789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1500" i="1"/>
  <c r="R727" i="1"/>
  <c r="R283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1675" i="1"/>
  <c r="R703" i="1"/>
  <c r="R702" i="1"/>
  <c r="R701" i="1"/>
  <c r="R700" i="1"/>
  <c r="R699" i="1"/>
  <c r="R24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451" i="1"/>
  <c r="R1431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1498" i="1"/>
  <c r="R647" i="1"/>
  <c r="R646" i="1"/>
  <c r="R645" i="1"/>
  <c r="R644" i="1"/>
  <c r="R643" i="1"/>
  <c r="R642" i="1"/>
  <c r="R641" i="1"/>
  <c r="R1240" i="1"/>
  <c r="R639" i="1"/>
  <c r="R638" i="1"/>
  <c r="R637" i="1"/>
  <c r="R1955" i="1"/>
  <c r="R635" i="1"/>
  <c r="R634" i="1"/>
  <c r="R633" i="1"/>
  <c r="R632" i="1"/>
  <c r="R631" i="1"/>
  <c r="R630" i="1"/>
  <c r="R648" i="1"/>
  <c r="R628" i="1"/>
  <c r="R627" i="1"/>
  <c r="R626" i="1"/>
  <c r="R625" i="1"/>
  <c r="R624" i="1"/>
  <c r="R623" i="1"/>
  <c r="R622" i="1"/>
  <c r="R621" i="1"/>
  <c r="R620" i="1"/>
  <c r="R619" i="1"/>
  <c r="R1043" i="1"/>
  <c r="R835" i="1"/>
  <c r="R2070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274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2043" i="1"/>
  <c r="R567" i="1"/>
  <c r="R566" i="1"/>
  <c r="R565" i="1"/>
  <c r="R564" i="1"/>
  <c r="R563" i="1"/>
  <c r="R409" i="1"/>
  <c r="R561" i="1"/>
  <c r="R560" i="1"/>
  <c r="R559" i="1"/>
  <c r="R558" i="1"/>
  <c r="R557" i="1"/>
  <c r="R438" i="1"/>
  <c r="R555" i="1"/>
  <c r="R554" i="1"/>
  <c r="R553" i="1"/>
  <c r="R552" i="1"/>
  <c r="R830" i="1"/>
  <c r="R550" i="1"/>
  <c r="R549" i="1"/>
  <c r="R548" i="1"/>
  <c r="R547" i="1"/>
  <c r="R924" i="1"/>
  <c r="R1609" i="1"/>
  <c r="R68" i="1"/>
  <c r="R543" i="1"/>
  <c r="R542" i="1"/>
  <c r="R1491" i="1"/>
  <c r="R540" i="1"/>
  <c r="R539" i="1"/>
  <c r="R538" i="1"/>
  <c r="R894" i="1"/>
  <c r="R536" i="1"/>
  <c r="R535" i="1"/>
  <c r="R1410" i="1"/>
  <c r="R533" i="1"/>
  <c r="R532" i="1"/>
  <c r="R531" i="1"/>
  <c r="R530" i="1"/>
  <c r="R529" i="1"/>
  <c r="R145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1136" i="1"/>
  <c r="R514" i="1"/>
  <c r="R513" i="1"/>
  <c r="R512" i="1"/>
  <c r="R511" i="1"/>
  <c r="R510" i="1"/>
  <c r="R509" i="1"/>
  <c r="R508" i="1"/>
  <c r="R371" i="1"/>
  <c r="R506" i="1"/>
  <c r="R505" i="1"/>
  <c r="R1461" i="1"/>
  <c r="R503" i="1"/>
  <c r="R502" i="1"/>
  <c r="R501" i="1"/>
  <c r="R500" i="1"/>
  <c r="R1953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1218" i="1"/>
  <c r="R468" i="1"/>
  <c r="R467" i="1"/>
  <c r="R466" i="1"/>
  <c r="R465" i="1"/>
  <c r="R464" i="1"/>
  <c r="R463" i="1"/>
  <c r="R462" i="1"/>
  <c r="R461" i="1"/>
  <c r="R460" i="1"/>
  <c r="R459" i="1"/>
  <c r="R1206" i="1"/>
  <c r="R457" i="1"/>
  <c r="R456" i="1"/>
  <c r="R455" i="1"/>
  <c r="R454" i="1"/>
  <c r="R453" i="1"/>
  <c r="R452" i="1"/>
  <c r="R327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2129" i="1"/>
  <c r="R1460" i="1"/>
  <c r="R436" i="1"/>
  <c r="R435" i="1"/>
  <c r="R434" i="1"/>
  <c r="R433" i="1"/>
  <c r="R270" i="1"/>
  <c r="R431" i="1"/>
  <c r="R430" i="1"/>
  <c r="R429" i="1"/>
  <c r="R428" i="1"/>
  <c r="R427" i="1"/>
  <c r="R952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640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1180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139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1756" i="1"/>
  <c r="R339" i="1"/>
  <c r="R338" i="1"/>
  <c r="R337" i="1"/>
  <c r="R336" i="1"/>
  <c r="R335" i="1"/>
  <c r="R334" i="1"/>
  <c r="R333" i="1"/>
  <c r="R2202" i="1"/>
  <c r="R331" i="1"/>
  <c r="R330" i="1"/>
  <c r="R329" i="1"/>
  <c r="R328" i="1"/>
  <c r="R233" i="1"/>
  <c r="R326" i="1"/>
  <c r="R1041" i="1"/>
  <c r="R324" i="1"/>
  <c r="R323" i="1"/>
  <c r="R322" i="1"/>
  <c r="R94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1370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82" i="1"/>
  <c r="R282" i="1"/>
  <c r="R281" i="1"/>
  <c r="R280" i="1"/>
  <c r="R279" i="1"/>
  <c r="R278" i="1"/>
  <c r="R277" i="1"/>
  <c r="R276" i="1"/>
  <c r="R275" i="1"/>
  <c r="R1260" i="1"/>
  <c r="R273" i="1"/>
  <c r="R272" i="1"/>
  <c r="R271" i="1"/>
  <c r="R2103" i="1"/>
  <c r="R269" i="1"/>
  <c r="R507" i="1"/>
  <c r="R267" i="1"/>
  <c r="R266" i="1"/>
  <c r="R265" i="1"/>
  <c r="R264" i="1"/>
  <c r="R263" i="1"/>
  <c r="R262" i="1"/>
  <c r="R261" i="1"/>
  <c r="R260" i="1"/>
  <c r="R259" i="1"/>
  <c r="R258" i="1"/>
  <c r="R1258" i="1"/>
  <c r="R256" i="1"/>
  <c r="R255" i="1"/>
  <c r="R254" i="1"/>
  <c r="R253" i="1"/>
  <c r="R252" i="1"/>
  <c r="R251" i="1"/>
  <c r="R250" i="1"/>
  <c r="R219" i="1"/>
  <c r="R111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164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1393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669" i="1"/>
  <c r="R193" i="1"/>
  <c r="R192" i="1"/>
  <c r="R1950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37" i="1"/>
  <c r="R174" i="1"/>
  <c r="R173" i="1"/>
  <c r="R172" i="1"/>
  <c r="R171" i="1"/>
  <c r="R325" i="1"/>
  <c r="R169" i="1"/>
  <c r="R168" i="1"/>
  <c r="R167" i="1"/>
  <c r="R166" i="1"/>
  <c r="R165" i="1"/>
  <c r="R437" i="1"/>
  <c r="R163" i="1"/>
  <c r="R162" i="1"/>
  <c r="R161" i="1"/>
  <c r="R160" i="1"/>
  <c r="R159" i="1"/>
  <c r="R1020" i="1"/>
  <c r="R268" i="1"/>
  <c r="R156" i="1"/>
  <c r="R155" i="1"/>
  <c r="R154" i="1"/>
  <c r="R153" i="1"/>
  <c r="R152" i="1"/>
  <c r="R151" i="1"/>
  <c r="R150" i="1"/>
  <c r="R149" i="1"/>
  <c r="R148" i="1"/>
  <c r="R147" i="1"/>
  <c r="R146" i="1"/>
  <c r="R2189" i="1"/>
  <c r="R144" i="1"/>
  <c r="R143" i="1"/>
  <c r="R142" i="1"/>
  <c r="R141" i="1"/>
  <c r="R140" i="1"/>
  <c r="R780" i="1"/>
  <c r="R138" i="1"/>
  <c r="R2118" i="1"/>
  <c r="R136" i="1"/>
  <c r="R135" i="1"/>
  <c r="R134" i="1"/>
  <c r="R133" i="1"/>
  <c r="R132" i="1"/>
  <c r="R131" i="1"/>
  <c r="R130" i="1"/>
  <c r="R129" i="1"/>
  <c r="R128" i="1"/>
  <c r="R127" i="1"/>
  <c r="R2149" i="1"/>
  <c r="R321" i="1"/>
  <c r="R124" i="1"/>
  <c r="R123" i="1"/>
  <c r="R122" i="1"/>
  <c r="R121" i="1"/>
  <c r="R1133" i="1"/>
  <c r="R119" i="1"/>
  <c r="R118" i="1"/>
  <c r="R1109" i="1"/>
  <c r="R116" i="1"/>
  <c r="R115" i="1"/>
  <c r="R114" i="1"/>
  <c r="R113" i="1"/>
  <c r="R112" i="1"/>
  <c r="R1754" i="1"/>
  <c r="R1422" i="1"/>
  <c r="R109" i="1"/>
  <c r="R108" i="1"/>
  <c r="R107" i="1"/>
  <c r="R106" i="1"/>
  <c r="R105" i="1"/>
  <c r="R104" i="1"/>
  <c r="R103" i="1"/>
  <c r="R102" i="1"/>
  <c r="R101" i="1"/>
  <c r="R100" i="1"/>
  <c r="R203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1108" i="1"/>
  <c r="R81" i="1"/>
  <c r="R80" i="1"/>
  <c r="R777" i="1"/>
  <c r="R78" i="1"/>
  <c r="R751" i="1"/>
  <c r="R194" i="1"/>
  <c r="R75" i="1"/>
  <c r="R74" i="1"/>
  <c r="R73" i="1"/>
  <c r="R72" i="1"/>
  <c r="R71" i="1"/>
  <c r="R70" i="1"/>
  <c r="R69" i="1"/>
  <c r="R636" i="1"/>
  <c r="R67" i="1"/>
  <c r="R66" i="1"/>
  <c r="R65" i="1"/>
  <c r="R64" i="1"/>
  <c r="R63" i="1"/>
  <c r="R62" i="1"/>
  <c r="R61" i="1"/>
  <c r="R60" i="1"/>
  <c r="R59" i="1"/>
  <c r="R58" i="1"/>
  <c r="R57" i="1"/>
  <c r="R826" i="1"/>
  <c r="R55" i="1"/>
  <c r="R54" i="1"/>
  <c r="R53" i="1"/>
  <c r="R52" i="1"/>
  <c r="R51" i="1"/>
  <c r="R2089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1177" i="1"/>
  <c r="R21" i="1"/>
  <c r="R1881" i="1"/>
  <c r="R19" i="1"/>
  <c r="R18" i="1"/>
  <c r="R17" i="1"/>
  <c r="R16" i="1"/>
  <c r="R15" i="1"/>
  <c r="R14" i="1"/>
  <c r="R13" i="1"/>
  <c r="R12" i="1"/>
  <c r="R11" i="1"/>
  <c r="R10" i="1"/>
  <c r="R9" i="1"/>
  <c r="U8" i="1"/>
  <c r="R8" i="1"/>
  <c r="R7" i="1"/>
  <c r="R6" i="1"/>
  <c r="U5" i="1"/>
  <c r="R5" i="1"/>
  <c r="U4" i="1"/>
  <c r="G200" i="1" s="1"/>
  <c r="L200" i="1" s="1"/>
  <c r="M200" i="1" s="1"/>
  <c r="R4" i="1"/>
  <c r="R3" i="1"/>
  <c r="R2" i="1"/>
  <c r="R237" i="2"/>
  <c r="R575" i="2"/>
  <c r="R574" i="2"/>
  <c r="R573" i="2"/>
  <c r="R572" i="2"/>
  <c r="R571" i="2"/>
  <c r="R570" i="2"/>
  <c r="R569" i="2"/>
  <c r="R568" i="2"/>
  <c r="R567" i="2"/>
  <c r="R566" i="2"/>
  <c r="R565" i="2"/>
  <c r="R522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168" i="2"/>
  <c r="R547" i="2"/>
  <c r="R546" i="2"/>
  <c r="R545" i="2"/>
  <c r="R544" i="2"/>
  <c r="R543" i="2"/>
  <c r="R538" i="2"/>
  <c r="R385" i="2"/>
  <c r="R540" i="2"/>
  <c r="R539" i="2"/>
  <c r="R542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03" i="2"/>
  <c r="R524" i="2"/>
  <c r="R523" i="2"/>
  <c r="R311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347" i="2"/>
  <c r="R502" i="2"/>
  <c r="R501" i="2"/>
  <c r="R192" i="2"/>
  <c r="R499" i="2"/>
  <c r="R498" i="2"/>
  <c r="R475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189" i="2"/>
  <c r="R576" i="2"/>
  <c r="R474" i="2"/>
  <c r="R473" i="2"/>
  <c r="R472" i="2"/>
  <c r="R471" i="2"/>
  <c r="R470" i="2"/>
  <c r="R252" i="2"/>
  <c r="R468" i="2"/>
  <c r="R421" i="2"/>
  <c r="R466" i="2"/>
  <c r="R465" i="2"/>
  <c r="R464" i="2"/>
  <c r="R463" i="2"/>
  <c r="R462" i="2"/>
  <c r="R461" i="2"/>
  <c r="R41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103" i="2"/>
  <c r="R428" i="2"/>
  <c r="R427" i="2"/>
  <c r="R426" i="2"/>
  <c r="R425" i="2"/>
  <c r="R298" i="2"/>
  <c r="R423" i="2"/>
  <c r="R422" i="2"/>
  <c r="R96" i="2"/>
  <c r="R420" i="2"/>
  <c r="R419" i="2"/>
  <c r="R418" i="2"/>
  <c r="R373" i="2"/>
  <c r="R416" i="2"/>
  <c r="R415" i="2"/>
  <c r="R414" i="2"/>
  <c r="R413" i="2"/>
  <c r="R412" i="2"/>
  <c r="R411" i="2"/>
  <c r="R410" i="2"/>
  <c r="R409" i="2"/>
  <c r="R408" i="2"/>
  <c r="R525" i="2"/>
  <c r="R406" i="2"/>
  <c r="R139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242" i="2"/>
  <c r="R386" i="2"/>
  <c r="R183" i="2"/>
  <c r="R384" i="2"/>
  <c r="R383" i="2"/>
  <c r="R382" i="2"/>
  <c r="R381" i="2"/>
  <c r="R380" i="2"/>
  <c r="R379" i="2"/>
  <c r="R378" i="2"/>
  <c r="R377" i="2"/>
  <c r="R376" i="2"/>
  <c r="R375" i="2"/>
  <c r="R374" i="2"/>
  <c r="R182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229" i="2"/>
  <c r="R356" i="2"/>
  <c r="R541" i="2"/>
  <c r="R354" i="2"/>
  <c r="R353" i="2"/>
  <c r="R352" i="2"/>
  <c r="R351" i="2"/>
  <c r="R350" i="2"/>
  <c r="R349" i="2"/>
  <c r="R348" i="2"/>
  <c r="R469" i="2"/>
  <c r="R346" i="2"/>
  <c r="R345" i="2"/>
  <c r="R344" i="2"/>
  <c r="R343" i="2"/>
  <c r="R342" i="2"/>
  <c r="R241" i="2"/>
  <c r="R340" i="2"/>
  <c r="R21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222" i="2"/>
  <c r="R310" i="2"/>
  <c r="R309" i="2"/>
  <c r="R548" i="2"/>
  <c r="R307" i="2"/>
  <c r="R306" i="2"/>
  <c r="R305" i="2"/>
  <c r="R304" i="2"/>
  <c r="R303" i="2"/>
  <c r="R302" i="2"/>
  <c r="R301" i="2"/>
  <c r="R67" i="2"/>
  <c r="R299" i="2"/>
  <c r="R97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308" i="2"/>
  <c r="R260" i="2"/>
  <c r="R259" i="2"/>
  <c r="R258" i="2"/>
  <c r="R257" i="2"/>
  <c r="R256" i="2"/>
  <c r="R255" i="2"/>
  <c r="R254" i="2"/>
  <c r="R253" i="2"/>
  <c r="R387" i="2"/>
  <c r="R251" i="2"/>
  <c r="R250" i="2"/>
  <c r="R249" i="2"/>
  <c r="R248" i="2"/>
  <c r="R247" i="2"/>
  <c r="R246" i="2"/>
  <c r="R245" i="2"/>
  <c r="R244" i="2"/>
  <c r="R243" i="2"/>
  <c r="R467" i="2"/>
  <c r="R341" i="2"/>
  <c r="R240" i="2"/>
  <c r="R476" i="2"/>
  <c r="R238" i="2"/>
  <c r="R497" i="2"/>
  <c r="R236" i="2"/>
  <c r="R235" i="2"/>
  <c r="R234" i="2"/>
  <c r="R233" i="2"/>
  <c r="R232" i="2"/>
  <c r="R231" i="2"/>
  <c r="R230" i="2"/>
  <c r="R261" i="2"/>
  <c r="R228" i="2"/>
  <c r="R227" i="2"/>
  <c r="R226" i="2"/>
  <c r="R225" i="2"/>
  <c r="R224" i="2"/>
  <c r="R223" i="2"/>
  <c r="R300" i="2"/>
  <c r="R221" i="2"/>
  <c r="R220" i="2"/>
  <c r="R36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564" i="2"/>
  <c r="R197" i="2"/>
  <c r="R196" i="2"/>
  <c r="R195" i="2"/>
  <c r="R194" i="2"/>
  <c r="R193" i="2"/>
  <c r="R460" i="2"/>
  <c r="R191" i="2"/>
  <c r="R190" i="2"/>
  <c r="R357" i="2"/>
  <c r="R188" i="2"/>
  <c r="R187" i="2"/>
  <c r="R186" i="2"/>
  <c r="R185" i="2"/>
  <c r="R184" i="2"/>
  <c r="R429" i="2"/>
  <c r="R417" i="2"/>
  <c r="R181" i="2"/>
  <c r="R180" i="2"/>
  <c r="R179" i="2"/>
  <c r="R178" i="2"/>
  <c r="R177" i="2"/>
  <c r="R20" i="2"/>
  <c r="R175" i="2"/>
  <c r="R174" i="2"/>
  <c r="R173" i="2"/>
  <c r="R172" i="2"/>
  <c r="R171" i="2"/>
  <c r="R170" i="2"/>
  <c r="R169" i="2"/>
  <c r="R5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407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424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355" i="2"/>
  <c r="R102" i="2"/>
  <c r="R101" i="2"/>
  <c r="R100" i="2"/>
  <c r="R99" i="2"/>
  <c r="R98" i="2"/>
  <c r="R405" i="2"/>
  <c r="R339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176" i="2"/>
  <c r="R500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66" i="2"/>
  <c r="R48" i="2"/>
  <c r="R47" i="2"/>
  <c r="R46" i="2"/>
  <c r="R45" i="2"/>
  <c r="R44" i="2"/>
  <c r="R43" i="2"/>
  <c r="R42" i="2"/>
  <c r="R198" i="2"/>
  <c r="R40" i="2"/>
  <c r="R39" i="2"/>
  <c r="R38" i="2"/>
  <c r="R37" i="2"/>
  <c r="R122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39" i="2"/>
  <c r="R19" i="2"/>
  <c r="R18" i="2"/>
  <c r="R17" i="2"/>
  <c r="R16" i="2"/>
  <c r="R15" i="2"/>
  <c r="R14" i="2"/>
  <c r="R13" i="2"/>
  <c r="R12" i="2"/>
  <c r="R11" i="2"/>
  <c r="R10" i="2"/>
  <c r="R9" i="2"/>
  <c r="V8" i="2"/>
  <c r="R8" i="2"/>
  <c r="R7" i="2"/>
  <c r="R6" i="2"/>
  <c r="V5" i="2"/>
  <c r="R49" i="2"/>
  <c r="V4" i="2"/>
  <c r="G569" i="2" s="1"/>
  <c r="R4" i="2"/>
  <c r="R3" i="2"/>
  <c r="R2" i="2"/>
  <c r="G77" i="2" l="1"/>
  <c r="G178" i="2"/>
  <c r="I178" i="2" s="1"/>
  <c r="G360" i="2"/>
  <c r="G9" i="2"/>
  <c r="G18" i="2"/>
  <c r="I18" i="2" s="1"/>
  <c r="G23" i="2"/>
  <c r="I23" i="2" s="1"/>
  <c r="G27" i="2"/>
  <c r="I27" i="2" s="1"/>
  <c r="G32" i="2"/>
  <c r="I32" i="2" s="1"/>
  <c r="G198" i="2"/>
  <c r="G50" i="2"/>
  <c r="G55" i="2"/>
  <c r="I55" i="2" s="1"/>
  <c r="G59" i="2"/>
  <c r="I59" i="2" s="1"/>
  <c r="G64" i="2"/>
  <c r="I64" i="2" s="1"/>
  <c r="G73" i="2"/>
  <c r="I73" i="2" s="1"/>
  <c r="G82" i="2"/>
  <c r="I82" i="2" s="1"/>
  <c r="G87" i="2"/>
  <c r="I87" i="2" s="1"/>
  <c r="G91" i="2"/>
  <c r="I91" i="2" s="1"/>
  <c r="G339" i="2"/>
  <c r="I339" i="2" s="1"/>
  <c r="G105" i="2"/>
  <c r="G114" i="2"/>
  <c r="G119" i="2"/>
  <c r="I119" i="2" s="1"/>
  <c r="G151" i="2"/>
  <c r="L151" i="2" s="1"/>
  <c r="M151" i="2" s="1"/>
  <c r="G173" i="2"/>
  <c r="G184" i="2"/>
  <c r="I184" i="2" s="1"/>
  <c r="G200" i="2"/>
  <c r="H200" i="2" s="1"/>
  <c r="G216" i="2"/>
  <c r="G341" i="2"/>
  <c r="G248" i="2"/>
  <c r="G273" i="2"/>
  <c r="H273" i="2" s="1"/>
  <c r="G280" i="2"/>
  <c r="I280" i="2" s="1"/>
  <c r="G305" i="2"/>
  <c r="G312" i="2"/>
  <c r="L312" i="2" s="1"/>
  <c r="G368" i="2"/>
  <c r="I368" i="2" s="1"/>
  <c r="G432" i="2"/>
  <c r="G496" i="2"/>
  <c r="G560" i="2"/>
  <c r="G85" i="2"/>
  <c r="L85" i="2" s="1"/>
  <c r="G154" i="2"/>
  <c r="I154" i="2" s="1"/>
  <c r="G536" i="2"/>
  <c r="G26" i="2"/>
  <c r="H26" i="2" s="1"/>
  <c r="G35" i="2"/>
  <c r="L35" i="2" s="1"/>
  <c r="G66" i="2"/>
  <c r="G63" i="2"/>
  <c r="I63" i="2" s="1"/>
  <c r="G72" i="2"/>
  <c r="G81" i="2"/>
  <c r="G95" i="2"/>
  <c r="I95" i="2" s="1"/>
  <c r="G424" i="2"/>
  <c r="I424" i="2" s="1"/>
  <c r="G138" i="2"/>
  <c r="I138" i="2" s="1"/>
  <c r="G187" i="2"/>
  <c r="H187" i="2" s="1"/>
  <c r="G203" i="2"/>
  <c r="G272" i="2"/>
  <c r="G297" i="2"/>
  <c r="G352" i="2"/>
  <c r="H352" i="2" s="1"/>
  <c r="G416" i="2"/>
  <c r="L416" i="2" s="1"/>
  <c r="G544" i="2"/>
  <c r="G298" i="2"/>
  <c r="L298" i="2" s="1"/>
  <c r="G3" i="2"/>
  <c r="L3" i="2" s="1"/>
  <c r="O3" i="2" s="1"/>
  <c r="G6" i="2"/>
  <c r="I6" i="2" s="1"/>
  <c r="G37" i="2"/>
  <c r="G69" i="2"/>
  <c r="G101" i="2"/>
  <c r="L101" i="2" s="1"/>
  <c r="G124" i="2"/>
  <c r="I124" i="2" s="1"/>
  <c r="G129" i="2"/>
  <c r="I129" i="2" s="1"/>
  <c r="G146" i="2"/>
  <c r="I146" i="2" s="1"/>
  <c r="G157" i="2"/>
  <c r="I157" i="2" s="1"/>
  <c r="G162" i="2"/>
  <c r="I162" i="2" s="1"/>
  <c r="G5" i="2"/>
  <c r="G195" i="2"/>
  <c r="G211" i="2"/>
  <c r="L211" i="2" s="1"/>
  <c r="G376" i="2"/>
  <c r="H376" i="2" s="1"/>
  <c r="G440" i="2"/>
  <c r="G504" i="2"/>
  <c r="L504" i="2" s="1"/>
  <c r="G568" i="2"/>
  <c r="L568" i="2" s="1"/>
  <c r="G8" i="2"/>
  <c r="I8" i="2" s="1"/>
  <c r="G21" i="2"/>
  <c r="G53" i="2"/>
  <c r="G149" i="2"/>
  <c r="H149" i="2" s="1"/>
  <c r="G417" i="2"/>
  <c r="I417" i="2" s="1"/>
  <c r="G408" i="2"/>
  <c r="G49" i="2"/>
  <c r="L49" i="2" s="1"/>
  <c r="N49" i="2" s="1"/>
  <c r="G17" i="2"/>
  <c r="L17" i="2" s="1"/>
  <c r="G31" i="2"/>
  <c r="G176" i="2"/>
  <c r="I176" i="2" s="1"/>
  <c r="G90" i="2"/>
  <c r="G104" i="2"/>
  <c r="I104" i="2" s="1"/>
  <c r="G113" i="2"/>
  <c r="L113" i="2" s="1"/>
  <c r="G127" i="2"/>
  <c r="L127" i="2" s="1"/>
  <c r="O127" i="2" s="1"/>
  <c r="G144" i="2"/>
  <c r="H144" i="2" s="1"/>
  <c r="G193" i="2"/>
  <c r="I193" i="2" s="1"/>
  <c r="G209" i="2"/>
  <c r="G233" i="2"/>
  <c r="G480" i="2"/>
  <c r="G13" i="2"/>
  <c r="H13" i="2" s="1"/>
  <c r="G488" i="2"/>
  <c r="I488" i="2" s="1"/>
  <c r="G10" i="2"/>
  <c r="G15" i="2"/>
  <c r="L15" i="2" s="1"/>
  <c r="G19" i="2"/>
  <c r="I19" i="2" s="1"/>
  <c r="G24" i="2"/>
  <c r="G33" i="2"/>
  <c r="G42" i="2"/>
  <c r="I42" i="2" s="1"/>
  <c r="G47" i="2"/>
  <c r="I47" i="2" s="1"/>
  <c r="G51" i="2"/>
  <c r="I51" i="2" s="1"/>
  <c r="G56" i="2"/>
  <c r="G65" i="2"/>
  <c r="L65" i="2" s="1"/>
  <c r="G74" i="2"/>
  <c r="H74" i="2" s="1"/>
  <c r="G79" i="2"/>
  <c r="I79" i="2" s="1"/>
  <c r="G83" i="2"/>
  <c r="I83" i="2" s="1"/>
  <c r="G88" i="2"/>
  <c r="I88" i="2" s="1"/>
  <c r="G405" i="2"/>
  <c r="I405" i="2" s="1"/>
  <c r="G106" i="2"/>
  <c r="L106" i="2" s="1"/>
  <c r="G111" i="2"/>
  <c r="G120" i="2"/>
  <c r="L120" i="2" s="1"/>
  <c r="G141" i="2"/>
  <c r="L141" i="2" s="1"/>
  <c r="G185" i="2"/>
  <c r="G190" i="2"/>
  <c r="G201" i="2"/>
  <c r="G206" i="2"/>
  <c r="L206" i="2" s="1"/>
  <c r="G224" i="2"/>
  <c r="L224" i="2" s="1"/>
  <c r="G249" i="2"/>
  <c r="G256" i="2"/>
  <c r="L256" i="2" s="1"/>
  <c r="G281" i="2"/>
  <c r="I281" i="2" s="1"/>
  <c r="G288" i="2"/>
  <c r="G313" i="2"/>
  <c r="G320" i="2"/>
  <c r="G384" i="2"/>
  <c r="H384" i="2" s="1"/>
  <c r="G448" i="2"/>
  <c r="I448" i="2" s="1"/>
  <c r="G512" i="2"/>
  <c r="G237" i="2"/>
  <c r="H237" i="2" s="1"/>
  <c r="G165" i="2"/>
  <c r="I165" i="2" s="1"/>
  <c r="G564" i="2"/>
  <c r="G214" i="2"/>
  <c r="G344" i="2"/>
  <c r="G472" i="2"/>
  <c r="H472" i="2" s="1"/>
  <c r="G40" i="2"/>
  <c r="L40" i="2" s="1"/>
  <c r="G58" i="2"/>
  <c r="G99" i="2"/>
  <c r="I99" i="2" s="1"/>
  <c r="G118" i="2"/>
  <c r="H118" i="2" s="1"/>
  <c r="G240" i="2"/>
  <c r="G265" i="2"/>
  <c r="G304" i="2"/>
  <c r="G45" i="2"/>
  <c r="I45" i="2" s="1"/>
  <c r="G109" i="2"/>
  <c r="L109" i="2" s="1"/>
  <c r="G133" i="2"/>
  <c r="G161" i="2"/>
  <c r="I161" i="2" s="1"/>
  <c r="G552" i="2"/>
  <c r="I552" i="2" s="1"/>
  <c r="G4" i="2"/>
  <c r="L4" i="2" s="1"/>
  <c r="G7" i="2"/>
  <c r="I7" i="2" s="1"/>
  <c r="G29" i="2"/>
  <c r="G61" i="2"/>
  <c r="L61" i="2" s="1"/>
  <c r="G93" i="2"/>
  <c r="I93" i="2" s="1"/>
  <c r="G116" i="2"/>
  <c r="G130" i="2"/>
  <c r="I130" i="2" s="1"/>
  <c r="G136" i="2"/>
  <c r="L136" i="2" s="1"/>
  <c r="G153" i="2"/>
  <c r="I153" i="2" s="1"/>
  <c r="G181" i="2"/>
  <c r="G218" i="2"/>
  <c r="G328" i="2"/>
  <c r="H328" i="2" s="1"/>
  <c r="G392" i="2"/>
  <c r="I392" i="2" s="1"/>
  <c r="G456" i="2"/>
  <c r="G520" i="2"/>
  <c r="I520" i="2" s="1"/>
  <c r="G11" i="2"/>
  <c r="L11" i="2" s="1"/>
  <c r="G16" i="2"/>
  <c r="G25" i="2"/>
  <c r="G34" i="2"/>
  <c r="G39" i="2"/>
  <c r="I39" i="2" s="1"/>
  <c r="G43" i="2"/>
  <c r="I43" i="2" s="1"/>
  <c r="G48" i="2"/>
  <c r="L48" i="2" s="1"/>
  <c r="G57" i="2"/>
  <c r="L57" i="2" s="1"/>
  <c r="G500" i="2"/>
  <c r="I500" i="2" s="1"/>
  <c r="G71" i="2"/>
  <c r="G75" i="2"/>
  <c r="I75" i="2" s="1"/>
  <c r="G80" i="2"/>
  <c r="G89" i="2"/>
  <c r="L89" i="2" s="1"/>
  <c r="G98" i="2"/>
  <c r="I98" i="2" s="1"/>
  <c r="G355" i="2"/>
  <c r="G107" i="2"/>
  <c r="I107" i="2" s="1"/>
  <c r="G112" i="2"/>
  <c r="I112" i="2" s="1"/>
  <c r="G121" i="2"/>
  <c r="G126" i="2"/>
  <c r="I126" i="2" s="1"/>
  <c r="G159" i="2"/>
  <c r="L159" i="2" s="1"/>
  <c r="G170" i="2"/>
  <c r="I170" i="2" s="1"/>
  <c r="G20" i="2"/>
  <c r="H20" i="2" s="1"/>
  <c r="G186" i="2"/>
  <c r="G202" i="2"/>
  <c r="L202" i="2" s="1"/>
  <c r="G225" i="2"/>
  <c r="L225" i="2" s="1"/>
  <c r="G232" i="2"/>
  <c r="G257" i="2"/>
  <c r="G264" i="2"/>
  <c r="G289" i="2"/>
  <c r="L289" i="2" s="1"/>
  <c r="G296" i="2"/>
  <c r="I296" i="2" s="1"/>
  <c r="G336" i="2"/>
  <c r="G400" i="2"/>
  <c r="H400" i="2" s="1"/>
  <c r="G464" i="2"/>
  <c r="L464" i="2" s="1"/>
  <c r="G528" i="2"/>
  <c r="G1020" i="1"/>
  <c r="G754" i="1"/>
  <c r="G1191" i="1"/>
  <c r="H1191" i="1" s="1"/>
  <c r="G329" i="1"/>
  <c r="I329" i="1" s="1"/>
  <c r="G323" i="1"/>
  <c r="L323" i="1" s="1"/>
  <c r="G684" i="1"/>
  <c r="I684" i="1" s="1"/>
  <c r="G393" i="1"/>
  <c r="H393" i="1" s="1"/>
  <c r="G526" i="1"/>
  <c r="H526" i="1" s="1"/>
  <c r="G188" i="1"/>
  <c r="H188" i="1" s="1"/>
  <c r="G387" i="1"/>
  <c r="G1060" i="1"/>
  <c r="I1060" i="1" s="1"/>
  <c r="G321" i="1"/>
  <c r="L321" i="1" s="1"/>
  <c r="O321" i="1" s="1"/>
  <c r="G147" i="1"/>
  <c r="L147" i="1" s="1"/>
  <c r="G210" i="1"/>
  <c r="H210" i="1" s="1"/>
  <c r="G164" i="1"/>
  <c r="H164" i="1" s="1"/>
  <c r="G1206" i="1"/>
  <c r="L1206" i="1" s="1"/>
  <c r="M1206" i="1" s="1"/>
  <c r="G141" i="1"/>
  <c r="L141" i="1" s="1"/>
  <c r="N141" i="1" s="1"/>
  <c r="G176" i="1"/>
  <c r="L176" i="1" s="1"/>
  <c r="G183" i="1"/>
  <c r="H183" i="1" s="1"/>
  <c r="G204" i="1"/>
  <c r="L204" i="1" s="1"/>
  <c r="G466" i="1"/>
  <c r="H466" i="1" s="1"/>
  <c r="G265" i="1"/>
  <c r="L265" i="1" s="1"/>
  <c r="G4" i="1"/>
  <c r="I4" i="1" s="1"/>
  <c r="G437" i="1"/>
  <c r="H437" i="1" s="1"/>
  <c r="G171" i="1"/>
  <c r="H171" i="1" s="1"/>
  <c r="G259" i="1"/>
  <c r="G138" i="1"/>
  <c r="H138" i="1" s="1"/>
  <c r="G195" i="1"/>
  <c r="H195" i="1" s="1"/>
  <c r="G229" i="1"/>
  <c r="L229" i="1" s="1"/>
  <c r="O229" i="1" s="1"/>
  <c r="G281" i="1"/>
  <c r="H281" i="1" s="1"/>
  <c r="G505" i="1"/>
  <c r="I505" i="1" s="1"/>
  <c r="G172" i="1"/>
  <c r="L172" i="1" s="1"/>
  <c r="G1953" i="1"/>
  <c r="I1953" i="1" s="1"/>
  <c r="G935" i="1"/>
  <c r="I935" i="1" s="1"/>
  <c r="G2" i="1"/>
  <c r="L2" i="1" s="1"/>
  <c r="G123" i="1"/>
  <c r="H123" i="1" s="1"/>
  <c r="G780" i="1"/>
  <c r="H780" i="1" s="1"/>
  <c r="G179" i="1"/>
  <c r="H179" i="1" s="1"/>
  <c r="G213" i="1"/>
  <c r="L213" i="1" s="1"/>
  <c r="N213" i="1" s="1"/>
  <c r="G243" i="1"/>
  <c r="H243" i="1" s="1"/>
  <c r="G255" i="1"/>
  <c r="L255" i="1" s="1"/>
  <c r="O255" i="1" s="1"/>
  <c r="G297" i="1"/>
  <c r="L297" i="1" s="1"/>
  <c r="G361" i="1"/>
  <c r="H361" i="1" s="1"/>
  <c r="G425" i="1"/>
  <c r="L425" i="1" s="1"/>
  <c r="G506" i="1"/>
  <c r="I506" i="1" s="1"/>
  <c r="G890" i="1"/>
  <c r="H890" i="1" s="1"/>
  <c r="G132" i="1"/>
  <c r="H132" i="1" s="1"/>
  <c r="G223" i="1"/>
  <c r="L223" i="1" s="1"/>
  <c r="O223" i="1" s="1"/>
  <c r="G345" i="1"/>
  <c r="L345" i="1" s="1"/>
  <c r="G155" i="1"/>
  <c r="I155" i="1" s="1"/>
  <c r="G339" i="1"/>
  <c r="H339" i="1" s="1"/>
  <c r="G134" i="1"/>
  <c r="L134" i="1" s="1"/>
  <c r="G150" i="1"/>
  <c r="I150" i="1" s="1"/>
  <c r="G156" i="1"/>
  <c r="H156" i="1" s="1"/>
  <c r="G208" i="1"/>
  <c r="L208" i="1" s="1"/>
  <c r="N208" i="1" s="1"/>
  <c r="G231" i="1"/>
  <c r="L231" i="1" s="1"/>
  <c r="M231" i="1" s="1"/>
  <c r="G219" i="1"/>
  <c r="H219" i="1" s="1"/>
  <c r="G291" i="1"/>
  <c r="L291" i="1" s="1"/>
  <c r="G355" i="1"/>
  <c r="I355" i="1" s="1"/>
  <c r="G419" i="1"/>
  <c r="I419" i="1" s="1"/>
  <c r="G440" i="1"/>
  <c r="H440" i="1" s="1"/>
  <c r="G1101" i="1"/>
  <c r="H1101" i="1" s="1"/>
  <c r="G2149" i="1"/>
  <c r="I2149" i="1" s="1"/>
  <c r="G148" i="1"/>
  <c r="H148" i="1" s="1"/>
  <c r="G247" i="1"/>
  <c r="L247" i="1" s="1"/>
  <c r="O247" i="1" s="1"/>
  <c r="G166" i="1"/>
  <c r="L166" i="1" s="1"/>
  <c r="G275" i="1"/>
  <c r="L275" i="1" s="1"/>
  <c r="G3" i="1"/>
  <c r="L3" i="1" s="1"/>
  <c r="G124" i="1"/>
  <c r="L124" i="1" s="1"/>
  <c r="O124" i="1" s="1"/>
  <c r="G140" i="1"/>
  <c r="L140" i="1" s="1"/>
  <c r="O140" i="1" s="1"/>
  <c r="G163" i="1"/>
  <c r="I163" i="1" s="1"/>
  <c r="G192" i="1"/>
  <c r="L192" i="1" s="1"/>
  <c r="O192" i="1" s="1"/>
  <c r="G203" i="1"/>
  <c r="L203" i="1" s="1"/>
  <c r="G313" i="1"/>
  <c r="I313" i="1" s="1"/>
  <c r="G377" i="1"/>
  <c r="L377" i="1" s="1"/>
  <c r="G737" i="1"/>
  <c r="I737" i="1" s="1"/>
  <c r="G838" i="1"/>
  <c r="L838" i="1" s="1"/>
  <c r="G885" i="1"/>
  <c r="L885" i="1" s="1"/>
  <c r="G1472" i="1"/>
  <c r="L1472" i="1" s="1"/>
  <c r="G122" i="1"/>
  <c r="L122" i="1" s="1"/>
  <c r="G142" i="1"/>
  <c r="L142" i="1" s="1"/>
  <c r="O142" i="1" s="1"/>
  <c r="G217" i="1"/>
  <c r="H217" i="1" s="1"/>
  <c r="G640" i="1"/>
  <c r="H640" i="1" s="1"/>
  <c r="G789" i="1"/>
  <c r="H789" i="1" s="1"/>
  <c r="G184" i="1"/>
  <c r="L184" i="1" s="1"/>
  <c r="M184" i="1" s="1"/>
  <c r="G403" i="1"/>
  <c r="H403" i="1" s="1"/>
  <c r="G431" i="1"/>
  <c r="I431" i="1" s="1"/>
  <c r="G130" i="1"/>
  <c r="L130" i="1" s="1"/>
  <c r="G187" i="1"/>
  <c r="H187" i="1" s="1"/>
  <c r="G199" i="1"/>
  <c r="H199" i="1" s="1"/>
  <c r="G215" i="1"/>
  <c r="L215" i="1" s="1"/>
  <c r="O215" i="1" s="1"/>
  <c r="G221" i="1"/>
  <c r="L221" i="1" s="1"/>
  <c r="N221" i="1" s="1"/>
  <c r="G227" i="1"/>
  <c r="L227" i="1" s="1"/>
  <c r="G239" i="1"/>
  <c r="L239" i="1" s="1"/>
  <c r="O239" i="1" s="1"/>
  <c r="G245" i="1"/>
  <c r="L245" i="1" s="1"/>
  <c r="O245" i="1" s="1"/>
  <c r="G307" i="1"/>
  <c r="I307" i="1" s="1"/>
  <c r="G1180" i="1"/>
  <c r="I1180" i="1" s="1"/>
  <c r="G892" i="1"/>
  <c r="L892" i="1" s="1"/>
  <c r="L6" i="2"/>
  <c r="O6" i="2" s="1"/>
  <c r="H129" i="2"/>
  <c r="L162" i="2"/>
  <c r="N162" i="2" s="1"/>
  <c r="O4" i="2"/>
  <c r="M4" i="2"/>
  <c r="N4" i="2"/>
  <c r="L569" i="2"/>
  <c r="I569" i="2"/>
  <c r="H569" i="2"/>
  <c r="N3" i="2"/>
  <c r="O176" i="1"/>
  <c r="N176" i="1"/>
  <c r="M176" i="1"/>
  <c r="L24" i="2"/>
  <c r="H24" i="2"/>
  <c r="L56" i="2"/>
  <c r="H56" i="2"/>
  <c r="H64" i="2"/>
  <c r="L72" i="2"/>
  <c r="H72" i="2"/>
  <c r="L80" i="2"/>
  <c r="H80" i="2"/>
  <c r="L88" i="2"/>
  <c r="H88" i="2"/>
  <c r="L339" i="2"/>
  <c r="H339" i="2"/>
  <c r="I127" i="2"/>
  <c r="H127" i="2"/>
  <c r="I159" i="2"/>
  <c r="H159" i="2"/>
  <c r="I181" i="2"/>
  <c r="H181" i="2"/>
  <c r="L181" i="2"/>
  <c r="L1191" i="1"/>
  <c r="I754" i="1"/>
  <c r="H754" i="1"/>
  <c r="L754" i="1"/>
  <c r="L27" i="2"/>
  <c r="H27" i="2"/>
  <c r="L83" i="2"/>
  <c r="H83" i="2"/>
  <c r="L91" i="2"/>
  <c r="H91" i="2"/>
  <c r="N229" i="1"/>
  <c r="M229" i="1"/>
  <c r="H8" i="2"/>
  <c r="L16" i="2"/>
  <c r="H16" i="2"/>
  <c r="L13" i="2"/>
  <c r="I16" i="2"/>
  <c r="L37" i="2"/>
  <c r="H37" i="2"/>
  <c r="I48" i="2"/>
  <c r="L53" i="2"/>
  <c r="H53" i="2"/>
  <c r="L69" i="2"/>
  <c r="H69" i="2"/>
  <c r="I80" i="2"/>
  <c r="I149" i="2"/>
  <c r="L149" i="2"/>
  <c r="L209" i="2"/>
  <c r="I209" i="2"/>
  <c r="H209" i="2"/>
  <c r="L183" i="1"/>
  <c r="I13" i="2"/>
  <c r="L34" i="2"/>
  <c r="H34" i="2"/>
  <c r="L74" i="2"/>
  <c r="L90" i="2"/>
  <c r="H90" i="2"/>
  <c r="I136" i="2"/>
  <c r="L186" i="2"/>
  <c r="I186" i="2"/>
  <c r="H186" i="2"/>
  <c r="L339" i="1"/>
  <c r="L31" i="2"/>
  <c r="H31" i="2"/>
  <c r="I34" i="2"/>
  <c r="L71" i="2"/>
  <c r="H71" i="2"/>
  <c r="I90" i="2"/>
  <c r="L355" i="2"/>
  <c r="H355" i="2"/>
  <c r="L111" i="2"/>
  <c r="H111" i="2"/>
  <c r="L118" i="2"/>
  <c r="L272" i="2"/>
  <c r="I272" i="2"/>
  <c r="H272" i="2"/>
  <c r="L320" i="2"/>
  <c r="I320" i="2"/>
  <c r="H320" i="2"/>
  <c r="L352" i="2"/>
  <c r="I352" i="2"/>
  <c r="L440" i="2"/>
  <c r="I440" i="2"/>
  <c r="H440" i="2"/>
  <c r="L528" i="2"/>
  <c r="I528" i="2"/>
  <c r="H528" i="2"/>
  <c r="H552" i="2"/>
  <c r="L59" i="2"/>
  <c r="H59" i="2"/>
  <c r="H206" i="2"/>
  <c r="L21" i="2"/>
  <c r="H21" i="2"/>
  <c r="L29" i="2"/>
  <c r="H29" i="2"/>
  <c r="I56" i="2"/>
  <c r="L77" i="2"/>
  <c r="H77" i="2"/>
  <c r="N127" i="2"/>
  <c r="M127" i="2"/>
  <c r="N159" i="2"/>
  <c r="M159" i="2"/>
  <c r="L193" i="2"/>
  <c r="I229" i="1"/>
  <c r="I4" i="2"/>
  <c r="L10" i="2"/>
  <c r="H10" i="2"/>
  <c r="I21" i="2"/>
  <c r="L42" i="2"/>
  <c r="H42" i="2"/>
  <c r="I53" i="2"/>
  <c r="I77" i="2"/>
  <c r="L114" i="2"/>
  <c r="H114" i="2"/>
  <c r="L121" i="2"/>
  <c r="H121" i="2"/>
  <c r="I5" i="2"/>
  <c r="L5" i="2"/>
  <c r="L216" i="2"/>
  <c r="I216" i="2"/>
  <c r="H216" i="2"/>
  <c r="I114" i="2"/>
  <c r="I121" i="2"/>
  <c r="L248" i="2"/>
  <c r="I248" i="2"/>
  <c r="H248" i="2"/>
  <c r="L264" i="2"/>
  <c r="I264" i="2"/>
  <c r="H264" i="2"/>
  <c r="L304" i="2"/>
  <c r="I304" i="2"/>
  <c r="H304" i="2"/>
  <c r="L344" i="2"/>
  <c r="I344" i="2"/>
  <c r="H344" i="2"/>
  <c r="H368" i="2"/>
  <c r="L432" i="2"/>
  <c r="I432" i="2"/>
  <c r="H432" i="2"/>
  <c r="L472" i="2"/>
  <c r="I472" i="2"/>
  <c r="L496" i="2"/>
  <c r="I496" i="2"/>
  <c r="H496" i="2"/>
  <c r="L512" i="2"/>
  <c r="I512" i="2"/>
  <c r="H512" i="2"/>
  <c r="L544" i="2"/>
  <c r="I544" i="2"/>
  <c r="H544" i="2"/>
  <c r="L560" i="2"/>
  <c r="I560" i="2"/>
  <c r="H560" i="2"/>
  <c r="G2" i="2"/>
  <c r="L7" i="2"/>
  <c r="G12" i="2"/>
  <c r="G239" i="2"/>
  <c r="G28" i="2"/>
  <c r="I31" i="2"/>
  <c r="G122" i="2"/>
  <c r="G44" i="2"/>
  <c r="G52" i="2"/>
  <c r="G60" i="2"/>
  <c r="G68" i="2"/>
  <c r="I71" i="2"/>
  <c r="G76" i="2"/>
  <c r="G84" i="2"/>
  <c r="G92" i="2"/>
  <c r="G100" i="2"/>
  <c r="I355" i="2"/>
  <c r="G108" i="2"/>
  <c r="I111" i="2"/>
  <c r="G115" i="2"/>
  <c r="G123" i="2"/>
  <c r="G128" i="2"/>
  <c r="G143" i="2"/>
  <c r="G145" i="2"/>
  <c r="L153" i="2"/>
  <c r="G160" i="2"/>
  <c r="H170" i="2"/>
  <c r="G175" i="2"/>
  <c r="G177" i="2"/>
  <c r="G180" i="2"/>
  <c r="G217" i="2"/>
  <c r="G36" i="2"/>
  <c r="G300" i="2"/>
  <c r="G227" i="2"/>
  <c r="G230" i="2"/>
  <c r="G235" i="2"/>
  <c r="G238" i="2"/>
  <c r="G243" i="2"/>
  <c r="G246" i="2"/>
  <c r="G251" i="2"/>
  <c r="G254" i="2"/>
  <c r="G259" i="2"/>
  <c r="G262" i="2"/>
  <c r="G267" i="2"/>
  <c r="G270" i="2"/>
  <c r="G275" i="2"/>
  <c r="G278" i="2"/>
  <c r="G283" i="2"/>
  <c r="G286" i="2"/>
  <c r="G291" i="2"/>
  <c r="G294" i="2"/>
  <c r="G299" i="2"/>
  <c r="G302" i="2"/>
  <c r="G307" i="2"/>
  <c r="G310" i="2"/>
  <c r="G315" i="2"/>
  <c r="G318" i="2"/>
  <c r="G323" i="2"/>
  <c r="G326" i="2"/>
  <c r="G331" i="2"/>
  <c r="G334" i="2"/>
  <c r="G219" i="2"/>
  <c r="G342" i="2"/>
  <c r="G469" i="2"/>
  <c r="G350" i="2"/>
  <c r="G541" i="2"/>
  <c r="G358" i="2"/>
  <c r="G363" i="2"/>
  <c r="G366" i="2"/>
  <c r="G371" i="2"/>
  <c r="G374" i="2"/>
  <c r="G379" i="2"/>
  <c r="G382" i="2"/>
  <c r="G242" i="2"/>
  <c r="G390" i="2"/>
  <c r="G395" i="2"/>
  <c r="G398" i="2"/>
  <c r="G403" i="2"/>
  <c r="G406" i="2"/>
  <c r="G411" i="2"/>
  <c r="G414" i="2"/>
  <c r="G419" i="2"/>
  <c r="G422" i="2"/>
  <c r="G427" i="2"/>
  <c r="G430" i="2"/>
  <c r="G435" i="2"/>
  <c r="G438" i="2"/>
  <c r="G443" i="2"/>
  <c r="G446" i="2"/>
  <c r="G451" i="2"/>
  <c r="G454" i="2"/>
  <c r="G459" i="2"/>
  <c r="G462" i="2"/>
  <c r="G421" i="2"/>
  <c r="G470" i="2"/>
  <c r="G576" i="2"/>
  <c r="G478" i="2"/>
  <c r="G483" i="2"/>
  <c r="G486" i="2"/>
  <c r="G491" i="2"/>
  <c r="G494" i="2"/>
  <c r="G499" i="2"/>
  <c r="G502" i="2"/>
  <c r="G507" i="2"/>
  <c r="G510" i="2"/>
  <c r="G515" i="2"/>
  <c r="G518" i="2"/>
  <c r="G523" i="2"/>
  <c r="G526" i="2"/>
  <c r="G531" i="2"/>
  <c r="G534" i="2"/>
  <c r="G539" i="2"/>
  <c r="G538" i="2"/>
  <c r="G547" i="2"/>
  <c r="G550" i="2"/>
  <c r="G555" i="2"/>
  <c r="G558" i="2"/>
  <c r="G563" i="2"/>
  <c r="G566" i="2"/>
  <c r="G571" i="2"/>
  <c r="G574" i="2"/>
  <c r="H7" i="2"/>
  <c r="L39" i="2"/>
  <c r="L47" i="2"/>
  <c r="L55" i="2"/>
  <c r="H55" i="2"/>
  <c r="L63" i="2"/>
  <c r="H63" i="2"/>
  <c r="L79" i="2"/>
  <c r="H79" i="2"/>
  <c r="L126" i="2"/>
  <c r="H126" i="2"/>
  <c r="H5" i="2"/>
  <c r="I173" i="2"/>
  <c r="L173" i="2"/>
  <c r="H173" i="2"/>
  <c r="L178" i="2"/>
  <c r="L564" i="2"/>
  <c r="I564" i="2"/>
  <c r="H564" i="2"/>
  <c r="L232" i="2"/>
  <c r="I232" i="2"/>
  <c r="H232" i="2"/>
  <c r="L328" i="2"/>
  <c r="I328" i="2"/>
  <c r="L360" i="2"/>
  <c r="I360" i="2"/>
  <c r="H360" i="2"/>
  <c r="L408" i="2"/>
  <c r="I408" i="2"/>
  <c r="H408" i="2"/>
  <c r="L198" i="2"/>
  <c r="H198" i="2"/>
  <c r="L66" i="2"/>
  <c r="H66" i="2"/>
  <c r="L81" i="2"/>
  <c r="H81" i="2"/>
  <c r="H405" i="2"/>
  <c r="L105" i="2"/>
  <c r="H105" i="2"/>
  <c r="L165" i="2"/>
  <c r="L185" i="2"/>
  <c r="I185" i="2"/>
  <c r="H185" i="2"/>
  <c r="L201" i="2"/>
  <c r="I201" i="2"/>
  <c r="H201" i="2"/>
  <c r="L233" i="2"/>
  <c r="I233" i="2"/>
  <c r="H233" i="2"/>
  <c r="L249" i="2"/>
  <c r="I249" i="2"/>
  <c r="H249" i="2"/>
  <c r="L257" i="2"/>
  <c r="I257" i="2"/>
  <c r="H257" i="2"/>
  <c r="L265" i="2"/>
  <c r="I265" i="2"/>
  <c r="H265" i="2"/>
  <c r="I273" i="2"/>
  <c r="L281" i="2"/>
  <c r="H289" i="2"/>
  <c r="L297" i="2"/>
  <c r="I297" i="2"/>
  <c r="H297" i="2"/>
  <c r="L305" i="2"/>
  <c r="I305" i="2"/>
  <c r="H305" i="2"/>
  <c r="L313" i="2"/>
  <c r="I313" i="2"/>
  <c r="H313" i="2"/>
  <c r="G321" i="2"/>
  <c r="G329" i="2"/>
  <c r="G337" i="2"/>
  <c r="G345" i="2"/>
  <c r="G353" i="2"/>
  <c r="G361" i="2"/>
  <c r="G369" i="2"/>
  <c r="G377" i="2"/>
  <c r="G183" i="2"/>
  <c r="G393" i="2"/>
  <c r="G401" i="2"/>
  <c r="G409" i="2"/>
  <c r="G373" i="2"/>
  <c r="G425" i="2"/>
  <c r="G433" i="2"/>
  <c r="G441" i="2"/>
  <c r="G449" i="2"/>
  <c r="G457" i="2"/>
  <c r="G465" i="2"/>
  <c r="G473" i="2"/>
  <c r="G481" i="2"/>
  <c r="G489" i="2"/>
  <c r="G475" i="2"/>
  <c r="G505" i="2"/>
  <c r="G513" i="2"/>
  <c r="G521" i="2"/>
  <c r="G529" i="2"/>
  <c r="G537" i="2"/>
  <c r="G545" i="2"/>
  <c r="G553" i="2"/>
  <c r="G561" i="2"/>
  <c r="I138" i="1"/>
  <c r="H377" i="1"/>
  <c r="H19" i="2"/>
  <c r="L176" i="2"/>
  <c r="H176" i="2"/>
  <c r="L75" i="2"/>
  <c r="H75" i="2"/>
  <c r="L424" i="2"/>
  <c r="H424" i="2"/>
  <c r="L190" i="2"/>
  <c r="I190" i="2"/>
  <c r="H190" i="2"/>
  <c r="H4" i="2"/>
  <c r="L8" i="2"/>
  <c r="I24" i="2"/>
  <c r="H45" i="2"/>
  <c r="I72" i="2"/>
  <c r="L116" i="2"/>
  <c r="H116" i="2"/>
  <c r="L195" i="2"/>
  <c r="I195" i="2"/>
  <c r="H195" i="2"/>
  <c r="L218" i="2"/>
  <c r="I218" i="2"/>
  <c r="H218" i="2"/>
  <c r="L1020" i="1"/>
  <c r="I1020" i="1"/>
  <c r="H1020" i="1"/>
  <c r="I176" i="1"/>
  <c r="L361" i="1"/>
  <c r="I361" i="1"/>
  <c r="L18" i="2"/>
  <c r="H18" i="2"/>
  <c r="I29" i="2"/>
  <c r="I37" i="2"/>
  <c r="L50" i="2"/>
  <c r="H50" i="2"/>
  <c r="L58" i="2"/>
  <c r="H58" i="2"/>
  <c r="I61" i="2"/>
  <c r="I69" i="2"/>
  <c r="L82" i="2"/>
  <c r="H82" i="2"/>
  <c r="I116" i="2"/>
  <c r="L129" i="2"/>
  <c r="O159" i="2"/>
  <c r="H178" i="2"/>
  <c r="L200" i="2"/>
  <c r="I200" i="2"/>
  <c r="I10" i="2"/>
  <c r="I50" i="2"/>
  <c r="I58" i="2"/>
  <c r="H141" i="2"/>
  <c r="H153" i="2"/>
  <c r="L214" i="2"/>
  <c r="I214" i="2"/>
  <c r="H214" i="2"/>
  <c r="L240" i="2"/>
  <c r="I240" i="2"/>
  <c r="H240" i="2"/>
  <c r="L288" i="2"/>
  <c r="I288" i="2"/>
  <c r="H288" i="2"/>
  <c r="L336" i="2"/>
  <c r="I336" i="2"/>
  <c r="H336" i="2"/>
  <c r="I384" i="2"/>
  <c r="L456" i="2"/>
  <c r="I456" i="2"/>
  <c r="H456" i="2"/>
  <c r="L480" i="2"/>
  <c r="I480" i="2"/>
  <c r="H480" i="2"/>
  <c r="L536" i="2"/>
  <c r="I536" i="2"/>
  <c r="H536" i="2"/>
  <c r="L9" i="2"/>
  <c r="H9" i="2"/>
  <c r="L25" i="2"/>
  <c r="H25" i="2"/>
  <c r="L33" i="2"/>
  <c r="H33" i="2"/>
  <c r="H120" i="2"/>
  <c r="I133" i="2"/>
  <c r="L133" i="2"/>
  <c r="H133" i="2"/>
  <c r="L187" i="2"/>
  <c r="I187" i="2"/>
  <c r="L203" i="2"/>
  <c r="I203" i="2"/>
  <c r="H203" i="2"/>
  <c r="H225" i="2"/>
  <c r="L341" i="2"/>
  <c r="I341" i="2"/>
  <c r="H341" i="2"/>
  <c r="G572" i="2"/>
  <c r="G522" i="2"/>
  <c r="G556" i="2"/>
  <c r="G168" i="2"/>
  <c r="G540" i="2"/>
  <c r="G532" i="2"/>
  <c r="G524" i="2"/>
  <c r="G516" i="2"/>
  <c r="G508" i="2"/>
  <c r="G192" i="2"/>
  <c r="G492" i="2"/>
  <c r="G484" i="2"/>
  <c r="G189" i="2"/>
  <c r="G468" i="2"/>
  <c r="G41" i="2"/>
  <c r="G452" i="2"/>
  <c r="G444" i="2"/>
  <c r="G436" i="2"/>
  <c r="G428" i="2"/>
  <c r="G420" i="2"/>
  <c r="G412" i="2"/>
  <c r="G404" i="2"/>
  <c r="G396" i="2"/>
  <c r="G388" i="2"/>
  <c r="G380" i="2"/>
  <c r="G372" i="2"/>
  <c r="G364" i="2"/>
  <c r="G356" i="2"/>
  <c r="G348" i="2"/>
  <c r="G340" i="2"/>
  <c r="G332" i="2"/>
  <c r="G324" i="2"/>
  <c r="G316" i="2"/>
  <c r="G548" i="2"/>
  <c r="G67" i="2"/>
  <c r="G292" i="2"/>
  <c r="G284" i="2"/>
  <c r="G276" i="2"/>
  <c r="G268" i="2"/>
  <c r="G260" i="2"/>
  <c r="G387" i="2"/>
  <c r="G244" i="2"/>
  <c r="G236" i="2"/>
  <c r="G228" i="2"/>
  <c r="G220" i="2"/>
  <c r="G212" i="2"/>
  <c r="G204" i="2"/>
  <c r="G196" i="2"/>
  <c r="G188" i="2"/>
  <c r="G179" i="2"/>
  <c r="G171" i="2"/>
  <c r="G163" i="2"/>
  <c r="G155" i="2"/>
  <c r="G147" i="2"/>
  <c r="G407" i="2"/>
  <c r="G131" i="2"/>
  <c r="G562" i="2"/>
  <c r="G554" i="2"/>
  <c r="G546" i="2"/>
  <c r="G530" i="2"/>
  <c r="G498" i="2"/>
  <c r="G482" i="2"/>
  <c r="G442" i="2"/>
  <c r="G434" i="2"/>
  <c r="G426" i="2"/>
  <c r="G418" i="2"/>
  <c r="G378" i="2"/>
  <c r="G362" i="2"/>
  <c r="G290" i="2"/>
  <c r="G266" i="2"/>
  <c r="G250" i="2"/>
  <c r="G467" i="2"/>
  <c r="G226" i="2"/>
  <c r="G575" i="2"/>
  <c r="G567" i="2"/>
  <c r="G559" i="2"/>
  <c r="G551" i="2"/>
  <c r="G543" i="2"/>
  <c r="G535" i="2"/>
  <c r="G527" i="2"/>
  <c r="G519" i="2"/>
  <c r="G511" i="2"/>
  <c r="G347" i="2"/>
  <c r="G495" i="2"/>
  <c r="G487" i="2"/>
  <c r="G479" i="2"/>
  <c r="G471" i="2"/>
  <c r="G463" i="2"/>
  <c r="G455" i="2"/>
  <c r="G447" i="2"/>
  <c r="G439" i="2"/>
  <c r="G431" i="2"/>
  <c r="G423" i="2"/>
  <c r="G415" i="2"/>
  <c r="G525" i="2"/>
  <c r="G399" i="2"/>
  <c r="G391" i="2"/>
  <c r="G383" i="2"/>
  <c r="G375" i="2"/>
  <c r="G367" i="2"/>
  <c r="G359" i="2"/>
  <c r="G351" i="2"/>
  <c r="G343" i="2"/>
  <c r="G335" i="2"/>
  <c r="G327" i="2"/>
  <c r="G319" i="2"/>
  <c r="G222" i="2"/>
  <c r="G303" i="2"/>
  <c r="G295" i="2"/>
  <c r="G287" i="2"/>
  <c r="G279" i="2"/>
  <c r="G271" i="2"/>
  <c r="G263" i="2"/>
  <c r="G255" i="2"/>
  <c r="G247" i="2"/>
  <c r="G476" i="2"/>
  <c r="G231" i="2"/>
  <c r="G223" i="2"/>
  <c r="G215" i="2"/>
  <c r="G207" i="2"/>
  <c r="G199" i="2"/>
  <c r="G191" i="2"/>
  <c r="G429" i="2"/>
  <c r="G172" i="2"/>
  <c r="G164" i="2"/>
  <c r="G156" i="2"/>
  <c r="G148" i="2"/>
  <c r="G140" i="2"/>
  <c r="G132" i="2"/>
  <c r="G570" i="2"/>
  <c r="G542" i="2"/>
  <c r="G311" i="2"/>
  <c r="G514" i="2"/>
  <c r="G506" i="2"/>
  <c r="G490" i="2"/>
  <c r="G474" i="2"/>
  <c r="G466" i="2"/>
  <c r="G458" i="2"/>
  <c r="G450" i="2"/>
  <c r="G410" i="2"/>
  <c r="G402" i="2"/>
  <c r="G394" i="2"/>
  <c r="G386" i="2"/>
  <c r="G370" i="2"/>
  <c r="G354" i="2"/>
  <c r="G346" i="2"/>
  <c r="G338" i="2"/>
  <c r="G330" i="2"/>
  <c r="G322" i="2"/>
  <c r="G314" i="2"/>
  <c r="G306" i="2"/>
  <c r="G97" i="2"/>
  <c r="G282" i="2"/>
  <c r="G274" i="2"/>
  <c r="G258" i="2"/>
  <c r="G234" i="2"/>
  <c r="G573" i="2"/>
  <c r="G565" i="2"/>
  <c r="G557" i="2"/>
  <c r="G549" i="2"/>
  <c r="G385" i="2"/>
  <c r="G533" i="2"/>
  <c r="G503" i="2"/>
  <c r="G517" i="2"/>
  <c r="G509" i="2"/>
  <c r="G501" i="2"/>
  <c r="G493" i="2"/>
  <c r="G485" i="2"/>
  <c r="G477" i="2"/>
  <c r="G252" i="2"/>
  <c r="G461" i="2"/>
  <c r="G453" i="2"/>
  <c r="G445" i="2"/>
  <c r="G437" i="2"/>
  <c r="G103" i="2"/>
  <c r="G96" i="2"/>
  <c r="G413" i="2"/>
  <c r="G139" i="2"/>
  <c r="G397" i="2"/>
  <c r="G389" i="2"/>
  <c r="G381" i="2"/>
  <c r="G182" i="2"/>
  <c r="G365" i="2"/>
  <c r="G229" i="2"/>
  <c r="G349" i="2"/>
  <c r="G241" i="2"/>
  <c r="G333" i="2"/>
  <c r="G325" i="2"/>
  <c r="G317" i="2"/>
  <c r="G309" i="2"/>
  <c r="G301" i="2"/>
  <c r="G293" i="2"/>
  <c r="G285" i="2"/>
  <c r="G277" i="2"/>
  <c r="G269" i="2"/>
  <c r="G308" i="2"/>
  <c r="G253" i="2"/>
  <c r="G245" i="2"/>
  <c r="G497" i="2"/>
  <c r="G261" i="2"/>
  <c r="G221" i="2"/>
  <c r="G213" i="2"/>
  <c r="G205" i="2"/>
  <c r="G197" i="2"/>
  <c r="G357" i="2"/>
  <c r="G174" i="2"/>
  <c r="G166" i="2"/>
  <c r="G158" i="2"/>
  <c r="G150" i="2"/>
  <c r="G142" i="2"/>
  <c r="G134" i="2"/>
  <c r="H6" i="2"/>
  <c r="I9" i="2"/>
  <c r="G14" i="2"/>
  <c r="G22" i="2"/>
  <c r="I25" i="2"/>
  <c r="G30" i="2"/>
  <c r="I33" i="2"/>
  <c r="G38" i="2"/>
  <c r="I198" i="2"/>
  <c r="G46" i="2"/>
  <c r="I66" i="2"/>
  <c r="G54" i="2"/>
  <c r="G62" i="2"/>
  <c r="G70" i="2"/>
  <c r="G78" i="2"/>
  <c r="I81" i="2"/>
  <c r="G86" i="2"/>
  <c r="G94" i="2"/>
  <c r="G102" i="2"/>
  <c r="I105" i="2"/>
  <c r="G110" i="2"/>
  <c r="G117" i="2"/>
  <c r="G125" i="2"/>
  <c r="G135" i="2"/>
  <c r="G137" i="2"/>
  <c r="G152" i="2"/>
  <c r="H162" i="2"/>
  <c r="G167" i="2"/>
  <c r="G169" i="2"/>
  <c r="G460" i="2"/>
  <c r="G194" i="2"/>
  <c r="G208" i="2"/>
  <c r="G210" i="2"/>
  <c r="I259" i="1"/>
  <c r="L259" i="1"/>
  <c r="H259" i="1"/>
  <c r="I387" i="1"/>
  <c r="L387" i="1"/>
  <c r="H387" i="1"/>
  <c r="I838" i="1"/>
  <c r="H838" i="1"/>
  <c r="I780" i="1"/>
  <c r="G237" i="1"/>
  <c r="G253" i="1"/>
  <c r="G435" i="1"/>
  <c r="G449" i="1"/>
  <c r="G489" i="1"/>
  <c r="G1336" i="1"/>
  <c r="I124" i="1"/>
  <c r="G131" i="1"/>
  <c r="G133" i="1"/>
  <c r="G137" i="1"/>
  <c r="G1950" i="1"/>
  <c r="H200" i="1"/>
  <c r="G207" i="1"/>
  <c r="G225" i="1"/>
  <c r="G241" i="1"/>
  <c r="G1258" i="1"/>
  <c r="O184" i="1"/>
  <c r="O200" i="1"/>
  <c r="N200" i="1"/>
  <c r="G2301" i="1"/>
  <c r="G2293" i="1"/>
  <c r="G2285" i="1"/>
  <c r="G2231" i="1"/>
  <c r="G2227" i="1"/>
  <c r="G2223" i="1"/>
  <c r="G2219" i="1"/>
  <c r="G2218" i="1"/>
  <c r="G2217" i="1"/>
  <c r="G2216" i="1"/>
  <c r="G2215" i="1"/>
  <c r="G2214" i="1"/>
  <c r="G2213" i="1"/>
  <c r="G2212" i="1"/>
  <c r="G1390" i="1"/>
  <c r="G2210" i="1"/>
  <c r="G1857" i="1"/>
  <c r="G2208" i="1"/>
  <c r="G2207" i="1"/>
  <c r="G2206" i="1"/>
  <c r="G2205" i="1"/>
  <c r="G2204" i="1"/>
  <c r="G2203" i="1"/>
  <c r="G1171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629" i="1"/>
  <c r="G1364" i="1"/>
  <c r="G822" i="1"/>
  <c r="G2186" i="1"/>
  <c r="G2185" i="1"/>
  <c r="G2184" i="1"/>
  <c r="G2183" i="1"/>
  <c r="G2182" i="1"/>
  <c r="G2181" i="1"/>
  <c r="G2180" i="1"/>
  <c r="G2179" i="1"/>
  <c r="G2178" i="1"/>
  <c r="G1840" i="1"/>
  <c r="G2298" i="1"/>
  <c r="G2290" i="1"/>
  <c r="G2282" i="1"/>
  <c r="G2234" i="1"/>
  <c r="G2303" i="1"/>
  <c r="G2295" i="1"/>
  <c r="G2287" i="1"/>
  <c r="G2279" i="1"/>
  <c r="G2277" i="1"/>
  <c r="G2275" i="1"/>
  <c r="G2273" i="1"/>
  <c r="G2271" i="1"/>
  <c r="G2269" i="1"/>
  <c r="G56" i="1"/>
  <c r="G2265" i="1"/>
  <c r="G2263" i="1"/>
  <c r="G2261" i="1"/>
  <c r="G2259" i="1"/>
  <c r="G2257" i="1"/>
  <c r="G2255" i="1"/>
  <c r="G499" i="1"/>
  <c r="G2251" i="1"/>
  <c r="G2249" i="1"/>
  <c r="G2247" i="1"/>
  <c r="G2245" i="1"/>
  <c r="G2243" i="1"/>
  <c r="G2241" i="1"/>
  <c r="G2239" i="1"/>
  <c r="G2237" i="1"/>
  <c r="G2228" i="1"/>
  <c r="G2224" i="1"/>
  <c r="G2220" i="1"/>
  <c r="G2300" i="1"/>
  <c r="G2292" i="1"/>
  <c r="G2284" i="1"/>
  <c r="G2232" i="1"/>
  <c r="G2297" i="1"/>
  <c r="G2289" i="1"/>
  <c r="G2281" i="1"/>
  <c r="G2235" i="1"/>
  <c r="G2229" i="1"/>
  <c r="G2225" i="1"/>
  <c r="G2221" i="1"/>
  <c r="G2299" i="1"/>
  <c r="G2294" i="1"/>
  <c r="G2176" i="1"/>
  <c r="G2280" i="1"/>
  <c r="G1365" i="1"/>
  <c r="G2272" i="1"/>
  <c r="G2268" i="1"/>
  <c r="G2264" i="1"/>
  <c r="G2260" i="1"/>
  <c r="G1588" i="1"/>
  <c r="G2252" i="1"/>
  <c r="G2248" i="1"/>
  <c r="G2244" i="1"/>
  <c r="G2240" i="1"/>
  <c r="G2233" i="1"/>
  <c r="G2230" i="1"/>
  <c r="G2302" i="1"/>
  <c r="G2236" i="1"/>
  <c r="G2288" i="1"/>
  <c r="G126" i="1"/>
  <c r="G2286" i="1"/>
  <c r="G2174" i="1"/>
  <c r="G2226" i="1"/>
  <c r="G2161" i="1"/>
  <c r="G2126" i="1"/>
  <c r="G2278" i="1"/>
  <c r="G2262" i="1"/>
  <c r="G2246" i="1"/>
  <c r="G2164" i="1"/>
  <c r="G2155" i="1"/>
  <c r="G2151" i="1"/>
  <c r="G50" i="1"/>
  <c r="G2143" i="1"/>
  <c r="G2139" i="1"/>
  <c r="G2135" i="1"/>
  <c r="G2066" i="1"/>
  <c r="G2127" i="1"/>
  <c r="G2283" i="1"/>
  <c r="G2159" i="1"/>
  <c r="G2120" i="1"/>
  <c r="G2119" i="1"/>
  <c r="G1582" i="1"/>
  <c r="G1386" i="1"/>
  <c r="G22" i="1"/>
  <c r="G2115" i="1"/>
  <c r="G2114" i="1"/>
  <c r="G1348" i="1"/>
  <c r="G2112" i="1"/>
  <c r="G2111" i="1"/>
  <c r="G2110" i="1"/>
  <c r="G2109" i="1"/>
  <c r="G2108" i="1"/>
  <c r="G2107" i="1"/>
  <c r="G2106" i="1"/>
  <c r="G2105" i="1"/>
  <c r="G2104" i="1"/>
  <c r="G546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1565" i="1"/>
  <c r="G2088" i="1"/>
  <c r="G2087" i="1"/>
  <c r="G813" i="1"/>
  <c r="G1421" i="1"/>
  <c r="G2266" i="1"/>
  <c r="G2250" i="1"/>
  <c r="G2173" i="1"/>
  <c r="G2171" i="1"/>
  <c r="G2169" i="1"/>
  <c r="G2167" i="1"/>
  <c r="G2162" i="1"/>
  <c r="G2156" i="1"/>
  <c r="G2152" i="1"/>
  <c r="G2148" i="1"/>
  <c r="G2144" i="1"/>
  <c r="G2140" i="1"/>
  <c r="G2136" i="1"/>
  <c r="G2132" i="1"/>
  <c r="G2128" i="1"/>
  <c r="G2121" i="1"/>
  <c r="G2165" i="1"/>
  <c r="G2122" i="1"/>
  <c r="G2274" i="1"/>
  <c r="G2254" i="1"/>
  <c r="G2222" i="1"/>
  <c r="G2170" i="1"/>
  <c r="G2160" i="1"/>
  <c r="G2157" i="1"/>
  <c r="G257" i="1"/>
  <c r="G2141" i="1"/>
  <c r="G2133" i="1"/>
  <c r="G2084" i="1"/>
  <c r="G2076" i="1"/>
  <c r="G748" i="1"/>
  <c r="G2085" i="1"/>
  <c r="G2077" i="1"/>
  <c r="G2166" i="1"/>
  <c r="G1019" i="1"/>
  <c r="G2146" i="1"/>
  <c r="G2138" i="1"/>
  <c r="G2130" i="1"/>
  <c r="G2125" i="1"/>
  <c r="G2078" i="1"/>
  <c r="G2258" i="1"/>
  <c r="G2238" i="1"/>
  <c r="G2172" i="1"/>
  <c r="G2188" i="1"/>
  <c r="G2175" i="1"/>
  <c r="G2153" i="1"/>
  <c r="G2145" i="1"/>
  <c r="G1838" i="1"/>
  <c r="G1829" i="1"/>
  <c r="G2080" i="1"/>
  <c r="G2168" i="1"/>
  <c r="G2158" i="1"/>
  <c r="G2075" i="1"/>
  <c r="G2073" i="1"/>
  <c r="G2071" i="1"/>
  <c r="G2069" i="1"/>
  <c r="G2067" i="1"/>
  <c r="G875" i="1"/>
  <c r="G2063" i="1"/>
  <c r="G2061" i="1"/>
  <c r="G2059" i="1"/>
  <c r="G2147" i="1"/>
  <c r="G2055" i="1"/>
  <c r="G2053" i="1"/>
  <c r="G2051" i="1"/>
  <c r="G2049" i="1"/>
  <c r="G2047" i="1"/>
  <c r="G2045" i="1"/>
  <c r="G469" i="1"/>
  <c r="G2041" i="1"/>
  <c r="G923" i="1"/>
  <c r="G2037" i="1"/>
  <c r="G2035" i="1"/>
  <c r="G2033" i="1"/>
  <c r="G2031" i="1"/>
  <c r="G191" i="1"/>
  <c r="G2027" i="1"/>
  <c r="G2025" i="1"/>
  <c r="G2023" i="1"/>
  <c r="G2015" i="1"/>
  <c r="G1944" i="1"/>
  <c r="G2123" i="1"/>
  <c r="G2082" i="1"/>
  <c r="G2018" i="1"/>
  <c r="G2009" i="1"/>
  <c r="G2005" i="1"/>
  <c r="G2001" i="1"/>
  <c r="G1997" i="1"/>
  <c r="G1993" i="1"/>
  <c r="G1989" i="1"/>
  <c r="G1985" i="1"/>
  <c r="G1981" i="1"/>
  <c r="G1977" i="1"/>
  <c r="G1973" i="1"/>
  <c r="G1969" i="1"/>
  <c r="G1965" i="1"/>
  <c r="G704" i="1"/>
  <c r="G1957" i="1"/>
  <c r="G2291" i="1"/>
  <c r="G1949" i="1"/>
  <c r="G1945" i="1"/>
  <c r="G2242" i="1"/>
  <c r="G1103" i="1"/>
  <c r="G2021" i="1"/>
  <c r="G2013" i="1"/>
  <c r="G2081" i="1"/>
  <c r="G2016" i="1"/>
  <c r="G2010" i="1"/>
  <c r="G2006" i="1"/>
  <c r="G2002" i="1"/>
  <c r="G1998" i="1"/>
  <c r="G20" i="1"/>
  <c r="G1990" i="1"/>
  <c r="G1986" i="1"/>
  <c r="G1982" i="1"/>
  <c r="G1978" i="1"/>
  <c r="G2296" i="1"/>
  <c r="G1970" i="1"/>
  <c r="G1966" i="1"/>
  <c r="G1962" i="1"/>
  <c r="G1958" i="1"/>
  <c r="G1954" i="1"/>
  <c r="G1942" i="1"/>
  <c r="G1946" i="1"/>
  <c r="G2270" i="1"/>
  <c r="G2074" i="1"/>
  <c r="G2072" i="1"/>
  <c r="G728" i="1"/>
  <c r="G2068" i="1"/>
  <c r="G2065" i="1"/>
  <c r="G110" i="1"/>
  <c r="G2062" i="1"/>
  <c r="G2060" i="1"/>
  <c r="G2058" i="1"/>
  <c r="G2056" i="1"/>
  <c r="G2054" i="1"/>
  <c r="G2052" i="1"/>
  <c r="G2050" i="1"/>
  <c r="G2048" i="1"/>
  <c r="G2046" i="1"/>
  <c r="G2044" i="1"/>
  <c r="G2042" i="1"/>
  <c r="G2040" i="1"/>
  <c r="G2038" i="1"/>
  <c r="G2036" i="1"/>
  <c r="G2034" i="1"/>
  <c r="G2032" i="1"/>
  <c r="G2030" i="1"/>
  <c r="G2028" i="1"/>
  <c r="G2026" i="1"/>
  <c r="G2024" i="1"/>
  <c r="G2019" i="1"/>
  <c r="G1940" i="1"/>
  <c r="G1939" i="1"/>
  <c r="G1938" i="1"/>
  <c r="G1937" i="1"/>
  <c r="G1936" i="1"/>
  <c r="G1935" i="1"/>
  <c r="G1934" i="1"/>
  <c r="G1740" i="1"/>
  <c r="G1932" i="1"/>
  <c r="G1931" i="1"/>
  <c r="G1930" i="1"/>
  <c r="G1929" i="1"/>
  <c r="G1928" i="1"/>
  <c r="G1927" i="1"/>
  <c r="G1926" i="1"/>
  <c r="G1925" i="1"/>
  <c r="G1924" i="1"/>
  <c r="G1923" i="1"/>
  <c r="G1922" i="1"/>
  <c r="G2116" i="1"/>
  <c r="G1920" i="1"/>
  <c r="G1919" i="1"/>
  <c r="G1918" i="1"/>
  <c r="G1917" i="1"/>
  <c r="G1882" i="1"/>
  <c r="G1872" i="1"/>
  <c r="G1864" i="1"/>
  <c r="G1863" i="1"/>
  <c r="G1862" i="1"/>
  <c r="G1861" i="1"/>
  <c r="G1860" i="1"/>
  <c r="G1859" i="1"/>
  <c r="G1858" i="1"/>
  <c r="G15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012" i="1"/>
  <c r="G1839" i="1"/>
  <c r="G2177" i="1"/>
  <c r="G1837" i="1"/>
  <c r="G1836" i="1"/>
  <c r="G1835" i="1"/>
  <c r="G1834" i="1"/>
  <c r="G1833" i="1"/>
  <c r="G1832" i="1"/>
  <c r="G1831" i="1"/>
  <c r="G1830" i="1"/>
  <c r="G1554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2276" i="1"/>
  <c r="G1815" i="1"/>
  <c r="G1814" i="1"/>
  <c r="G1813" i="1"/>
  <c r="G1812" i="1"/>
  <c r="G1811" i="1"/>
  <c r="G1810" i="1"/>
  <c r="G1809" i="1"/>
  <c r="G1808" i="1"/>
  <c r="G1807" i="1"/>
  <c r="G1806" i="1"/>
  <c r="G54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61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552" i="1"/>
  <c r="G1773" i="1"/>
  <c r="G1772" i="1"/>
  <c r="G1771" i="1"/>
  <c r="G1770" i="1"/>
  <c r="G1769" i="1"/>
  <c r="G1768" i="1"/>
  <c r="G77" i="1"/>
  <c r="G1766" i="1"/>
  <c r="G1765" i="1"/>
  <c r="G1764" i="1"/>
  <c r="G1763" i="1"/>
  <c r="G1762" i="1"/>
  <c r="G1761" i="1"/>
  <c r="G1760" i="1"/>
  <c r="G1759" i="1"/>
  <c r="G1758" i="1"/>
  <c r="G1757" i="1"/>
  <c r="G1169" i="1"/>
  <c r="G1755" i="1"/>
  <c r="G1933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668" i="1"/>
  <c r="G1739" i="1"/>
  <c r="G1738" i="1"/>
  <c r="G1737" i="1"/>
  <c r="G1736" i="1"/>
  <c r="G1735" i="1"/>
  <c r="G1734" i="1"/>
  <c r="G1733" i="1"/>
  <c r="G1732" i="1"/>
  <c r="G1731" i="1"/>
  <c r="G1730" i="1"/>
  <c r="G1729" i="1"/>
  <c r="G2014" i="1"/>
  <c r="G2011" i="1"/>
  <c r="G2003" i="1"/>
  <c r="G1995" i="1"/>
  <c r="G1987" i="1"/>
  <c r="G1979" i="1"/>
  <c r="G1971" i="1"/>
  <c r="G1963" i="1"/>
  <c r="G2117" i="1"/>
  <c r="G1947" i="1"/>
  <c r="G1877" i="1"/>
  <c r="G1873" i="1"/>
  <c r="G1865" i="1"/>
  <c r="G2017" i="1"/>
  <c r="G1647" i="1"/>
  <c r="G1880" i="1"/>
  <c r="G1874" i="1"/>
  <c r="G1866" i="1"/>
  <c r="G2134" i="1"/>
  <c r="G2020" i="1"/>
  <c r="G726" i="1"/>
  <c r="G2000" i="1"/>
  <c r="G1992" i="1"/>
  <c r="G1984" i="1"/>
  <c r="G1976" i="1"/>
  <c r="G1968" i="1"/>
  <c r="G1960" i="1"/>
  <c r="G1952" i="1"/>
  <c r="G1915" i="1"/>
  <c r="G1727" i="1"/>
  <c r="G1911" i="1"/>
  <c r="G1909" i="1"/>
  <c r="G1907" i="1"/>
  <c r="G1905" i="1"/>
  <c r="G1903" i="1"/>
  <c r="G1901" i="1"/>
  <c r="G125" i="1"/>
  <c r="G1897" i="1"/>
  <c r="G1895" i="1"/>
  <c r="G1893" i="1"/>
  <c r="G1891" i="1"/>
  <c r="G698" i="1"/>
  <c r="G1887" i="1"/>
  <c r="G1885" i="1"/>
  <c r="G1883" i="1"/>
  <c r="G1867" i="1"/>
  <c r="G1941" i="1"/>
  <c r="G1878" i="1"/>
  <c r="G1875" i="1"/>
  <c r="G1868" i="1"/>
  <c r="G2012" i="1"/>
  <c r="G2004" i="1"/>
  <c r="G1996" i="1"/>
  <c r="G1988" i="1"/>
  <c r="G1980" i="1"/>
  <c r="G1320" i="1"/>
  <c r="G1964" i="1"/>
  <c r="G1956" i="1"/>
  <c r="G1948" i="1"/>
  <c r="G1904" i="1"/>
  <c r="G1888" i="1"/>
  <c r="G2007" i="1"/>
  <c r="G1999" i="1"/>
  <c r="G1991" i="1"/>
  <c r="G1983" i="1"/>
  <c r="G1975" i="1"/>
  <c r="G1967" i="1"/>
  <c r="G1959" i="1"/>
  <c r="G1951" i="1"/>
  <c r="G79" i="1"/>
  <c r="G1894" i="1"/>
  <c r="G1308" i="1"/>
  <c r="G1870" i="1"/>
  <c r="G1728" i="1"/>
  <c r="G458" i="1"/>
  <c r="G1726" i="1"/>
  <c r="G1725" i="1"/>
  <c r="G1916" i="1"/>
  <c r="G2187" i="1"/>
  <c r="G2029" i="1"/>
  <c r="G2124" i="1"/>
  <c r="G1382" i="1"/>
  <c r="G1943" i="1"/>
  <c r="G1906" i="1"/>
  <c r="G1890" i="1"/>
  <c r="G1869" i="1"/>
  <c r="G1908" i="1"/>
  <c r="G1892" i="1"/>
  <c r="G1876" i="1"/>
  <c r="G1871" i="1"/>
  <c r="G1340" i="1"/>
  <c r="G1896" i="1"/>
  <c r="G1886" i="1"/>
  <c r="G1879" i="1"/>
  <c r="G1898" i="1"/>
  <c r="G1914" i="1"/>
  <c r="G1722" i="1"/>
  <c r="G1714" i="1"/>
  <c r="G1706" i="1"/>
  <c r="G1698" i="1"/>
  <c r="G1690" i="1"/>
  <c r="G1682" i="1"/>
  <c r="G1674" i="1"/>
  <c r="G1666" i="1"/>
  <c r="G1658" i="1"/>
  <c r="G1650" i="1"/>
  <c r="G1642" i="1"/>
  <c r="G1634" i="1"/>
  <c r="G1626" i="1"/>
  <c r="G1618" i="1"/>
  <c r="G1610" i="1"/>
  <c r="G1602" i="1"/>
  <c r="G1594" i="1"/>
  <c r="G1586" i="1"/>
  <c r="G1578" i="1"/>
  <c r="G1570" i="1"/>
  <c r="G1562" i="1"/>
  <c r="G2163" i="1"/>
  <c r="G1546" i="1"/>
  <c r="G1538" i="1"/>
  <c r="G1530" i="1"/>
  <c r="G1522" i="1"/>
  <c r="G1514" i="1"/>
  <c r="G1506" i="1"/>
  <c r="G2057" i="1"/>
  <c r="G1902" i="1"/>
  <c r="G1717" i="1"/>
  <c r="G1709" i="1"/>
  <c r="G1701" i="1"/>
  <c r="G1693" i="1"/>
  <c r="G1685" i="1"/>
  <c r="G1677" i="1"/>
  <c r="G2008" i="1"/>
  <c r="G1661" i="1"/>
  <c r="G1653" i="1"/>
  <c r="G1645" i="1"/>
  <c r="G1637" i="1"/>
  <c r="G1629" i="1"/>
  <c r="G1621" i="1"/>
  <c r="G1613" i="1"/>
  <c r="G1605" i="1"/>
  <c r="G1597" i="1"/>
  <c r="G1589" i="1"/>
  <c r="G1581" i="1"/>
  <c r="G1573" i="1"/>
  <c r="G1011" i="1"/>
  <c r="G928" i="1"/>
  <c r="G1090" i="1"/>
  <c r="G1541" i="1"/>
  <c r="G1533" i="1"/>
  <c r="G1525" i="1"/>
  <c r="G1721" i="1"/>
  <c r="G1713" i="1"/>
  <c r="G1705" i="1"/>
  <c r="G299" i="1"/>
  <c r="G1689" i="1"/>
  <c r="G1681" i="1"/>
  <c r="G1673" i="1"/>
  <c r="G1665" i="1"/>
  <c r="G1657" i="1"/>
  <c r="G1649" i="1"/>
  <c r="G1641" i="1"/>
  <c r="G1550" i="1"/>
  <c r="G1625" i="1"/>
  <c r="G1617" i="1"/>
  <c r="G922" i="1"/>
  <c r="G1601" i="1"/>
  <c r="G1593" i="1"/>
  <c r="G1585" i="1"/>
  <c r="G1577" i="1"/>
  <c r="G1569" i="1"/>
  <c r="G1561" i="1"/>
  <c r="G1553" i="1"/>
  <c r="G1545" i="1"/>
  <c r="G1537" i="1"/>
  <c r="G1529" i="1"/>
  <c r="G1521" i="1"/>
  <c r="G1513" i="1"/>
  <c r="G1505" i="1"/>
  <c r="G1497" i="1"/>
  <c r="G1489" i="1"/>
  <c r="G1481" i="1"/>
  <c r="G1473" i="1"/>
  <c r="G1465" i="1"/>
  <c r="G1459" i="1"/>
  <c r="G1455" i="1"/>
  <c r="G1451" i="1"/>
  <c r="G1912" i="1"/>
  <c r="G1716" i="1"/>
  <c r="G2022" i="1"/>
  <c r="G1684" i="1"/>
  <c r="G1668" i="1"/>
  <c r="G1652" i="1"/>
  <c r="G1636" i="1"/>
  <c r="G1620" i="1"/>
  <c r="G1604" i="1"/>
  <c r="G1549" i="1"/>
  <c r="G1572" i="1"/>
  <c r="G1556" i="1"/>
  <c r="G617" i="1"/>
  <c r="G1524" i="1"/>
  <c r="G1511" i="1"/>
  <c r="G1503" i="1"/>
  <c r="G1495" i="1"/>
  <c r="G1486" i="1"/>
  <c r="G1470" i="1"/>
  <c r="G1921" i="1"/>
  <c r="G1438" i="1"/>
  <c r="G1430" i="1"/>
  <c r="G1720" i="1"/>
  <c r="G1718" i="1"/>
  <c r="G1711" i="1"/>
  <c r="G1704" i="1"/>
  <c r="G1702" i="1"/>
  <c r="G1695" i="1"/>
  <c r="G1688" i="1"/>
  <c r="G1686" i="1"/>
  <c r="G1679" i="1"/>
  <c r="G1672" i="1"/>
  <c r="G1670" i="1"/>
  <c r="G1663" i="1"/>
  <c r="G1656" i="1"/>
  <c r="G1654" i="1"/>
  <c r="G120" i="1"/>
  <c r="G1640" i="1"/>
  <c r="G1638" i="1"/>
  <c r="G1631" i="1"/>
  <c r="G1624" i="1"/>
  <c r="G1622" i="1"/>
  <c r="G1615" i="1"/>
  <c r="G1608" i="1"/>
  <c r="G1606" i="1"/>
  <c r="G1599" i="1"/>
  <c r="G1592" i="1"/>
  <c r="G1590" i="1"/>
  <c r="G1583" i="1"/>
  <c r="G1576" i="1"/>
  <c r="G1574" i="1"/>
  <c r="G1567" i="1"/>
  <c r="G1560" i="1"/>
  <c r="G1558" i="1"/>
  <c r="G1551" i="1"/>
  <c r="G1544" i="1"/>
  <c r="G1542" i="1"/>
  <c r="G1535" i="1"/>
  <c r="G1528" i="1"/>
  <c r="G1526" i="1"/>
  <c r="G1519" i="1"/>
  <c r="G1517" i="1"/>
  <c r="G1515" i="1"/>
  <c r="G1509" i="1"/>
  <c r="G1507" i="1"/>
  <c r="G1501" i="1"/>
  <c r="G1499" i="1"/>
  <c r="G1493" i="1"/>
  <c r="G1484" i="1"/>
  <c r="G1477" i="1"/>
  <c r="G1468" i="1"/>
  <c r="G985" i="1"/>
  <c r="G1458" i="1"/>
  <c r="G1449" i="1"/>
  <c r="G1445" i="1"/>
  <c r="G1439" i="1"/>
  <c r="G249" i="1"/>
  <c r="G1380" i="1"/>
  <c r="G1482" i="1"/>
  <c r="G1475" i="1"/>
  <c r="G1466" i="1"/>
  <c r="G1440" i="1"/>
  <c r="G1432" i="1"/>
  <c r="G1102" i="1"/>
  <c r="G1699" i="1"/>
  <c r="G667" i="1"/>
  <c r="G1671" i="1"/>
  <c r="G1646" i="1"/>
  <c r="G354" i="1"/>
  <c r="G1596" i="1"/>
  <c r="G1571" i="1"/>
  <c r="G1703" i="1"/>
  <c r="G1543" i="1"/>
  <c r="G1700" i="1"/>
  <c r="G1010" i="1"/>
  <c r="G1502" i="1"/>
  <c r="G1494" i="1"/>
  <c r="G1476" i="1"/>
  <c r="G1463" i="1"/>
  <c r="G1456" i="1"/>
  <c r="G1448" i="1"/>
  <c r="G1429" i="1"/>
  <c r="G1425" i="1"/>
  <c r="G1532" i="1"/>
  <c r="G340" i="1"/>
  <c r="G1413" i="1"/>
  <c r="G1409" i="1"/>
  <c r="G1405" i="1"/>
  <c r="G1401" i="1"/>
  <c r="G1397" i="1"/>
  <c r="G1816" i="1"/>
  <c r="G1389" i="1"/>
  <c r="G1385" i="1"/>
  <c r="G1381" i="1"/>
  <c r="G1163" i="1"/>
  <c r="G1373" i="1"/>
  <c r="G1369" i="1"/>
  <c r="G896" i="1"/>
  <c r="G1361" i="1"/>
  <c r="G1357" i="1"/>
  <c r="G1353" i="1"/>
  <c r="G1349" i="1"/>
  <c r="G1345" i="1"/>
  <c r="G1341" i="1"/>
  <c r="G1337" i="1"/>
  <c r="G1333" i="1"/>
  <c r="G1329" i="1"/>
  <c r="G1325" i="1"/>
  <c r="G1322" i="1"/>
  <c r="G1318" i="1"/>
  <c r="G1314" i="1"/>
  <c r="G1310" i="1"/>
  <c r="G1707" i="1"/>
  <c r="G1696" i="1"/>
  <c r="G1683" i="1"/>
  <c r="G1664" i="1"/>
  <c r="G1655" i="1"/>
  <c r="G1630" i="1"/>
  <c r="G1627" i="1"/>
  <c r="G1580" i="1"/>
  <c r="G1555" i="1"/>
  <c r="G1536" i="1"/>
  <c r="G1527" i="1"/>
  <c r="G1512" i="1"/>
  <c r="G1504" i="1"/>
  <c r="G1496" i="1"/>
  <c r="G1478" i="1"/>
  <c r="G1454" i="1"/>
  <c r="G1444" i="1"/>
  <c r="G1442" i="1"/>
  <c r="G1213" i="1"/>
  <c r="G1205" i="1"/>
  <c r="G1197" i="1"/>
  <c r="G1724" i="1"/>
  <c r="G1710" i="1"/>
  <c r="G2267" i="1"/>
  <c r="G851" i="1"/>
  <c r="G1667" i="1"/>
  <c r="G1648" i="1"/>
  <c r="G1639" i="1"/>
  <c r="G1614" i="1"/>
  <c r="G1611" i="1"/>
  <c r="G1564" i="1"/>
  <c r="G1539" i="1"/>
  <c r="G1452" i="1"/>
  <c r="G1488" i="1"/>
  <c r="G1480" i="1"/>
  <c r="G1437" i="1"/>
  <c r="G1426" i="1"/>
  <c r="G1377" i="1"/>
  <c r="G1418" i="1"/>
  <c r="G1414" i="1"/>
  <c r="G541" i="1"/>
  <c r="G1406" i="1"/>
  <c r="G1402" i="1"/>
  <c r="G1398" i="1"/>
  <c r="G1394" i="1"/>
  <c r="G175" i="1"/>
  <c r="G1913" i="1"/>
  <c r="G76" i="1"/>
  <c r="G1378" i="1"/>
  <c r="G1374" i="1"/>
  <c r="G332" i="1"/>
  <c r="G1366" i="1"/>
  <c r="G1362" i="1"/>
  <c r="G1358" i="1"/>
  <c r="G1354" i="1"/>
  <c r="G1350" i="1"/>
  <c r="G1346" i="1"/>
  <c r="G1342" i="1"/>
  <c r="G1338" i="1"/>
  <c r="G1334" i="1"/>
  <c r="G1330" i="1"/>
  <c r="G1326" i="1"/>
  <c r="G1323" i="1"/>
  <c r="G1319" i="1"/>
  <c r="G1315" i="1"/>
  <c r="G1311" i="1"/>
  <c r="G1307" i="1"/>
  <c r="G1303" i="1"/>
  <c r="G1299" i="1"/>
  <c r="G1295" i="1"/>
  <c r="G1291" i="1"/>
  <c r="G1287" i="1"/>
  <c r="G1283" i="1"/>
  <c r="G1279" i="1"/>
  <c r="G1275" i="1"/>
  <c r="G1271" i="1"/>
  <c r="G1267" i="1"/>
  <c r="G1263" i="1"/>
  <c r="G1259" i="1"/>
  <c r="G975" i="1"/>
  <c r="G1251" i="1"/>
  <c r="G1247" i="1"/>
  <c r="G1243" i="1"/>
  <c r="G1239" i="1"/>
  <c r="G1235" i="1"/>
  <c r="G1231" i="1"/>
  <c r="G1227" i="1"/>
  <c r="G1223" i="1"/>
  <c r="G1219" i="1"/>
  <c r="G1214" i="1"/>
  <c r="G844" i="1"/>
  <c r="G1198" i="1"/>
  <c r="G1676" i="1"/>
  <c r="G1651" i="1"/>
  <c r="G1715" i="1"/>
  <c r="G1623" i="1"/>
  <c r="G1598" i="1"/>
  <c r="G1595" i="1"/>
  <c r="G1548" i="1"/>
  <c r="G1523" i="1"/>
  <c r="G1483" i="1"/>
  <c r="G1462" i="1"/>
  <c r="G1540" i="1"/>
  <c r="G1453" i="1"/>
  <c r="G1435" i="1"/>
  <c r="G1433" i="1"/>
  <c r="G1215" i="1"/>
  <c r="G1207" i="1"/>
  <c r="G1199" i="1"/>
  <c r="G1723" i="1"/>
  <c r="G1708" i="1"/>
  <c r="G1662" i="1"/>
  <c r="G1644" i="1"/>
  <c r="G1635" i="1"/>
  <c r="G1563" i="1"/>
  <c r="G544" i="1"/>
  <c r="G1490" i="1"/>
  <c r="G1424" i="1"/>
  <c r="G1643" i="1"/>
  <c r="G1408" i="1"/>
  <c r="G1403" i="1"/>
  <c r="G1392" i="1"/>
  <c r="G1387" i="1"/>
  <c r="G1376" i="1"/>
  <c r="G1371" i="1"/>
  <c r="G1360" i="1"/>
  <c r="G1355" i="1"/>
  <c r="G1344" i="1"/>
  <c r="G1339" i="1"/>
  <c r="G1328" i="1"/>
  <c r="G1324" i="1"/>
  <c r="G1313" i="1"/>
  <c r="G1805" i="1"/>
  <c r="G1297" i="1"/>
  <c r="G1282" i="1"/>
  <c r="G1276" i="1"/>
  <c r="G1265" i="1"/>
  <c r="G1250" i="1"/>
  <c r="G1244" i="1"/>
  <c r="G1233" i="1"/>
  <c r="G2211" i="1"/>
  <c r="G1196" i="1"/>
  <c r="G1189" i="1"/>
  <c r="G1181" i="1"/>
  <c r="G1173" i="1"/>
  <c r="G1165" i="1"/>
  <c r="G1157" i="1"/>
  <c r="G1149" i="1"/>
  <c r="G1141" i="1"/>
  <c r="G1135" i="1"/>
  <c r="G1131" i="1"/>
  <c r="G1127" i="1"/>
  <c r="G1123" i="1"/>
  <c r="G1119" i="1"/>
  <c r="G1115" i="1"/>
  <c r="G1111" i="1"/>
  <c r="G1107" i="1"/>
  <c r="G432" i="1"/>
  <c r="G426" i="1"/>
  <c r="G1095" i="1"/>
  <c r="G1091" i="1"/>
  <c r="G1087" i="1"/>
  <c r="G1083" i="1"/>
  <c r="G1079" i="1"/>
  <c r="G1075" i="1"/>
  <c r="G1774" i="1"/>
  <c r="G1062" i="1"/>
  <c r="G1054" i="1"/>
  <c r="G2131" i="1"/>
  <c r="G1038" i="1"/>
  <c r="G1712" i="1"/>
  <c r="G1099" i="1"/>
  <c r="G1616" i="1"/>
  <c r="G1612" i="1"/>
  <c r="G1603" i="1"/>
  <c r="G1474" i="1"/>
  <c r="G1304" i="1"/>
  <c r="G1293" i="1"/>
  <c r="G2256" i="1"/>
  <c r="G1272" i="1"/>
  <c r="G590" i="1"/>
  <c r="G1246" i="1"/>
  <c r="G1910" i="1"/>
  <c r="G1229" i="1"/>
  <c r="G1211" i="1"/>
  <c r="G1209" i="1"/>
  <c r="G1194" i="1"/>
  <c r="G1192" i="1"/>
  <c r="G1184" i="1"/>
  <c r="G1176" i="1"/>
  <c r="G1168" i="1"/>
  <c r="G2137" i="1"/>
  <c r="G1152" i="1"/>
  <c r="G1144" i="1"/>
  <c r="G798" i="1"/>
  <c r="G1063" i="1"/>
  <c r="G1055" i="1"/>
  <c r="G1047" i="1"/>
  <c r="G1039" i="1"/>
  <c r="G1607" i="1"/>
  <c r="G1566" i="1"/>
  <c r="G1531" i="1"/>
  <c r="G1485" i="1"/>
  <c r="G1450" i="1"/>
  <c r="G1447" i="1"/>
  <c r="G1441" i="1"/>
  <c r="G1436" i="1"/>
  <c r="G1428" i="1"/>
  <c r="G1423" i="1"/>
  <c r="G1412" i="1"/>
  <c r="G1407" i="1"/>
  <c r="G1396" i="1"/>
  <c r="G1391" i="1"/>
  <c r="G808" i="1"/>
  <c r="G1375" i="1"/>
  <c r="G537" i="1"/>
  <c r="G1359" i="1"/>
  <c r="G616" i="1"/>
  <c r="G1343" i="1"/>
  <c r="G1332" i="1"/>
  <c r="G1327" i="1"/>
  <c r="G1317" i="1"/>
  <c r="G1312" i="1"/>
  <c r="G1306" i="1"/>
  <c r="G1300" i="1"/>
  <c r="G1289" i="1"/>
  <c r="G1274" i="1"/>
  <c r="G1268" i="1"/>
  <c r="G1257" i="1"/>
  <c r="G1242" i="1"/>
  <c r="G1236" i="1"/>
  <c r="G1225" i="1"/>
  <c r="G1204" i="1"/>
  <c r="G1187" i="1"/>
  <c r="G1179" i="1"/>
  <c r="G803" i="1"/>
  <c r="G1518" i="1"/>
  <c r="G1155" i="1"/>
  <c r="G1147" i="1"/>
  <c r="G1139" i="1"/>
  <c r="G1788" i="1"/>
  <c r="G1132" i="1"/>
  <c r="G1128" i="1"/>
  <c r="G1124" i="1"/>
  <c r="G1120" i="1"/>
  <c r="G1116" i="1"/>
  <c r="G1112" i="1"/>
  <c r="G2086" i="1"/>
  <c r="G1104" i="1"/>
  <c r="G1100" i="1"/>
  <c r="G1096" i="1"/>
  <c r="G1092" i="1"/>
  <c r="G1088" i="1"/>
  <c r="G1084" i="1"/>
  <c r="G1080" i="1"/>
  <c r="G1076" i="1"/>
  <c r="G1072" i="1"/>
  <c r="G1064" i="1"/>
  <c r="G1056" i="1"/>
  <c r="G1048" i="1"/>
  <c r="G1040" i="1"/>
  <c r="G1687" i="1"/>
  <c r="G1660" i="1"/>
  <c r="G1584" i="1"/>
  <c r="G1579" i="1"/>
  <c r="G1575" i="1"/>
  <c r="G1469" i="1"/>
  <c r="G1464" i="1"/>
  <c r="G1457" i="1"/>
  <c r="G1302" i="1"/>
  <c r="G1296" i="1"/>
  <c r="G1285" i="1"/>
  <c r="G1270" i="1"/>
  <c r="G1264" i="1"/>
  <c r="G1253" i="1"/>
  <c r="G1238" i="1"/>
  <c r="G1232" i="1"/>
  <c r="G1221" i="1"/>
  <c r="G1202" i="1"/>
  <c r="G1200" i="1"/>
  <c r="G1190" i="1"/>
  <c r="G1182" i="1"/>
  <c r="G1174" i="1"/>
  <c r="G1166" i="1"/>
  <c r="G1158" i="1"/>
  <c r="G1150" i="1"/>
  <c r="G1142" i="1"/>
  <c r="G1065" i="1"/>
  <c r="G1057" i="1"/>
  <c r="G1049" i="1"/>
  <c r="G1900" i="1"/>
  <c r="G1600" i="1"/>
  <c r="G1290" i="1"/>
  <c r="G1559" i="1"/>
  <c r="G1471" i="1"/>
  <c r="G1446" i="1"/>
  <c r="G1434" i="1"/>
  <c r="G1288" i="1"/>
  <c r="G2253" i="1"/>
  <c r="G1224" i="1"/>
  <c r="G1193" i="1"/>
  <c r="G1067" i="1"/>
  <c r="G1059" i="1"/>
  <c r="G1051" i="1"/>
  <c r="G1261" i="1"/>
  <c r="G1034" i="1"/>
  <c r="G1026" i="1"/>
  <c r="G1018" i="1"/>
  <c r="G1697" i="1"/>
  <c r="G1002" i="1"/>
  <c r="G994" i="1"/>
  <c r="G986" i="1"/>
  <c r="G978" i="1"/>
  <c r="G970" i="1"/>
  <c r="G962" i="1"/>
  <c r="G954" i="1"/>
  <c r="G946" i="1"/>
  <c r="G938" i="1"/>
  <c r="G930" i="1"/>
  <c r="G1692" i="1"/>
  <c r="G914" i="1"/>
  <c r="G906" i="1"/>
  <c r="G898" i="1"/>
  <c r="G1628" i="1"/>
  <c r="G1508" i="1"/>
  <c r="G1492" i="1"/>
  <c r="G1415" i="1"/>
  <c r="G1411" i="1"/>
  <c r="G1383" i="1"/>
  <c r="G1379" i="1"/>
  <c r="G1351" i="1"/>
  <c r="G1347" i="1"/>
  <c r="G2142" i="1"/>
  <c r="G1316" i="1"/>
  <c r="G1294" i="1"/>
  <c r="G1273" i="1"/>
  <c r="G534" i="1"/>
  <c r="G1230" i="1"/>
  <c r="G1212" i="1"/>
  <c r="G1201" i="1"/>
  <c r="G1130" i="1"/>
  <c r="G1125" i="1"/>
  <c r="G1114" i="1"/>
  <c r="G958" i="1"/>
  <c r="G1098" i="1"/>
  <c r="G1093" i="1"/>
  <c r="G1082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1767" i="1"/>
  <c r="G933" i="1"/>
  <c r="G2113" i="1"/>
  <c r="G917" i="1"/>
  <c r="G909" i="1"/>
  <c r="G901" i="1"/>
  <c r="G895" i="1"/>
  <c r="G891" i="1"/>
  <c r="G887" i="1"/>
  <c r="G883" i="1"/>
  <c r="G879" i="1"/>
  <c r="G504" i="1"/>
  <c r="G871" i="1"/>
  <c r="G867" i="1"/>
  <c r="G863" i="1"/>
  <c r="G859" i="1"/>
  <c r="G855" i="1"/>
  <c r="G1510" i="1"/>
  <c r="G847" i="1"/>
  <c r="G843" i="1"/>
  <c r="G839" i="1"/>
  <c r="G1961" i="1"/>
  <c r="G831" i="1"/>
  <c r="G827" i="1"/>
  <c r="G823" i="1"/>
  <c r="G819" i="1"/>
  <c r="G815" i="1"/>
  <c r="G811" i="1"/>
  <c r="G807" i="1"/>
  <c r="G515" i="1"/>
  <c r="G799" i="1"/>
  <c r="G795" i="1"/>
  <c r="G791" i="1"/>
  <c r="G787" i="1"/>
  <c r="G783" i="1"/>
  <c r="G779" i="1"/>
  <c r="G775" i="1"/>
  <c r="G771" i="1"/>
  <c r="G767" i="1"/>
  <c r="G763" i="1"/>
  <c r="G759" i="1"/>
  <c r="G755" i="1"/>
  <c r="G157" i="1"/>
  <c r="G747" i="1"/>
  <c r="G743" i="1"/>
  <c r="G739" i="1"/>
  <c r="G735" i="1"/>
  <c r="G731" i="1"/>
  <c r="G727" i="1"/>
  <c r="G723" i="1"/>
  <c r="G719" i="1"/>
  <c r="G715" i="1"/>
  <c r="G711" i="1"/>
  <c r="G707" i="1"/>
  <c r="G703" i="1"/>
  <c r="G699" i="1"/>
  <c r="G695" i="1"/>
  <c r="G691" i="1"/>
  <c r="G687" i="1"/>
  <c r="G683" i="1"/>
  <c r="G1691" i="1"/>
  <c r="G1587" i="1"/>
  <c r="G1568" i="1"/>
  <c r="G1547" i="1"/>
  <c r="G1266" i="1"/>
  <c r="G1248" i="1"/>
  <c r="G1245" i="1"/>
  <c r="G1032" i="1"/>
  <c r="G1024" i="1"/>
  <c r="G1016" i="1"/>
  <c r="G1008" i="1"/>
  <c r="G1000" i="1"/>
  <c r="G992" i="1"/>
  <c r="G984" i="1"/>
  <c r="G976" i="1"/>
  <c r="G968" i="1"/>
  <c r="G960" i="1"/>
  <c r="G1972" i="1"/>
  <c r="G944" i="1"/>
  <c r="G936" i="1"/>
  <c r="G1694" i="1"/>
  <c r="G920" i="1"/>
  <c r="G912" i="1"/>
  <c r="G904" i="1"/>
  <c r="G675" i="1"/>
  <c r="G1431" i="1"/>
  <c r="G659" i="1"/>
  <c r="G651" i="1"/>
  <c r="G643" i="1"/>
  <c r="G635" i="1"/>
  <c r="G627" i="1"/>
  <c r="G619" i="1"/>
  <c r="G611" i="1"/>
  <c r="G1372" i="1"/>
  <c r="G1367" i="1"/>
  <c r="G1298" i="1"/>
  <c r="G1633" i="1"/>
  <c r="G1254" i="1"/>
  <c r="G1208" i="1"/>
  <c r="G1186" i="1"/>
  <c r="G1161" i="1"/>
  <c r="G1154" i="1"/>
  <c r="G1994" i="1"/>
  <c r="G1121" i="1"/>
  <c r="G1118" i="1"/>
  <c r="G1106" i="1"/>
  <c r="G1081" i="1"/>
  <c r="G1050" i="1"/>
  <c r="G1023" i="1"/>
  <c r="G1007" i="1"/>
  <c r="G991" i="1"/>
  <c r="G1899" i="1"/>
  <c r="G959" i="1"/>
  <c r="G943" i="1"/>
  <c r="G927" i="1"/>
  <c r="G911" i="1"/>
  <c r="G886" i="1"/>
  <c r="G880" i="1"/>
  <c r="G869" i="1"/>
  <c r="G854" i="1"/>
  <c r="G848" i="1"/>
  <c r="G837" i="1"/>
  <c r="G817" i="1"/>
  <c r="G802" i="1"/>
  <c r="G800" i="1"/>
  <c r="G785" i="1"/>
  <c r="G770" i="1"/>
  <c r="G768" i="1"/>
  <c r="G753" i="1"/>
  <c r="G738" i="1"/>
  <c r="G736" i="1"/>
  <c r="G721" i="1"/>
  <c r="G706" i="1"/>
  <c r="G1675" i="1"/>
  <c r="G689" i="1"/>
  <c r="G679" i="1"/>
  <c r="G676" i="1"/>
  <c r="G671" i="1"/>
  <c r="G662" i="1"/>
  <c r="G657" i="1"/>
  <c r="G653" i="1"/>
  <c r="G1498" i="1"/>
  <c r="G644" i="1"/>
  <c r="G639" i="1"/>
  <c r="G630" i="1"/>
  <c r="G625" i="1"/>
  <c r="G621" i="1"/>
  <c r="G2070" i="1"/>
  <c r="G612" i="1"/>
  <c r="G1420" i="1"/>
  <c r="G1416" i="1"/>
  <c r="G1520" i="1"/>
  <c r="G1335" i="1"/>
  <c r="G1286" i="1"/>
  <c r="G1234" i="1"/>
  <c r="G1226" i="1"/>
  <c r="G1175" i="1"/>
  <c r="G1164" i="1"/>
  <c r="G1143" i="1"/>
  <c r="G1078" i="1"/>
  <c r="G1058" i="1"/>
  <c r="G1027" i="1"/>
  <c r="G1025" i="1"/>
  <c r="G797" i="1"/>
  <c r="G1009" i="1"/>
  <c r="G995" i="1"/>
  <c r="G993" i="1"/>
  <c r="G979" i="1"/>
  <c r="G977" i="1"/>
  <c r="G963" i="1"/>
  <c r="G961" i="1"/>
  <c r="G947" i="1"/>
  <c r="G945" i="1"/>
  <c r="G931" i="1"/>
  <c r="G929" i="1"/>
  <c r="G915" i="1"/>
  <c r="G913" i="1"/>
  <c r="G899" i="1"/>
  <c r="G897" i="1"/>
  <c r="G882" i="1"/>
  <c r="G876" i="1"/>
  <c r="G865" i="1"/>
  <c r="G850" i="1"/>
  <c r="G528" i="1"/>
  <c r="G833" i="1"/>
  <c r="G1632" i="1"/>
  <c r="G820" i="1"/>
  <c r="G1591" i="1"/>
  <c r="G2064" i="1"/>
  <c r="G1443" i="1"/>
  <c r="G1388" i="1"/>
  <c r="G1384" i="1"/>
  <c r="G1309" i="1"/>
  <c r="G1305" i="1"/>
  <c r="G1301" i="1"/>
  <c r="G1281" i="1"/>
  <c r="G1269" i="1"/>
  <c r="G1222" i="1"/>
  <c r="G1185" i="1"/>
  <c r="G1178" i="1"/>
  <c r="G1153" i="1"/>
  <c r="G1146" i="1"/>
  <c r="G1129" i="1"/>
  <c r="G1117" i="1"/>
  <c r="G1105" i="1"/>
  <c r="G556" i="1"/>
  <c r="G1255" i="1"/>
  <c r="G1066" i="1"/>
  <c r="G893" i="1"/>
  <c r="G878" i="1"/>
  <c r="G872" i="1"/>
  <c r="G861" i="1"/>
  <c r="G846" i="1"/>
  <c r="G840" i="1"/>
  <c r="G829" i="1"/>
  <c r="G810" i="1"/>
  <c r="G1160" i="1"/>
  <c r="G793" i="1"/>
  <c r="G778" i="1"/>
  <c r="G776" i="1"/>
  <c r="G761" i="1"/>
  <c r="G746" i="1"/>
  <c r="G744" i="1"/>
  <c r="G729" i="1"/>
  <c r="G714" i="1"/>
  <c r="G712" i="1"/>
  <c r="G697" i="1"/>
  <c r="G682" i="1"/>
  <c r="G680" i="1"/>
  <c r="G672" i="1"/>
  <c r="G451" i="1"/>
  <c r="G663" i="1"/>
  <c r="G654" i="1"/>
  <c r="G649" i="1"/>
  <c r="G645" i="1"/>
  <c r="G1240" i="1"/>
  <c r="G1955" i="1"/>
  <c r="G631" i="1"/>
  <c r="G622" i="1"/>
  <c r="G835" i="1"/>
  <c r="G613" i="1"/>
  <c r="G608" i="1"/>
  <c r="G601" i="1"/>
  <c r="G593" i="1"/>
  <c r="G585" i="1"/>
  <c r="G577" i="1"/>
  <c r="G569" i="1"/>
  <c r="G561" i="1"/>
  <c r="G553" i="1"/>
  <c r="G1609" i="1"/>
  <c r="G894" i="1"/>
  <c r="G529" i="1"/>
  <c r="G521" i="1"/>
  <c r="G513" i="1"/>
  <c r="G1071" i="1"/>
  <c r="G1487" i="1"/>
  <c r="G1427" i="1"/>
  <c r="G1356" i="1"/>
  <c r="G1352" i="1"/>
  <c r="G1292" i="1"/>
  <c r="G1277" i="1"/>
  <c r="G1249" i="1"/>
  <c r="G1241" i="1"/>
  <c r="G1237" i="1"/>
  <c r="G1217" i="1"/>
  <c r="G1203" i="1"/>
  <c r="G1188" i="1"/>
  <c r="G1167" i="1"/>
  <c r="G1156" i="1"/>
  <c r="G1126" i="1"/>
  <c r="G1044" i="1"/>
  <c r="G1036" i="1"/>
  <c r="G1022" i="1"/>
  <c r="G1070" i="1"/>
  <c r="G1006" i="1"/>
  <c r="G1004" i="1"/>
  <c r="G990" i="1"/>
  <c r="G988" i="1"/>
  <c r="G974" i="1"/>
  <c r="G972" i="1"/>
  <c r="G1889" i="1"/>
  <c r="G956" i="1"/>
  <c r="G942" i="1"/>
  <c r="G940" i="1"/>
  <c r="G926" i="1"/>
  <c r="G99" i="1"/>
  <c r="G910" i="1"/>
  <c r="G908" i="1"/>
  <c r="G889" i="1"/>
  <c r="G874" i="1"/>
  <c r="G868" i="1"/>
  <c r="G857" i="1"/>
  <c r="G842" i="1"/>
  <c r="G836" i="1"/>
  <c r="G825" i="1"/>
  <c r="G1884" i="1"/>
  <c r="G2083" i="1"/>
  <c r="G796" i="1"/>
  <c r="G781" i="1"/>
  <c r="G766" i="1"/>
  <c r="G764" i="1"/>
  <c r="G749" i="1"/>
  <c r="G734" i="1"/>
  <c r="G732" i="1"/>
  <c r="G717" i="1"/>
  <c r="G702" i="1"/>
  <c r="G700" i="1"/>
  <c r="G685" i="1"/>
  <c r="G677" i="1"/>
  <c r="G650" i="1"/>
  <c r="G1043" i="1"/>
  <c r="G602" i="1"/>
  <c r="G594" i="1"/>
  <c r="G586" i="1"/>
  <c r="G1719" i="1"/>
  <c r="G1678" i="1"/>
  <c r="G1659" i="1"/>
  <c r="G1619" i="1"/>
  <c r="G1516" i="1"/>
  <c r="G1479" i="1"/>
  <c r="G1467" i="1"/>
  <c r="G1368" i="1"/>
  <c r="G1331" i="1"/>
  <c r="G1216" i="1"/>
  <c r="G562" i="1"/>
  <c r="G1162" i="1"/>
  <c r="G1137" i="1"/>
  <c r="G1134" i="1"/>
  <c r="G1122" i="1"/>
  <c r="G1097" i="1"/>
  <c r="G1085" i="1"/>
  <c r="G1073" i="1"/>
  <c r="G1068" i="1"/>
  <c r="G117" i="1"/>
  <c r="G888" i="1"/>
  <c r="G877" i="1"/>
  <c r="G862" i="1"/>
  <c r="G856" i="1"/>
  <c r="G845" i="1"/>
  <c r="G1417" i="1"/>
  <c r="G824" i="1"/>
  <c r="G809" i="1"/>
  <c r="G794" i="1"/>
  <c r="G792" i="1"/>
  <c r="G2079" i="1"/>
  <c r="G762" i="1"/>
  <c r="G760" i="1"/>
  <c r="G745" i="1"/>
  <c r="G730" i="1"/>
  <c r="G1500" i="1"/>
  <c r="G713" i="1"/>
  <c r="G248" i="1"/>
  <c r="G696" i="1"/>
  <c r="G681" i="1"/>
  <c r="G678" i="1"/>
  <c r="G670" i="1"/>
  <c r="G665" i="1"/>
  <c r="G661" i="1"/>
  <c r="G656" i="1"/>
  <c r="G652" i="1"/>
  <c r="G647" i="1"/>
  <c r="G638" i="1"/>
  <c r="G633" i="1"/>
  <c r="G648" i="1"/>
  <c r="G624" i="1"/>
  <c r="G620" i="1"/>
  <c r="G615" i="1"/>
  <c r="G605" i="1"/>
  <c r="G597" i="1"/>
  <c r="G589" i="1"/>
  <c r="G581" i="1"/>
  <c r="G573" i="1"/>
  <c r="G565" i="1"/>
  <c r="G557" i="1"/>
  <c r="G549" i="1"/>
  <c r="G1491" i="1"/>
  <c r="G533" i="1"/>
  <c r="G525" i="1"/>
  <c r="G517" i="1"/>
  <c r="G509" i="1"/>
  <c r="G1395" i="1"/>
  <c r="G1363" i="1"/>
  <c r="G1321" i="1"/>
  <c r="G1183" i="1"/>
  <c r="G881" i="1"/>
  <c r="G870" i="1"/>
  <c r="G852" i="1"/>
  <c r="G834" i="1"/>
  <c r="G814" i="1"/>
  <c r="G806" i="1"/>
  <c r="G158" i="1"/>
  <c r="G750" i="1"/>
  <c r="G742" i="1"/>
  <c r="G725" i="1"/>
  <c r="G686" i="1"/>
  <c r="G604" i="1"/>
  <c r="G584" i="1"/>
  <c r="G571" i="1"/>
  <c r="G2043" i="1"/>
  <c r="G555" i="1"/>
  <c r="G552" i="1"/>
  <c r="G539" i="1"/>
  <c r="G536" i="1"/>
  <c r="G523" i="1"/>
  <c r="G520" i="1"/>
  <c r="G371" i="1"/>
  <c r="G500" i="1"/>
  <c r="G492" i="1"/>
  <c r="G484" i="1"/>
  <c r="G476" i="1"/>
  <c r="G1218" i="1"/>
  <c r="G461" i="1"/>
  <c r="G453" i="1"/>
  <c r="G445" i="1"/>
  <c r="G1460" i="1"/>
  <c r="G1400" i="1"/>
  <c r="G568" i="1"/>
  <c r="G1172" i="1"/>
  <c r="G1113" i="1"/>
  <c r="G1030" i="1"/>
  <c r="G1014" i="1"/>
  <c r="G998" i="1"/>
  <c r="G982" i="1"/>
  <c r="G966" i="1"/>
  <c r="G950" i="1"/>
  <c r="G934" i="1"/>
  <c r="G918" i="1"/>
  <c r="G902" i="1"/>
  <c r="G884" i="1"/>
  <c r="G866" i="1"/>
  <c r="G841" i="1"/>
  <c r="G816" i="1"/>
  <c r="G786" i="1"/>
  <c r="G2209" i="1"/>
  <c r="G758" i="1"/>
  <c r="G752" i="1"/>
  <c r="G722" i="1"/>
  <c r="G716" i="1"/>
  <c r="G694" i="1"/>
  <c r="G688" i="1"/>
  <c r="G642" i="1"/>
  <c r="G628" i="1"/>
  <c r="G626" i="1"/>
  <c r="G614" i="1"/>
  <c r="G599" i="1"/>
  <c r="G587" i="1"/>
  <c r="G578" i="1"/>
  <c r="G409" i="1"/>
  <c r="G924" i="1"/>
  <c r="G530" i="1"/>
  <c r="G514" i="1"/>
  <c r="G501" i="1"/>
  <c r="G493" i="1"/>
  <c r="G485" i="1"/>
  <c r="G477" i="1"/>
  <c r="G470" i="1"/>
  <c r="G462" i="1"/>
  <c r="G1138" i="1"/>
  <c r="G873" i="1"/>
  <c r="G925" i="1"/>
  <c r="G772" i="1"/>
  <c r="G733" i="1"/>
  <c r="G708" i="1"/>
  <c r="G637" i="1"/>
  <c r="G592" i="1"/>
  <c r="G575" i="1"/>
  <c r="G572" i="1"/>
  <c r="G559" i="1"/>
  <c r="G438" i="1"/>
  <c r="G543" i="1"/>
  <c r="G540" i="1"/>
  <c r="G527" i="1"/>
  <c r="G524" i="1"/>
  <c r="G511" i="1"/>
  <c r="G508" i="1"/>
  <c r="G502" i="1"/>
  <c r="G494" i="1"/>
  <c r="G486" i="1"/>
  <c r="G478" i="1"/>
  <c r="G1534" i="1"/>
  <c r="G1399" i="1"/>
  <c r="G1252" i="1"/>
  <c r="G1228" i="1"/>
  <c r="G1159" i="1"/>
  <c r="G1148" i="1"/>
  <c r="G1086" i="1"/>
  <c r="G1042" i="1"/>
  <c r="G1033" i="1"/>
  <c r="G1017" i="1"/>
  <c r="G1001" i="1"/>
  <c r="G1419" i="1"/>
  <c r="G969" i="1"/>
  <c r="G1974" i="1"/>
  <c r="G937" i="1"/>
  <c r="G921" i="1"/>
  <c r="G905" i="1"/>
  <c r="G1680" i="1"/>
  <c r="G805" i="1"/>
  <c r="G788" i="1"/>
  <c r="G769" i="1"/>
  <c r="G741" i="1"/>
  <c r="G724" i="1"/>
  <c r="G705" i="1"/>
  <c r="G674" i="1"/>
  <c r="G660" i="1"/>
  <c r="G658" i="1"/>
  <c r="G646" i="1"/>
  <c r="G623" i="1"/>
  <c r="G609" i="1"/>
  <c r="G607" i="1"/>
  <c r="G595" i="1"/>
  <c r="G274" i="1"/>
  <c r="G582" i="1"/>
  <c r="G566" i="1"/>
  <c r="G550" i="1"/>
  <c r="G1410" i="1"/>
  <c r="G518" i="1"/>
  <c r="G503" i="1"/>
  <c r="G495" i="1"/>
  <c r="G487" i="1"/>
  <c r="G479" i="1"/>
  <c r="G471" i="1"/>
  <c r="G464" i="1"/>
  <c r="G2150" i="1"/>
  <c r="G1404" i="1"/>
  <c r="G1262" i="1"/>
  <c r="G1210" i="1"/>
  <c r="G1170" i="1"/>
  <c r="G1052" i="1"/>
  <c r="G858" i="1"/>
  <c r="G832" i="1"/>
  <c r="G782" i="1"/>
  <c r="G774" i="1"/>
  <c r="G757" i="1"/>
  <c r="G718" i="1"/>
  <c r="G710" i="1"/>
  <c r="G693" i="1"/>
  <c r="G669" i="1"/>
  <c r="G632" i="1"/>
  <c r="G600" i="1"/>
  <c r="G588" i="1"/>
  <c r="G579" i="1"/>
  <c r="G576" i="1"/>
  <c r="G563" i="1"/>
  <c r="G560" i="1"/>
  <c r="G547" i="1"/>
  <c r="G68" i="1"/>
  <c r="G531" i="1"/>
  <c r="G145" i="1"/>
  <c r="G1136" i="1"/>
  <c r="G512" i="1"/>
  <c r="G1280" i="1"/>
  <c r="G1256" i="1"/>
  <c r="G1220" i="1"/>
  <c r="G1151" i="1"/>
  <c r="G1089" i="1"/>
  <c r="G1074" i="1"/>
  <c r="G1035" i="1"/>
  <c r="G1028" i="1"/>
  <c r="G170" i="1"/>
  <c r="G953" i="1"/>
  <c r="G1003" i="1"/>
  <c r="G996" i="1"/>
  <c r="G987" i="1"/>
  <c r="G980" i="1"/>
  <c r="G971" i="1"/>
  <c r="G964" i="1"/>
  <c r="G955" i="1"/>
  <c r="G948" i="1"/>
  <c r="G939" i="1"/>
  <c r="G932" i="1"/>
  <c r="G1046" i="1"/>
  <c r="G916" i="1"/>
  <c r="G907" i="1"/>
  <c r="G900" i="1"/>
  <c r="G551" i="1"/>
  <c r="G860" i="1"/>
  <c r="G853" i="1"/>
  <c r="G804" i="1"/>
  <c r="G765" i="1"/>
  <c r="G740" i="1"/>
  <c r="G701" i="1"/>
  <c r="G664" i="1"/>
  <c r="G596" i="1"/>
  <c r="G583" i="1"/>
  <c r="G580" i="1"/>
  <c r="G567" i="1"/>
  <c r="G564" i="1"/>
  <c r="G830" i="1"/>
  <c r="G548" i="1"/>
  <c r="G535" i="1"/>
  <c r="G812" i="1"/>
  <c r="G790" i="1"/>
  <c r="G773" i="1"/>
  <c r="G692" i="1"/>
  <c r="G666" i="1"/>
  <c r="G532" i="1"/>
  <c r="G456" i="1"/>
  <c r="G327" i="1"/>
  <c r="G447" i="1"/>
  <c r="G442" i="1"/>
  <c r="G2129" i="1"/>
  <c r="G433" i="1"/>
  <c r="G428" i="1"/>
  <c r="G420" i="1"/>
  <c r="G412" i="1"/>
  <c r="G404" i="1"/>
  <c r="G396" i="1"/>
  <c r="G388" i="1"/>
  <c r="G380" i="1"/>
  <c r="G372" i="1"/>
  <c r="G364" i="1"/>
  <c r="G356" i="1"/>
  <c r="G348" i="1"/>
  <c r="G1756" i="1"/>
  <c r="G2202" i="1"/>
  <c r="G324" i="1"/>
  <c r="G316" i="1"/>
  <c r="G308" i="1"/>
  <c r="G300" i="1"/>
  <c r="G292" i="1"/>
  <c r="G284" i="1"/>
  <c r="G276" i="1"/>
  <c r="G507" i="1"/>
  <c r="G260" i="1"/>
  <c r="G1284" i="1"/>
  <c r="G828" i="1"/>
  <c r="G801" i="1"/>
  <c r="G784" i="1"/>
  <c r="G591" i="1"/>
  <c r="G522" i="1"/>
  <c r="G510" i="1"/>
  <c r="G1461" i="1"/>
  <c r="G496" i="1"/>
  <c r="G488" i="1"/>
  <c r="G480" i="1"/>
  <c r="G467" i="1"/>
  <c r="G465" i="1"/>
  <c r="G459" i="1"/>
  <c r="G452" i="1"/>
  <c r="G429" i="1"/>
  <c r="G421" i="1"/>
  <c r="G413" i="1"/>
  <c r="G405" i="1"/>
  <c r="G397" i="1"/>
  <c r="G389" i="1"/>
  <c r="G381" i="1"/>
  <c r="G373" i="1"/>
  <c r="G365" i="1"/>
  <c r="G357" i="1"/>
  <c r="G349" i="1"/>
  <c r="G341" i="1"/>
  <c r="G333" i="1"/>
  <c r="G1041" i="1"/>
  <c r="G317" i="1"/>
  <c r="G309" i="1"/>
  <c r="G301" i="1"/>
  <c r="G293" i="1"/>
  <c r="G285" i="1"/>
  <c r="G277" i="1"/>
  <c r="G269" i="1"/>
  <c r="G261" i="1"/>
  <c r="G1195" i="1"/>
  <c r="G1140" i="1"/>
  <c r="G864" i="1"/>
  <c r="G821" i="1"/>
  <c r="G756" i="1"/>
  <c r="G655" i="1"/>
  <c r="G641" i="1"/>
  <c r="G603" i="1"/>
  <c r="G574" i="1"/>
  <c r="G570" i="1"/>
  <c r="G558" i="1"/>
  <c r="G554" i="1"/>
  <c r="G542" i="1"/>
  <c r="G538" i="1"/>
  <c r="G519" i="1"/>
  <c r="G516" i="1"/>
  <c r="G463" i="1"/>
  <c r="G448" i="1"/>
  <c r="G443" i="1"/>
  <c r="G439" i="1"/>
  <c r="G434" i="1"/>
  <c r="G430" i="1"/>
  <c r="G422" i="1"/>
  <c r="G414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103" i="1"/>
  <c r="G262" i="1"/>
  <c r="G1145" i="1"/>
  <c r="G1110" i="1"/>
  <c r="G1015" i="1"/>
  <c r="G983" i="1"/>
  <c r="G951" i="1"/>
  <c r="G919" i="1"/>
  <c r="G690" i="1"/>
  <c r="G598" i="1"/>
  <c r="G498" i="1"/>
  <c r="G490" i="1"/>
  <c r="G482" i="1"/>
  <c r="G474" i="1"/>
  <c r="G472" i="1"/>
  <c r="G460" i="1"/>
  <c r="G457" i="1"/>
  <c r="G444" i="1"/>
  <c r="G423" i="1"/>
  <c r="G415" i="1"/>
  <c r="G407" i="1"/>
  <c r="G399" i="1"/>
  <c r="G391" i="1"/>
  <c r="G383" i="1"/>
  <c r="G375" i="1"/>
  <c r="G367" i="1"/>
  <c r="G359" i="1"/>
  <c r="G351" i="1"/>
  <c r="G343" i="1"/>
  <c r="G335" i="1"/>
  <c r="G233" i="1"/>
  <c r="G319" i="1"/>
  <c r="G311" i="1"/>
  <c r="G303" i="1"/>
  <c r="G295" i="1"/>
  <c r="G287" i="1"/>
  <c r="G279" i="1"/>
  <c r="G271" i="1"/>
  <c r="G263" i="1"/>
  <c r="G2154" i="1"/>
  <c r="G1031" i="1"/>
  <c r="G967" i="1"/>
  <c r="G903" i="1"/>
  <c r="G849" i="1"/>
  <c r="G634" i="1"/>
  <c r="G610" i="1"/>
  <c r="G473" i="1"/>
  <c r="G468" i="1"/>
  <c r="G455" i="1"/>
  <c r="G211" i="1"/>
  <c r="G167" i="1"/>
  <c r="G159" i="1"/>
  <c r="G151" i="1"/>
  <c r="G143" i="1"/>
  <c r="G135" i="1"/>
  <c r="G127" i="1"/>
  <c r="G119" i="1"/>
  <c r="G118" i="1"/>
  <c r="G1109" i="1"/>
  <c r="G116" i="1"/>
  <c r="G115" i="1"/>
  <c r="G114" i="1"/>
  <c r="G113" i="1"/>
  <c r="G112" i="1"/>
  <c r="G1754" i="1"/>
  <c r="G1422" i="1"/>
  <c r="G109" i="1"/>
  <c r="G108" i="1"/>
  <c r="G107" i="1"/>
  <c r="G106" i="1"/>
  <c r="G105" i="1"/>
  <c r="G104" i="1"/>
  <c r="G103" i="1"/>
  <c r="G102" i="1"/>
  <c r="G101" i="1"/>
  <c r="G100" i="1"/>
  <c r="G203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1108" i="1"/>
  <c r="G81" i="1"/>
  <c r="G80" i="1"/>
  <c r="G777" i="1"/>
  <c r="G78" i="1"/>
  <c r="G751" i="1"/>
  <c r="G194" i="1"/>
  <c r="G75" i="1"/>
  <c r="G74" i="1"/>
  <c r="G73" i="1"/>
  <c r="G72" i="1"/>
  <c r="G71" i="1"/>
  <c r="G70" i="1"/>
  <c r="G69" i="1"/>
  <c r="G636" i="1"/>
  <c r="G67" i="1"/>
  <c r="G66" i="1"/>
  <c r="G65" i="1"/>
  <c r="G64" i="1"/>
  <c r="G63" i="1"/>
  <c r="G62" i="1"/>
  <c r="G61" i="1"/>
  <c r="G60" i="1"/>
  <c r="G59" i="1"/>
  <c r="G58" i="1"/>
  <c r="G57" i="1"/>
  <c r="G826" i="1"/>
  <c r="G55" i="1"/>
  <c r="G54" i="1"/>
  <c r="G53" i="1"/>
  <c r="G52" i="1"/>
  <c r="G51" i="1"/>
  <c r="G2089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1177" i="1"/>
  <c r="G21" i="1"/>
  <c r="G1881" i="1"/>
  <c r="G19" i="1"/>
  <c r="G18" i="1"/>
  <c r="G17" i="1"/>
  <c r="G16" i="1"/>
  <c r="G15" i="1"/>
  <c r="G14" i="1"/>
  <c r="G13" i="1"/>
  <c r="G12" i="1"/>
  <c r="G11" i="1"/>
  <c r="G10" i="1"/>
  <c r="G9" i="1"/>
  <c r="G720" i="1"/>
  <c r="G446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05" i="1"/>
  <c r="G201" i="1"/>
  <c r="G197" i="1"/>
  <c r="G193" i="1"/>
  <c r="G189" i="1"/>
  <c r="G185" i="1"/>
  <c r="G181" i="1"/>
  <c r="G177" i="1"/>
  <c r="G173" i="1"/>
  <c r="G168" i="1"/>
  <c r="G160" i="1"/>
  <c r="G152" i="1"/>
  <c r="G144" i="1"/>
  <c r="G136" i="1"/>
  <c r="G128" i="1"/>
  <c r="G1133" i="1"/>
  <c r="G8" i="1"/>
  <c r="G7" i="1"/>
  <c r="G6" i="1"/>
  <c r="G1278" i="1"/>
  <c r="G1094" i="1"/>
  <c r="G818" i="1"/>
  <c r="G283" i="1"/>
  <c r="G454" i="1"/>
  <c r="G209" i="1"/>
  <c r="G169" i="1"/>
  <c r="G161" i="1"/>
  <c r="G153" i="1"/>
  <c r="G2189" i="1"/>
  <c r="G2118" i="1"/>
  <c r="G129" i="1"/>
  <c r="G121" i="1"/>
  <c r="G5" i="1"/>
  <c r="G673" i="1"/>
  <c r="G497" i="1"/>
  <c r="G491" i="1"/>
  <c r="G481" i="1"/>
  <c r="G475" i="1"/>
  <c r="G450" i="1"/>
  <c r="G441" i="1"/>
  <c r="G270" i="1"/>
  <c r="G952" i="1"/>
  <c r="G418" i="1"/>
  <c r="G410" i="1"/>
  <c r="G402" i="1"/>
  <c r="G394" i="1"/>
  <c r="G386" i="1"/>
  <c r="G378" i="1"/>
  <c r="G370" i="1"/>
  <c r="G362" i="1"/>
  <c r="G139" i="1"/>
  <c r="G346" i="1"/>
  <c r="G338" i="1"/>
  <c r="G330" i="1"/>
  <c r="G322" i="1"/>
  <c r="G314" i="1"/>
  <c r="G306" i="1"/>
  <c r="G298" i="1"/>
  <c r="G290" i="1"/>
  <c r="G282" i="1"/>
  <c r="G1260" i="1"/>
  <c r="G266" i="1"/>
  <c r="G258" i="1"/>
  <c r="G256" i="1"/>
  <c r="G254" i="1"/>
  <c r="G252" i="1"/>
  <c r="G250" i="1"/>
  <c r="G111" i="1"/>
  <c r="G246" i="1"/>
  <c r="G244" i="1"/>
  <c r="G242" i="1"/>
  <c r="G240" i="1"/>
  <c r="G238" i="1"/>
  <c r="G236" i="1"/>
  <c r="G234" i="1"/>
  <c r="G232" i="1"/>
  <c r="G230" i="1"/>
  <c r="G228" i="1"/>
  <c r="G226" i="1"/>
  <c r="G224" i="1"/>
  <c r="G222" i="1"/>
  <c r="G220" i="1"/>
  <c r="G218" i="1"/>
  <c r="G216" i="1"/>
  <c r="G214" i="1"/>
  <c r="G212" i="1"/>
  <c r="G206" i="1"/>
  <c r="G202" i="1"/>
  <c r="G198" i="1"/>
  <c r="G1669" i="1"/>
  <c r="G190" i="1"/>
  <c r="G186" i="1"/>
  <c r="G182" i="1"/>
  <c r="G178" i="1"/>
  <c r="G174" i="1"/>
  <c r="G325" i="1"/>
  <c r="G162" i="1"/>
  <c r="G154" i="1"/>
  <c r="G146" i="1"/>
  <c r="G149" i="1"/>
  <c r="G268" i="1"/>
  <c r="G165" i="1"/>
  <c r="G180" i="1"/>
  <c r="G196" i="1"/>
  <c r="I200" i="1"/>
  <c r="G1393" i="1"/>
  <c r="G235" i="1"/>
  <c r="G251" i="1"/>
  <c r="G267" i="1"/>
  <c r="G273" i="1"/>
  <c r="G82" i="1"/>
  <c r="G289" i="1"/>
  <c r="G1370" i="1"/>
  <c r="G305" i="1"/>
  <c r="G315" i="1"/>
  <c r="G941" i="1"/>
  <c r="G331" i="1"/>
  <c r="G337" i="1"/>
  <c r="G347" i="1"/>
  <c r="G353" i="1"/>
  <c r="G363" i="1"/>
  <c r="G369" i="1"/>
  <c r="G379" i="1"/>
  <c r="G385" i="1"/>
  <c r="G395" i="1"/>
  <c r="G401" i="1"/>
  <c r="G411" i="1"/>
  <c r="G417" i="1"/>
  <c r="G427" i="1"/>
  <c r="G436" i="1"/>
  <c r="G483" i="1"/>
  <c r="G606" i="1"/>
  <c r="G709" i="1"/>
  <c r="G999" i="1"/>
  <c r="L26" i="2" l="1"/>
  <c r="I298" i="2"/>
  <c r="L161" i="2"/>
  <c r="L184" i="2"/>
  <c r="L87" i="2"/>
  <c r="H3" i="1"/>
  <c r="I640" i="1"/>
  <c r="I789" i="1"/>
  <c r="I3" i="1"/>
  <c r="L640" i="1"/>
  <c r="M640" i="1" s="1"/>
  <c r="I183" i="1"/>
  <c r="I1191" i="1"/>
  <c r="H737" i="1"/>
  <c r="H425" i="1"/>
  <c r="I275" i="1"/>
  <c r="L138" i="1"/>
  <c r="I339" i="1"/>
  <c r="H215" i="1"/>
  <c r="M215" i="1"/>
  <c r="H355" i="1"/>
  <c r="H2" i="1"/>
  <c r="L1060" i="1"/>
  <c r="H134" i="1"/>
  <c r="I2" i="1"/>
  <c r="N215" i="1"/>
  <c r="L112" i="2"/>
  <c r="H130" i="2"/>
  <c r="I89" i="2"/>
  <c r="L384" i="2"/>
  <c r="H87" i="2"/>
  <c r="L154" i="2"/>
  <c r="L45" i="2"/>
  <c r="M45" i="2" s="1"/>
  <c r="L273" i="2"/>
  <c r="L405" i="2"/>
  <c r="M405" i="2" s="1"/>
  <c r="L448" i="2"/>
  <c r="H39" i="2"/>
  <c r="H184" i="2"/>
  <c r="I101" i="2"/>
  <c r="L64" i="2"/>
  <c r="H89" i="2"/>
  <c r="I289" i="2"/>
  <c r="L170" i="2"/>
  <c r="N170" i="2" s="1"/>
  <c r="H73" i="2"/>
  <c r="H211" i="2"/>
  <c r="I206" i="2"/>
  <c r="H520" i="2"/>
  <c r="H101" i="2"/>
  <c r="L119" i="2"/>
  <c r="M119" i="2" s="1"/>
  <c r="H48" i="2"/>
  <c r="H151" i="2"/>
  <c r="H32" i="2"/>
  <c r="H107" i="2"/>
  <c r="I211" i="2"/>
  <c r="L488" i="2"/>
  <c r="I65" i="2"/>
  <c r="H65" i="2"/>
  <c r="H61" i="2"/>
  <c r="L32" i="2"/>
  <c r="M32" i="2" s="1"/>
  <c r="I85" i="2"/>
  <c r="H85" i="2"/>
  <c r="H104" i="2"/>
  <c r="H119" i="2"/>
  <c r="H57" i="2"/>
  <c r="L146" i="2"/>
  <c r="N146" i="2" s="1"/>
  <c r="H49" i="2"/>
  <c r="H47" i="2"/>
  <c r="L104" i="2"/>
  <c r="I225" i="2"/>
  <c r="H281" i="2"/>
  <c r="I224" i="2"/>
  <c r="H392" i="2"/>
  <c r="H296" i="2"/>
  <c r="H500" i="2"/>
  <c r="M3" i="2"/>
  <c r="L20" i="2"/>
  <c r="L43" i="2"/>
  <c r="H165" i="2"/>
  <c r="H136" i="2"/>
  <c r="I3" i="2"/>
  <c r="L392" i="2"/>
  <c r="N392" i="2" s="1"/>
  <c r="I237" i="2"/>
  <c r="L520" i="2"/>
  <c r="N520" i="2" s="1"/>
  <c r="I400" i="2"/>
  <c r="L296" i="2"/>
  <c r="L500" i="2"/>
  <c r="O500" i="2" s="1"/>
  <c r="H17" i="2"/>
  <c r="I141" i="2"/>
  <c r="M6" i="2"/>
  <c r="I376" i="2"/>
  <c r="L280" i="2"/>
  <c r="N280" i="2" s="1"/>
  <c r="I568" i="2"/>
  <c r="L368" i="2"/>
  <c r="L552" i="2"/>
  <c r="N552" i="2" s="1"/>
  <c r="I464" i="2"/>
  <c r="L157" i="2"/>
  <c r="H11" i="2"/>
  <c r="H35" i="2"/>
  <c r="N151" i="2"/>
  <c r="I151" i="2"/>
  <c r="L19" i="2"/>
  <c r="H280" i="2"/>
  <c r="H568" i="2"/>
  <c r="H3" i="2"/>
  <c r="I35" i="2"/>
  <c r="H464" i="2"/>
  <c r="H157" i="2"/>
  <c r="I17" i="2"/>
  <c r="I11" i="2"/>
  <c r="I118" i="2"/>
  <c r="H193" i="2"/>
  <c r="L417" i="2"/>
  <c r="I74" i="2"/>
  <c r="M49" i="2"/>
  <c r="H112" i="2"/>
  <c r="O49" i="2"/>
  <c r="I120" i="2"/>
  <c r="I57" i="2"/>
  <c r="L107" i="2"/>
  <c r="L73" i="2"/>
  <c r="H298" i="2"/>
  <c r="L376" i="2"/>
  <c r="O376" i="2" s="1"/>
  <c r="H224" i="2"/>
  <c r="L237" i="2"/>
  <c r="O237" i="2" s="1"/>
  <c r="L400" i="2"/>
  <c r="H146" i="2"/>
  <c r="I40" i="2"/>
  <c r="I20" i="2"/>
  <c r="L130" i="2"/>
  <c r="N130" i="2" s="1"/>
  <c r="H202" i="2"/>
  <c r="I113" i="2"/>
  <c r="H312" i="2"/>
  <c r="I26" i="2"/>
  <c r="I109" i="2"/>
  <c r="H93" i="2"/>
  <c r="H256" i="2"/>
  <c r="I15" i="2"/>
  <c r="H504" i="2"/>
  <c r="I202" i="2"/>
  <c r="H124" i="2"/>
  <c r="H161" i="2"/>
  <c r="H113" i="2"/>
  <c r="I312" i="2"/>
  <c r="I106" i="2"/>
  <c r="H23" i="2"/>
  <c r="H98" i="2"/>
  <c r="L93" i="2"/>
  <c r="M93" i="2" s="1"/>
  <c r="I256" i="2"/>
  <c r="I504" i="2"/>
  <c r="H106" i="2"/>
  <c r="L124" i="2"/>
  <c r="H154" i="2"/>
  <c r="H95" i="2"/>
  <c r="L23" i="2"/>
  <c r="O23" i="2" s="1"/>
  <c r="L98" i="2"/>
  <c r="O98" i="2" s="1"/>
  <c r="H416" i="2"/>
  <c r="H51" i="2"/>
  <c r="H109" i="2"/>
  <c r="L144" i="2"/>
  <c r="H99" i="2"/>
  <c r="L138" i="2"/>
  <c r="M138" i="2" s="1"/>
  <c r="L95" i="2"/>
  <c r="M95" i="2" s="1"/>
  <c r="H43" i="2"/>
  <c r="H448" i="2"/>
  <c r="H138" i="2"/>
  <c r="I416" i="2"/>
  <c r="I49" i="2"/>
  <c r="L51" i="2"/>
  <c r="H488" i="2"/>
  <c r="H417" i="2"/>
  <c r="H15" i="2"/>
  <c r="I144" i="2"/>
  <c r="H40" i="2"/>
  <c r="L99" i="2"/>
  <c r="M99" i="2" s="1"/>
  <c r="O151" i="2"/>
  <c r="L179" i="1"/>
  <c r="M124" i="1"/>
  <c r="I134" i="1"/>
  <c r="L737" i="1"/>
  <c r="N737" i="1" s="1"/>
  <c r="N124" i="1"/>
  <c r="L355" i="1"/>
  <c r="M355" i="1" s="1"/>
  <c r="I377" i="1"/>
  <c r="I440" i="1"/>
  <c r="L506" i="1"/>
  <c r="M506" i="1" s="1"/>
  <c r="O221" i="1"/>
  <c r="H419" i="1"/>
  <c r="H227" i="1"/>
  <c r="H150" i="1"/>
  <c r="H147" i="1"/>
  <c r="I123" i="1"/>
  <c r="L440" i="1"/>
  <c r="M440" i="1" s="1"/>
  <c r="H229" i="1"/>
  <c r="I323" i="1"/>
  <c r="L329" i="1"/>
  <c r="I184" i="1"/>
  <c r="L780" i="1"/>
  <c r="O780" i="1" s="1"/>
  <c r="I195" i="1"/>
  <c r="I1101" i="1"/>
  <c r="L419" i="1"/>
  <c r="M419" i="1" s="1"/>
  <c r="H323" i="1"/>
  <c r="H275" i="1"/>
  <c r="L466" i="1"/>
  <c r="N466" i="1" s="1"/>
  <c r="I281" i="1"/>
  <c r="I227" i="1"/>
  <c r="L150" i="1"/>
  <c r="O150" i="1" s="1"/>
  <c r="I147" i="1"/>
  <c r="L789" i="1"/>
  <c r="N789" i="1" s="1"/>
  <c r="L123" i="1"/>
  <c r="H329" i="1"/>
  <c r="H1060" i="1"/>
  <c r="H176" i="1"/>
  <c r="M221" i="1"/>
  <c r="I425" i="1"/>
  <c r="H184" i="1"/>
  <c r="I215" i="1"/>
  <c r="N184" i="1"/>
  <c r="I221" i="1"/>
  <c r="L195" i="1"/>
  <c r="N195" i="1" s="1"/>
  <c r="L1101" i="1"/>
  <c r="M1101" i="1" s="1"/>
  <c r="I466" i="1"/>
  <c r="O231" i="1"/>
  <c r="I243" i="1"/>
  <c r="L403" i="1"/>
  <c r="M403" i="1" s="1"/>
  <c r="N231" i="1"/>
  <c r="M223" i="1"/>
  <c r="I210" i="1"/>
  <c r="I231" i="1"/>
  <c r="L684" i="1"/>
  <c r="M684" i="1" s="1"/>
  <c r="M140" i="1"/>
  <c r="L210" i="1"/>
  <c r="O210" i="1" s="1"/>
  <c r="H684" i="1"/>
  <c r="L4" i="1"/>
  <c r="O4" i="1" s="1"/>
  <c r="H231" i="1"/>
  <c r="I437" i="1"/>
  <c r="L243" i="1"/>
  <c r="N243" i="1" s="1"/>
  <c r="I141" i="1"/>
  <c r="L437" i="1"/>
  <c r="M437" i="1" s="1"/>
  <c r="H122" i="1"/>
  <c r="N1206" i="1"/>
  <c r="I148" i="1"/>
  <c r="I122" i="1"/>
  <c r="H1206" i="1"/>
  <c r="O1206" i="1"/>
  <c r="L148" i="1"/>
  <c r="M148" i="1" s="1"/>
  <c r="I1206" i="1"/>
  <c r="L526" i="1"/>
  <c r="M526" i="1" s="1"/>
  <c r="M192" i="1"/>
  <c r="H506" i="1"/>
  <c r="I526" i="1"/>
  <c r="N192" i="1"/>
  <c r="H505" i="1"/>
  <c r="M208" i="1"/>
  <c r="I171" i="1"/>
  <c r="H142" i="1"/>
  <c r="M213" i="1"/>
  <c r="I245" i="1"/>
  <c r="I188" i="1"/>
  <c r="H163" i="1"/>
  <c r="N245" i="1"/>
  <c r="I164" i="1"/>
  <c r="O141" i="1"/>
  <c r="H4" i="1"/>
  <c r="L2149" i="1"/>
  <c r="I179" i="1"/>
  <c r="L188" i="1"/>
  <c r="O188" i="1" s="1"/>
  <c r="L281" i="1"/>
  <c r="M281" i="1" s="1"/>
  <c r="M245" i="1"/>
  <c r="L171" i="1"/>
  <c r="O171" i="1" s="1"/>
  <c r="I403" i="1"/>
  <c r="H141" i="1"/>
  <c r="H885" i="1"/>
  <c r="L505" i="1"/>
  <c r="M505" i="1" s="1"/>
  <c r="H208" i="1"/>
  <c r="L163" i="1"/>
  <c r="N163" i="1" s="1"/>
  <c r="O208" i="1"/>
  <c r="N140" i="1"/>
  <c r="I393" i="1"/>
  <c r="H239" i="1"/>
  <c r="O213" i="1"/>
  <c r="I208" i="1"/>
  <c r="H213" i="1"/>
  <c r="M247" i="1"/>
  <c r="H2149" i="1"/>
  <c r="I156" i="1"/>
  <c r="I885" i="1"/>
  <c r="H431" i="1"/>
  <c r="I140" i="1"/>
  <c r="M239" i="1"/>
  <c r="I890" i="1"/>
  <c r="H1472" i="1"/>
  <c r="L393" i="1"/>
  <c r="M393" i="1" s="1"/>
  <c r="I239" i="1"/>
  <c r="I213" i="1"/>
  <c r="H265" i="1"/>
  <c r="H245" i="1"/>
  <c r="L164" i="1"/>
  <c r="O164" i="1" s="1"/>
  <c r="N247" i="1"/>
  <c r="L156" i="1"/>
  <c r="M156" i="1" s="1"/>
  <c r="L431" i="1"/>
  <c r="O431" i="1" s="1"/>
  <c r="N239" i="1"/>
  <c r="L890" i="1"/>
  <c r="O890" i="1" s="1"/>
  <c r="I132" i="1"/>
  <c r="I1472" i="1"/>
  <c r="H203" i="1"/>
  <c r="I265" i="1"/>
  <c r="M141" i="1"/>
  <c r="H192" i="1"/>
  <c r="L132" i="1"/>
  <c r="O132" i="1" s="1"/>
  <c r="I187" i="1"/>
  <c r="H140" i="1"/>
  <c r="H204" i="1"/>
  <c r="L313" i="1"/>
  <c r="M313" i="1" s="1"/>
  <c r="I204" i="1"/>
  <c r="H155" i="1"/>
  <c r="I291" i="1"/>
  <c r="H221" i="1"/>
  <c r="M321" i="1"/>
  <c r="H321" i="1"/>
  <c r="L935" i="1"/>
  <c r="O935" i="1" s="1"/>
  <c r="N321" i="1"/>
  <c r="I217" i="1"/>
  <c r="I321" i="1"/>
  <c r="H166" i="1"/>
  <c r="H124" i="1"/>
  <c r="N6" i="2"/>
  <c r="I166" i="1"/>
  <c r="L217" i="1"/>
  <c r="O217" i="1" s="1"/>
  <c r="I255" i="1"/>
  <c r="I142" i="1"/>
  <c r="I219" i="1"/>
  <c r="L187" i="1"/>
  <c r="N187" i="1" s="1"/>
  <c r="L155" i="1"/>
  <c r="O155" i="1" s="1"/>
  <c r="L1953" i="1"/>
  <c r="O1953" i="1" s="1"/>
  <c r="H345" i="1"/>
  <c r="L219" i="1"/>
  <c r="N219" i="1" s="1"/>
  <c r="N223" i="1"/>
  <c r="H172" i="1"/>
  <c r="M142" i="1"/>
  <c r="H130" i="1"/>
  <c r="M255" i="1"/>
  <c r="I345" i="1"/>
  <c r="H1180" i="1"/>
  <c r="I172" i="1"/>
  <c r="N142" i="1"/>
  <c r="I203" i="1"/>
  <c r="I130" i="1"/>
  <c r="H247" i="1"/>
  <c r="H892" i="1"/>
  <c r="N255" i="1"/>
  <c r="H307" i="1"/>
  <c r="H297" i="1"/>
  <c r="L1180" i="1"/>
  <c r="O1180" i="1" s="1"/>
  <c r="I199" i="1"/>
  <c r="I247" i="1"/>
  <c r="I892" i="1"/>
  <c r="H935" i="1"/>
  <c r="H291" i="1"/>
  <c r="L307" i="1"/>
  <c r="M307" i="1" s="1"/>
  <c r="I297" i="1"/>
  <c r="H313" i="1"/>
  <c r="L199" i="1"/>
  <c r="M199" i="1" s="1"/>
  <c r="H255" i="1"/>
  <c r="H223" i="1"/>
  <c r="H1953" i="1"/>
  <c r="I223" i="1"/>
  <c r="I192" i="1"/>
  <c r="M162" i="2"/>
  <c r="O162" i="2"/>
  <c r="L246" i="1"/>
  <c r="I246" i="1"/>
  <c r="H246" i="1"/>
  <c r="L1094" i="1"/>
  <c r="H1094" i="1"/>
  <c r="I1094" i="1"/>
  <c r="L13" i="1"/>
  <c r="H13" i="1"/>
  <c r="I13" i="1"/>
  <c r="L61" i="1"/>
  <c r="H61" i="1"/>
  <c r="I61" i="1"/>
  <c r="L109" i="1"/>
  <c r="H109" i="1"/>
  <c r="I109" i="1"/>
  <c r="L423" i="1"/>
  <c r="I423" i="1"/>
  <c r="H423" i="1"/>
  <c r="H554" i="1"/>
  <c r="L554" i="1"/>
  <c r="I554" i="1"/>
  <c r="L1284" i="1"/>
  <c r="I1284" i="1"/>
  <c r="H1284" i="1"/>
  <c r="L580" i="1"/>
  <c r="I580" i="1"/>
  <c r="H580" i="1"/>
  <c r="H858" i="1"/>
  <c r="L858" i="1"/>
  <c r="I858" i="1"/>
  <c r="L1001" i="1"/>
  <c r="I1001" i="1"/>
  <c r="H1001" i="1"/>
  <c r="H514" i="1"/>
  <c r="I514" i="1"/>
  <c r="L514" i="1"/>
  <c r="L1218" i="1"/>
  <c r="H1218" i="1"/>
  <c r="I1218" i="1"/>
  <c r="H581" i="1"/>
  <c r="L581" i="1"/>
  <c r="I581" i="1"/>
  <c r="L1085" i="1"/>
  <c r="H1085" i="1"/>
  <c r="I1085" i="1"/>
  <c r="L942" i="1"/>
  <c r="I942" i="1"/>
  <c r="H942" i="1"/>
  <c r="I645" i="1"/>
  <c r="L645" i="1"/>
  <c r="H645" i="1"/>
  <c r="L1301" i="1"/>
  <c r="I1301" i="1"/>
  <c r="H1301" i="1"/>
  <c r="L1234" i="1"/>
  <c r="I1234" i="1"/>
  <c r="H1234" i="1"/>
  <c r="I927" i="1"/>
  <c r="H927" i="1"/>
  <c r="L927" i="1"/>
  <c r="I976" i="1"/>
  <c r="H976" i="1"/>
  <c r="L976" i="1"/>
  <c r="I783" i="1"/>
  <c r="H783" i="1"/>
  <c r="L783" i="1"/>
  <c r="H989" i="1"/>
  <c r="I989" i="1"/>
  <c r="L989" i="1"/>
  <c r="L1415" i="1"/>
  <c r="I1415" i="1"/>
  <c r="H1415" i="1"/>
  <c r="L1142" i="1"/>
  <c r="I1142" i="1"/>
  <c r="H1142" i="1"/>
  <c r="L1112" i="1"/>
  <c r="H1112" i="1"/>
  <c r="I1112" i="1"/>
  <c r="I1436" i="1"/>
  <c r="H1436" i="1"/>
  <c r="L1436" i="1"/>
  <c r="L1062" i="1"/>
  <c r="H1062" i="1"/>
  <c r="I1062" i="1"/>
  <c r="I1282" i="1"/>
  <c r="H1282" i="1"/>
  <c r="L1282" i="1"/>
  <c r="I1715" i="1"/>
  <c r="H1715" i="1"/>
  <c r="L1715" i="1"/>
  <c r="I1354" i="1"/>
  <c r="H1354" i="1"/>
  <c r="L1354" i="1"/>
  <c r="L1710" i="1"/>
  <c r="I1710" i="1"/>
  <c r="H1710" i="1"/>
  <c r="L1163" i="1"/>
  <c r="I1163" i="1"/>
  <c r="H1163" i="1"/>
  <c r="I1432" i="1"/>
  <c r="H1432" i="1"/>
  <c r="L1432" i="1"/>
  <c r="I1615" i="1"/>
  <c r="H1615" i="1"/>
  <c r="L1615" i="1"/>
  <c r="H1572" i="1"/>
  <c r="I1572" i="1"/>
  <c r="L1572" i="1"/>
  <c r="L922" i="1"/>
  <c r="I922" i="1"/>
  <c r="H922" i="1"/>
  <c r="H1661" i="1"/>
  <c r="I1661" i="1"/>
  <c r="L1661" i="1"/>
  <c r="L1879" i="1"/>
  <c r="H1879" i="1"/>
  <c r="I1879" i="1"/>
  <c r="L2007" i="1"/>
  <c r="I2007" i="1"/>
  <c r="H2007" i="1"/>
  <c r="L1727" i="1"/>
  <c r="I1727" i="1"/>
  <c r="H1727" i="1"/>
  <c r="L1739" i="1"/>
  <c r="H1739" i="1"/>
  <c r="I1739" i="1"/>
  <c r="L1771" i="1"/>
  <c r="I1771" i="1"/>
  <c r="H1771" i="1"/>
  <c r="H1803" i="1"/>
  <c r="L1803" i="1"/>
  <c r="I1803" i="1"/>
  <c r="H1843" i="1"/>
  <c r="L1843" i="1"/>
  <c r="I1843" i="1"/>
  <c r="L1925" i="1"/>
  <c r="I1925" i="1"/>
  <c r="H1925" i="1"/>
  <c r="L2038" i="1"/>
  <c r="I2038" i="1"/>
  <c r="H2038" i="1"/>
  <c r="L20" i="1"/>
  <c r="I20" i="1"/>
  <c r="H20" i="1"/>
  <c r="L2015" i="1"/>
  <c r="I2015" i="1"/>
  <c r="H2015" i="1"/>
  <c r="I1838" i="1"/>
  <c r="L1838" i="1"/>
  <c r="H1838" i="1"/>
  <c r="I2128" i="1"/>
  <c r="L2128" i="1"/>
  <c r="H2128" i="1"/>
  <c r="I2110" i="1"/>
  <c r="H2110" i="1"/>
  <c r="L2110" i="1"/>
  <c r="L2236" i="1"/>
  <c r="I2236" i="1"/>
  <c r="H2236" i="1"/>
  <c r="L2237" i="1"/>
  <c r="I2237" i="1"/>
  <c r="H2237" i="1"/>
  <c r="I2196" i="1"/>
  <c r="L2196" i="1"/>
  <c r="H2196" i="1"/>
  <c r="L137" i="1"/>
  <c r="I137" i="1"/>
  <c r="H137" i="1"/>
  <c r="I169" i="2"/>
  <c r="H169" i="2"/>
  <c r="L169" i="2"/>
  <c r="I150" i="2"/>
  <c r="L150" i="2"/>
  <c r="H150" i="2"/>
  <c r="L413" i="2"/>
  <c r="I413" i="2"/>
  <c r="H413" i="2"/>
  <c r="L282" i="2"/>
  <c r="I282" i="2"/>
  <c r="H282" i="2"/>
  <c r="L199" i="2"/>
  <c r="I199" i="2"/>
  <c r="H199" i="2"/>
  <c r="L391" i="2"/>
  <c r="I391" i="2"/>
  <c r="H391" i="2"/>
  <c r="L426" i="2"/>
  <c r="I426" i="2"/>
  <c r="H426" i="2"/>
  <c r="L387" i="2"/>
  <c r="I387" i="2"/>
  <c r="H387" i="2"/>
  <c r="L444" i="2"/>
  <c r="I444" i="2"/>
  <c r="H444" i="2"/>
  <c r="M65" i="2"/>
  <c r="O65" i="2"/>
  <c r="N65" i="2"/>
  <c r="M18" i="2"/>
  <c r="O18" i="2"/>
  <c r="N18" i="2"/>
  <c r="L515" i="2"/>
  <c r="I515" i="2"/>
  <c r="H515" i="2"/>
  <c r="L242" i="2"/>
  <c r="I242" i="2"/>
  <c r="H242" i="2"/>
  <c r="L259" i="2"/>
  <c r="I259" i="2"/>
  <c r="H259" i="2"/>
  <c r="O416" i="2"/>
  <c r="N416" i="2"/>
  <c r="M416" i="2"/>
  <c r="N216" i="2"/>
  <c r="O216" i="2"/>
  <c r="M216" i="2"/>
  <c r="N211" i="2"/>
  <c r="M211" i="2"/>
  <c r="O211" i="2"/>
  <c r="M51" i="2"/>
  <c r="N51" i="2"/>
  <c r="O51" i="2"/>
  <c r="M74" i="2"/>
  <c r="O74" i="2"/>
  <c r="N74" i="2"/>
  <c r="L417" i="1"/>
  <c r="I417" i="1"/>
  <c r="H417" i="1"/>
  <c r="L1393" i="1"/>
  <c r="I1393" i="1"/>
  <c r="H1393" i="1"/>
  <c r="L111" i="1"/>
  <c r="I111" i="1"/>
  <c r="H111" i="1"/>
  <c r="I153" i="1"/>
  <c r="H153" i="1"/>
  <c r="L153" i="1"/>
  <c r="L424" i="1"/>
  <c r="I424" i="1"/>
  <c r="H424" i="1"/>
  <c r="H46" i="1"/>
  <c r="L46" i="1"/>
  <c r="I46" i="1"/>
  <c r="H86" i="1"/>
  <c r="L86" i="1"/>
  <c r="I86" i="1"/>
  <c r="L211" i="1"/>
  <c r="I211" i="1"/>
  <c r="H211" i="1"/>
  <c r="L444" i="1"/>
  <c r="I444" i="1"/>
  <c r="H444" i="1"/>
  <c r="I443" i="1"/>
  <c r="H443" i="1"/>
  <c r="L443" i="1"/>
  <c r="H365" i="1"/>
  <c r="L365" i="1"/>
  <c r="I365" i="1"/>
  <c r="L388" i="1"/>
  <c r="I388" i="1"/>
  <c r="H388" i="1"/>
  <c r="H948" i="1"/>
  <c r="L948" i="1"/>
  <c r="I948" i="1"/>
  <c r="L1052" i="1"/>
  <c r="I1052" i="1"/>
  <c r="H1052" i="1"/>
  <c r="L1017" i="1"/>
  <c r="I1017" i="1"/>
  <c r="H1017" i="1"/>
  <c r="L1138" i="1"/>
  <c r="I1138" i="1"/>
  <c r="H1138" i="1"/>
  <c r="L1172" i="1"/>
  <c r="I1172" i="1"/>
  <c r="H1172" i="1"/>
  <c r="L525" i="1"/>
  <c r="I525" i="1"/>
  <c r="H525" i="1"/>
  <c r="L762" i="1"/>
  <c r="H762" i="1"/>
  <c r="I762" i="1"/>
  <c r="I796" i="1"/>
  <c r="H796" i="1"/>
  <c r="L796" i="1"/>
  <c r="L1356" i="1"/>
  <c r="I1356" i="1"/>
  <c r="H1356" i="1"/>
  <c r="I878" i="1"/>
  <c r="H878" i="1"/>
  <c r="L878" i="1"/>
  <c r="L1027" i="1"/>
  <c r="I1027" i="1"/>
  <c r="H1027" i="1"/>
  <c r="I738" i="1"/>
  <c r="L738" i="1"/>
  <c r="H738" i="1"/>
  <c r="H635" i="1"/>
  <c r="L635" i="1"/>
  <c r="I635" i="1"/>
  <c r="L1248" i="1"/>
  <c r="I1248" i="1"/>
  <c r="H1248" i="1"/>
  <c r="H819" i="1"/>
  <c r="L819" i="1"/>
  <c r="I819" i="1"/>
  <c r="H997" i="1"/>
  <c r="L997" i="1"/>
  <c r="I997" i="1"/>
  <c r="I938" i="1"/>
  <c r="H938" i="1"/>
  <c r="L938" i="1"/>
  <c r="L1221" i="1"/>
  <c r="I1221" i="1"/>
  <c r="H1221" i="1"/>
  <c r="L1116" i="1"/>
  <c r="H1116" i="1"/>
  <c r="I1116" i="1"/>
  <c r="L1047" i="1"/>
  <c r="H1047" i="1"/>
  <c r="I1047" i="1"/>
  <c r="L1774" i="1"/>
  <c r="I1774" i="1"/>
  <c r="H1774" i="1"/>
  <c r="L1297" i="1"/>
  <c r="I1297" i="1"/>
  <c r="H1297" i="1"/>
  <c r="H1231" i="1"/>
  <c r="L1231" i="1"/>
  <c r="I1231" i="1"/>
  <c r="I1358" i="1"/>
  <c r="H1358" i="1"/>
  <c r="L1358" i="1"/>
  <c r="I1496" i="1"/>
  <c r="L1496" i="1"/>
  <c r="H1496" i="1"/>
  <c r="H1381" i="1"/>
  <c r="L1381" i="1"/>
  <c r="I1381" i="1"/>
  <c r="H1501" i="1"/>
  <c r="I1501" i="1"/>
  <c r="L1501" i="1"/>
  <c r="I1704" i="1"/>
  <c r="H1704" i="1"/>
  <c r="L1704" i="1"/>
  <c r="L1553" i="1"/>
  <c r="I1553" i="1"/>
  <c r="H1553" i="1"/>
  <c r="L1562" i="1"/>
  <c r="I1562" i="1"/>
  <c r="H1562" i="1"/>
  <c r="L1890" i="1"/>
  <c r="I1890" i="1"/>
  <c r="H1890" i="1"/>
  <c r="L1883" i="1"/>
  <c r="I1883" i="1"/>
  <c r="H1883" i="1"/>
  <c r="I1732" i="1"/>
  <c r="H1732" i="1"/>
  <c r="L1732" i="1"/>
  <c r="I1764" i="1"/>
  <c r="L1764" i="1"/>
  <c r="H1764" i="1"/>
  <c r="L1804" i="1"/>
  <c r="I1804" i="1"/>
  <c r="H1804" i="1"/>
  <c r="L1844" i="1"/>
  <c r="I1844" i="1"/>
  <c r="H1844" i="1"/>
  <c r="L1934" i="1"/>
  <c r="I1934" i="1"/>
  <c r="H1934" i="1"/>
  <c r="L1966" i="1"/>
  <c r="I1966" i="1"/>
  <c r="H1966" i="1"/>
  <c r="H2001" i="1"/>
  <c r="I2001" i="1"/>
  <c r="L2001" i="1"/>
  <c r="I2145" i="1"/>
  <c r="L2145" i="1"/>
  <c r="H2145" i="1"/>
  <c r="I2132" i="1"/>
  <c r="L2132" i="1"/>
  <c r="H2132" i="1"/>
  <c r="I2111" i="1"/>
  <c r="H2111" i="1"/>
  <c r="L2111" i="1"/>
  <c r="L2302" i="1"/>
  <c r="H2302" i="1"/>
  <c r="I2302" i="1"/>
  <c r="L2239" i="1"/>
  <c r="I2239" i="1"/>
  <c r="H2239" i="1"/>
  <c r="L2234" i="1"/>
  <c r="H2234" i="1"/>
  <c r="I2234" i="1"/>
  <c r="I2213" i="1"/>
  <c r="H2213" i="1"/>
  <c r="L2213" i="1"/>
  <c r="L489" i="1"/>
  <c r="I489" i="1"/>
  <c r="H489" i="1"/>
  <c r="I167" i="2"/>
  <c r="H167" i="2"/>
  <c r="L167" i="2"/>
  <c r="L22" i="2"/>
  <c r="H22" i="2"/>
  <c r="I22" i="2"/>
  <c r="L229" i="2"/>
  <c r="I229" i="2"/>
  <c r="H229" i="2"/>
  <c r="L370" i="2"/>
  <c r="I370" i="2"/>
  <c r="H370" i="2"/>
  <c r="L271" i="2"/>
  <c r="I271" i="2"/>
  <c r="H271" i="2"/>
  <c r="L527" i="2"/>
  <c r="I527" i="2"/>
  <c r="H527" i="2"/>
  <c r="L196" i="2"/>
  <c r="I196" i="2"/>
  <c r="H196" i="2"/>
  <c r="L452" i="2"/>
  <c r="I452" i="2"/>
  <c r="H452" i="2"/>
  <c r="M75" i="2"/>
  <c r="O75" i="2"/>
  <c r="N75" i="2"/>
  <c r="L465" i="2"/>
  <c r="I465" i="2"/>
  <c r="H465" i="2"/>
  <c r="M305" i="2"/>
  <c r="N305" i="2"/>
  <c r="O305" i="2"/>
  <c r="N178" i="2"/>
  <c r="O178" i="2"/>
  <c r="M178" i="2"/>
  <c r="L510" i="2"/>
  <c r="I510" i="2"/>
  <c r="H510" i="2"/>
  <c r="L414" i="2"/>
  <c r="I414" i="2"/>
  <c r="H414" i="2"/>
  <c r="L254" i="2"/>
  <c r="I254" i="2"/>
  <c r="H254" i="2"/>
  <c r="L68" i="2"/>
  <c r="H68" i="2"/>
  <c r="I68" i="2"/>
  <c r="N488" i="2"/>
  <c r="O488" i="2"/>
  <c r="M488" i="2"/>
  <c r="M35" i="2"/>
  <c r="N35" i="2"/>
  <c r="O35" i="2"/>
  <c r="L234" i="1"/>
  <c r="I234" i="1"/>
  <c r="H234" i="1"/>
  <c r="L497" i="1"/>
  <c r="I497" i="1"/>
  <c r="H497" i="1"/>
  <c r="H160" i="1"/>
  <c r="L160" i="1"/>
  <c r="I160" i="1"/>
  <c r="H446" i="1"/>
  <c r="I446" i="1"/>
  <c r="L446" i="1"/>
  <c r="L39" i="1"/>
  <c r="I39" i="1"/>
  <c r="H39" i="1"/>
  <c r="L71" i="1"/>
  <c r="H71" i="1"/>
  <c r="I71" i="1"/>
  <c r="L95" i="1"/>
  <c r="H95" i="1"/>
  <c r="I95" i="1"/>
  <c r="L1031" i="1"/>
  <c r="I1031" i="1"/>
  <c r="H1031" i="1"/>
  <c r="I690" i="1"/>
  <c r="H690" i="1"/>
  <c r="L690" i="1"/>
  <c r="H570" i="1"/>
  <c r="L570" i="1"/>
  <c r="I570" i="1"/>
  <c r="H452" i="1"/>
  <c r="L452" i="1"/>
  <c r="I452" i="1"/>
  <c r="L396" i="1"/>
  <c r="I396" i="1"/>
  <c r="H396" i="1"/>
  <c r="L551" i="1"/>
  <c r="I551" i="1"/>
  <c r="H551" i="1"/>
  <c r="I563" i="1"/>
  <c r="L563" i="1"/>
  <c r="H563" i="1"/>
  <c r="L487" i="1"/>
  <c r="I487" i="1"/>
  <c r="H487" i="1"/>
  <c r="L1399" i="1"/>
  <c r="I1399" i="1"/>
  <c r="H1399" i="1"/>
  <c r="L642" i="1"/>
  <c r="I642" i="1"/>
  <c r="H642" i="1"/>
  <c r="L484" i="1"/>
  <c r="I484" i="1"/>
  <c r="H484" i="1"/>
  <c r="L881" i="1"/>
  <c r="I881" i="1"/>
  <c r="H881" i="1"/>
  <c r="I696" i="1"/>
  <c r="H696" i="1"/>
  <c r="L696" i="1"/>
  <c r="L1122" i="1"/>
  <c r="H1122" i="1"/>
  <c r="I1122" i="1"/>
  <c r="L2083" i="1"/>
  <c r="H2083" i="1"/>
  <c r="I2083" i="1"/>
  <c r="L1427" i="1"/>
  <c r="I1427" i="1"/>
  <c r="H1427" i="1"/>
  <c r="L654" i="1"/>
  <c r="I654" i="1"/>
  <c r="H654" i="1"/>
  <c r="L833" i="1"/>
  <c r="H833" i="1"/>
  <c r="I833" i="1"/>
  <c r="L1335" i="1"/>
  <c r="I1335" i="1"/>
  <c r="H1335" i="1"/>
  <c r="I959" i="1"/>
  <c r="H959" i="1"/>
  <c r="L959" i="1"/>
  <c r="I1694" i="1"/>
  <c r="H1694" i="1"/>
  <c r="L1694" i="1"/>
  <c r="I759" i="1"/>
  <c r="H759" i="1"/>
  <c r="L759" i="1"/>
  <c r="H1767" i="1"/>
  <c r="I1767" i="1"/>
  <c r="L1767" i="1"/>
  <c r="H1508" i="1"/>
  <c r="L1508" i="1"/>
  <c r="I1508" i="1"/>
  <c r="L1193" i="1"/>
  <c r="I1193" i="1"/>
  <c r="H1193" i="1"/>
  <c r="L1457" i="1"/>
  <c r="I1457" i="1"/>
  <c r="H1457" i="1"/>
  <c r="L1518" i="1"/>
  <c r="I1518" i="1"/>
  <c r="H1518" i="1"/>
  <c r="L1055" i="1"/>
  <c r="H1055" i="1"/>
  <c r="I1055" i="1"/>
  <c r="L1075" i="1"/>
  <c r="H1075" i="1"/>
  <c r="I1075" i="1"/>
  <c r="L1805" i="1"/>
  <c r="I1805" i="1"/>
  <c r="H1805" i="1"/>
  <c r="L1483" i="1"/>
  <c r="I1483" i="1"/>
  <c r="H1483" i="1"/>
  <c r="H1299" i="1"/>
  <c r="I1299" i="1"/>
  <c r="L1299" i="1"/>
  <c r="I1394" i="1"/>
  <c r="H1394" i="1"/>
  <c r="L1394" i="1"/>
  <c r="I1504" i="1"/>
  <c r="L1504" i="1"/>
  <c r="H1504" i="1"/>
  <c r="H1385" i="1"/>
  <c r="I1385" i="1"/>
  <c r="L1385" i="1"/>
  <c r="H1458" i="1"/>
  <c r="L1458" i="1"/>
  <c r="I1458" i="1"/>
  <c r="L1542" i="1"/>
  <c r="H1542" i="1"/>
  <c r="I1542" i="1"/>
  <c r="I1711" i="1"/>
  <c r="H1711" i="1"/>
  <c r="L1711" i="1"/>
  <c r="H1497" i="1"/>
  <c r="L1497" i="1"/>
  <c r="I1497" i="1"/>
  <c r="H1613" i="1"/>
  <c r="I1613" i="1"/>
  <c r="L1613" i="1"/>
  <c r="L1570" i="1"/>
  <c r="I1570" i="1"/>
  <c r="H1570" i="1"/>
  <c r="H1726" i="1"/>
  <c r="L1726" i="1"/>
  <c r="I1726" i="1"/>
  <c r="L1885" i="1"/>
  <c r="I1885" i="1"/>
  <c r="H1885" i="1"/>
  <c r="L1952" i="1"/>
  <c r="I1952" i="1"/>
  <c r="H1952" i="1"/>
  <c r="L1741" i="1"/>
  <c r="I1741" i="1"/>
  <c r="H1741" i="1"/>
  <c r="I1765" i="1"/>
  <c r="L1765" i="1"/>
  <c r="H1765" i="1"/>
  <c r="H545" i="1"/>
  <c r="L545" i="1"/>
  <c r="I545" i="1"/>
  <c r="H1554" i="1"/>
  <c r="L1554" i="1"/>
  <c r="I1554" i="1"/>
  <c r="H1861" i="1"/>
  <c r="L1861" i="1"/>
  <c r="I1861" i="1"/>
  <c r="L2058" i="1"/>
  <c r="I2058" i="1"/>
  <c r="H2058" i="1"/>
  <c r="L2002" i="1"/>
  <c r="I2002" i="1"/>
  <c r="H2002" i="1"/>
  <c r="H2005" i="1"/>
  <c r="L2005" i="1"/>
  <c r="I2005" i="1"/>
  <c r="L2073" i="1"/>
  <c r="I2073" i="1"/>
  <c r="H2073" i="1"/>
  <c r="I2076" i="1"/>
  <c r="L2076" i="1"/>
  <c r="H2076" i="1"/>
  <c r="I2088" i="1"/>
  <c r="H2088" i="1"/>
  <c r="L2088" i="1"/>
  <c r="I2112" i="1"/>
  <c r="H2112" i="1"/>
  <c r="L2112" i="1"/>
  <c r="I2161" i="1"/>
  <c r="L2161" i="1"/>
  <c r="H2161" i="1"/>
  <c r="L2264" i="1"/>
  <c r="I2264" i="1"/>
  <c r="H2264" i="1"/>
  <c r="L2241" i="1"/>
  <c r="I2241" i="1"/>
  <c r="H2241" i="1"/>
  <c r="L2182" i="1"/>
  <c r="H2182" i="1"/>
  <c r="I2182" i="1"/>
  <c r="L2206" i="1"/>
  <c r="I2206" i="1"/>
  <c r="H2206" i="1"/>
  <c r="H133" i="1"/>
  <c r="I133" i="1"/>
  <c r="L133" i="1"/>
  <c r="I166" i="2"/>
  <c r="L166" i="2"/>
  <c r="H166" i="2"/>
  <c r="L301" i="2"/>
  <c r="I301" i="2"/>
  <c r="H301" i="2"/>
  <c r="L493" i="2"/>
  <c r="I493" i="2"/>
  <c r="H493" i="2"/>
  <c r="L306" i="2"/>
  <c r="I306" i="2"/>
  <c r="H306" i="2"/>
  <c r="L490" i="2"/>
  <c r="I490" i="2"/>
  <c r="H490" i="2"/>
  <c r="L215" i="2"/>
  <c r="I215" i="2"/>
  <c r="H215" i="2"/>
  <c r="L343" i="2"/>
  <c r="I343" i="2"/>
  <c r="H343" i="2"/>
  <c r="L535" i="2"/>
  <c r="I535" i="2"/>
  <c r="H535" i="2"/>
  <c r="L250" i="2"/>
  <c r="I250" i="2"/>
  <c r="H250" i="2"/>
  <c r="I407" i="2"/>
  <c r="L407" i="2"/>
  <c r="H407" i="2"/>
  <c r="L332" i="2"/>
  <c r="I332" i="2"/>
  <c r="H332" i="2"/>
  <c r="L41" i="2"/>
  <c r="I41" i="2"/>
  <c r="H41" i="2"/>
  <c r="M120" i="2"/>
  <c r="N120" i="2"/>
  <c r="O120" i="2"/>
  <c r="M9" i="2"/>
  <c r="O9" i="2"/>
  <c r="N9" i="2"/>
  <c r="N218" i="2"/>
  <c r="M218" i="2"/>
  <c r="O218" i="2"/>
  <c r="O204" i="1"/>
  <c r="N204" i="1"/>
  <c r="M204" i="1"/>
  <c r="L521" i="2"/>
  <c r="I521" i="2"/>
  <c r="H521" i="2"/>
  <c r="L393" i="2"/>
  <c r="I393" i="2"/>
  <c r="H393" i="2"/>
  <c r="M281" i="2"/>
  <c r="O281" i="2"/>
  <c r="N281" i="2"/>
  <c r="N232" i="2"/>
  <c r="O232" i="2"/>
  <c r="M232" i="2"/>
  <c r="O227" i="1"/>
  <c r="N227" i="1"/>
  <c r="M227" i="1"/>
  <c r="L571" i="2"/>
  <c r="I571" i="2"/>
  <c r="H571" i="2"/>
  <c r="L576" i="2"/>
  <c r="I576" i="2"/>
  <c r="H576" i="2"/>
  <c r="L379" i="2"/>
  <c r="I379" i="2"/>
  <c r="H379" i="2"/>
  <c r="L315" i="2"/>
  <c r="I315" i="2"/>
  <c r="H315" i="2"/>
  <c r="L283" i="2"/>
  <c r="I283" i="2"/>
  <c r="H283" i="2"/>
  <c r="I145" i="2"/>
  <c r="L145" i="2"/>
  <c r="H145" i="2"/>
  <c r="L60" i="2"/>
  <c r="H60" i="2"/>
  <c r="I60" i="2"/>
  <c r="O248" i="2"/>
  <c r="N248" i="2"/>
  <c r="M248" i="2"/>
  <c r="M114" i="2"/>
  <c r="O114" i="2"/>
  <c r="N114" i="2"/>
  <c r="M237" i="2"/>
  <c r="N400" i="2"/>
  <c r="O400" i="2"/>
  <c r="M400" i="2"/>
  <c r="M339" i="1"/>
  <c r="O339" i="1"/>
  <c r="N339" i="1"/>
  <c r="N202" i="2"/>
  <c r="M202" i="2"/>
  <c r="O202" i="2"/>
  <c r="M69" i="2"/>
  <c r="O69" i="2"/>
  <c r="N69" i="2"/>
  <c r="O1060" i="1"/>
  <c r="N1060" i="1"/>
  <c r="M1060" i="1"/>
  <c r="M104" i="2"/>
  <c r="N104" i="2"/>
  <c r="O104" i="2"/>
  <c r="L337" i="1"/>
  <c r="I337" i="1"/>
  <c r="H337" i="1"/>
  <c r="L154" i="1"/>
  <c r="I154" i="1"/>
  <c r="H154" i="1"/>
  <c r="L236" i="1"/>
  <c r="I236" i="1"/>
  <c r="H236" i="1"/>
  <c r="L362" i="1"/>
  <c r="I362" i="1"/>
  <c r="H362" i="1"/>
  <c r="I169" i="1"/>
  <c r="H169" i="1"/>
  <c r="L169" i="1"/>
  <c r="L201" i="1"/>
  <c r="H201" i="1"/>
  <c r="I201" i="1"/>
  <c r="I720" i="1"/>
  <c r="H720" i="1"/>
  <c r="L720" i="1"/>
  <c r="L32" i="1"/>
  <c r="I32" i="1"/>
  <c r="H32" i="1"/>
  <c r="L826" i="1"/>
  <c r="I826" i="1"/>
  <c r="H826" i="1"/>
  <c r="L88" i="1"/>
  <c r="I88" i="1"/>
  <c r="H88" i="1"/>
  <c r="L104" i="1"/>
  <c r="I104" i="1"/>
  <c r="H104" i="1"/>
  <c r="L468" i="1"/>
  <c r="I468" i="1"/>
  <c r="H468" i="1"/>
  <c r="L319" i="1"/>
  <c r="I319" i="1"/>
  <c r="H319" i="1"/>
  <c r="L919" i="1"/>
  <c r="I919" i="1"/>
  <c r="H919" i="1"/>
  <c r="I406" i="1"/>
  <c r="H406" i="1"/>
  <c r="L406" i="1"/>
  <c r="H574" i="1"/>
  <c r="I574" i="1"/>
  <c r="L574" i="1"/>
  <c r="H381" i="1"/>
  <c r="L381" i="1"/>
  <c r="I381" i="1"/>
  <c r="H522" i="1"/>
  <c r="L522" i="1"/>
  <c r="I522" i="1"/>
  <c r="L1756" i="1"/>
  <c r="I1756" i="1"/>
  <c r="H1756" i="1"/>
  <c r="I535" i="1"/>
  <c r="L535" i="1"/>
  <c r="H535" i="1"/>
  <c r="H900" i="1"/>
  <c r="L900" i="1"/>
  <c r="I900" i="1"/>
  <c r="H1028" i="1"/>
  <c r="L1028" i="1"/>
  <c r="I1028" i="1"/>
  <c r="H718" i="1"/>
  <c r="L718" i="1"/>
  <c r="I718" i="1"/>
  <c r="I595" i="1"/>
  <c r="H595" i="1"/>
  <c r="L595" i="1"/>
  <c r="L1042" i="1"/>
  <c r="I1042" i="1"/>
  <c r="H1042" i="1"/>
  <c r="I637" i="1"/>
  <c r="L637" i="1"/>
  <c r="H637" i="1"/>
  <c r="I688" i="1"/>
  <c r="H688" i="1"/>
  <c r="L688" i="1"/>
  <c r="L492" i="1"/>
  <c r="I492" i="1"/>
  <c r="H492" i="1"/>
  <c r="L1491" i="1"/>
  <c r="I1491" i="1"/>
  <c r="H1491" i="1"/>
  <c r="I792" i="1"/>
  <c r="H792" i="1"/>
  <c r="L792" i="1"/>
  <c r="I732" i="1"/>
  <c r="H732" i="1"/>
  <c r="L732" i="1"/>
  <c r="L1036" i="1"/>
  <c r="I1036" i="1"/>
  <c r="H1036" i="1"/>
  <c r="I663" i="1"/>
  <c r="L663" i="1"/>
  <c r="H663" i="1"/>
  <c r="L1384" i="1"/>
  <c r="I1384" i="1"/>
  <c r="H1384" i="1"/>
  <c r="L1078" i="1"/>
  <c r="H1078" i="1"/>
  <c r="I1078" i="1"/>
  <c r="I768" i="1"/>
  <c r="H768" i="1"/>
  <c r="L768" i="1"/>
  <c r="L1298" i="1"/>
  <c r="I1298" i="1"/>
  <c r="H1298" i="1"/>
  <c r="H699" i="1"/>
  <c r="L699" i="1"/>
  <c r="I699" i="1"/>
  <c r="H827" i="1"/>
  <c r="L827" i="1"/>
  <c r="I827" i="1"/>
  <c r="H1013" i="1"/>
  <c r="L1013" i="1"/>
  <c r="I1013" i="1"/>
  <c r="I954" i="1"/>
  <c r="H954" i="1"/>
  <c r="L954" i="1"/>
  <c r="L1166" i="1"/>
  <c r="I1166" i="1"/>
  <c r="H1166" i="1"/>
  <c r="L1092" i="1"/>
  <c r="H1092" i="1"/>
  <c r="I1092" i="1"/>
  <c r="L1332" i="1"/>
  <c r="I1332" i="1"/>
  <c r="H1332" i="1"/>
  <c r="L1192" i="1"/>
  <c r="I1192" i="1"/>
  <c r="H1192" i="1"/>
  <c r="L1111" i="1"/>
  <c r="H1111" i="1"/>
  <c r="I1111" i="1"/>
  <c r="L544" i="1"/>
  <c r="I544" i="1"/>
  <c r="H544" i="1"/>
  <c r="H1239" i="1"/>
  <c r="L1239" i="1"/>
  <c r="I1239" i="1"/>
  <c r="I1398" i="1"/>
  <c r="H1398" i="1"/>
  <c r="L1398" i="1"/>
  <c r="I1512" i="1"/>
  <c r="L1512" i="1"/>
  <c r="H1512" i="1"/>
  <c r="L1389" i="1"/>
  <c r="I1389" i="1"/>
  <c r="H1389" i="1"/>
  <c r="I1475" i="1"/>
  <c r="H1475" i="1"/>
  <c r="L1475" i="1"/>
  <c r="I1631" i="1"/>
  <c r="H1631" i="1"/>
  <c r="L1631" i="1"/>
  <c r="L1451" i="1"/>
  <c r="I1451" i="1"/>
  <c r="H1451" i="1"/>
  <c r="L299" i="1"/>
  <c r="I299" i="1"/>
  <c r="H299" i="1"/>
  <c r="L1578" i="1"/>
  <c r="I1578" i="1"/>
  <c r="H1578" i="1"/>
  <c r="L1943" i="1"/>
  <c r="I1943" i="1"/>
  <c r="H1943" i="1"/>
  <c r="L2012" i="1"/>
  <c r="I2012" i="1"/>
  <c r="H2012" i="1"/>
  <c r="I2134" i="1"/>
  <c r="L2134" i="1"/>
  <c r="H2134" i="1"/>
  <c r="L1750" i="1"/>
  <c r="I1750" i="1"/>
  <c r="H1750" i="1"/>
  <c r="I1782" i="1"/>
  <c r="L1782" i="1"/>
  <c r="H1782" i="1"/>
  <c r="L1814" i="1"/>
  <c r="I1814" i="1"/>
  <c r="H1814" i="1"/>
  <c r="L1846" i="1"/>
  <c r="I1846" i="1"/>
  <c r="H1846" i="1"/>
  <c r="L1936" i="1"/>
  <c r="I1936" i="1"/>
  <c r="H1936" i="1"/>
  <c r="L2060" i="1"/>
  <c r="I2060" i="1"/>
  <c r="H2060" i="1"/>
  <c r="H1945" i="1"/>
  <c r="I1945" i="1"/>
  <c r="L1945" i="1"/>
  <c r="L2059" i="1"/>
  <c r="I2059" i="1"/>
  <c r="H2059" i="1"/>
  <c r="L2171" i="1"/>
  <c r="I2171" i="1"/>
  <c r="H2171" i="1"/>
  <c r="L2268" i="1"/>
  <c r="I2268" i="1"/>
  <c r="H2268" i="1"/>
  <c r="L78" i="2"/>
  <c r="H78" i="2"/>
  <c r="I78" i="2"/>
  <c r="L363" i="1"/>
  <c r="I363" i="1"/>
  <c r="H363" i="1"/>
  <c r="L214" i="1"/>
  <c r="I214" i="1"/>
  <c r="H214" i="1"/>
  <c r="L481" i="1"/>
  <c r="I481" i="1"/>
  <c r="H481" i="1"/>
  <c r="L288" i="1"/>
  <c r="I288" i="1"/>
  <c r="H288" i="1"/>
  <c r="L29" i="1"/>
  <c r="I29" i="1"/>
  <c r="H29" i="1"/>
  <c r="L85" i="1"/>
  <c r="I85" i="1"/>
  <c r="H85" i="1"/>
  <c r="H167" i="1"/>
  <c r="L167" i="1"/>
  <c r="I167" i="1"/>
  <c r="I318" i="1"/>
  <c r="H318" i="1"/>
  <c r="L318" i="1"/>
  <c r="H357" i="1"/>
  <c r="I357" i="1"/>
  <c r="L357" i="1"/>
  <c r="H2129" i="1"/>
  <c r="L2129" i="1"/>
  <c r="I2129" i="1"/>
  <c r="L1003" i="1"/>
  <c r="I1003" i="1"/>
  <c r="H1003" i="1"/>
  <c r="H566" i="1"/>
  <c r="L566" i="1"/>
  <c r="I566" i="1"/>
  <c r="L508" i="1"/>
  <c r="I508" i="1"/>
  <c r="H508" i="1"/>
  <c r="H758" i="1"/>
  <c r="L758" i="1"/>
  <c r="I758" i="1"/>
  <c r="H686" i="1"/>
  <c r="L686" i="1"/>
  <c r="I686" i="1"/>
  <c r="L678" i="1"/>
  <c r="I678" i="1"/>
  <c r="H678" i="1"/>
  <c r="I700" i="1"/>
  <c r="H700" i="1"/>
  <c r="L700" i="1"/>
  <c r="L1352" i="1"/>
  <c r="I1352" i="1"/>
  <c r="H1352" i="1"/>
  <c r="I778" i="1"/>
  <c r="L778" i="1"/>
  <c r="H778" i="1"/>
  <c r="L897" i="1"/>
  <c r="H897" i="1"/>
  <c r="I897" i="1"/>
  <c r="L662" i="1"/>
  <c r="I662" i="1"/>
  <c r="H662" i="1"/>
  <c r="L627" i="1"/>
  <c r="H627" i="1"/>
  <c r="I627" i="1"/>
  <c r="I719" i="1"/>
  <c r="H719" i="1"/>
  <c r="L719" i="1"/>
  <c r="H847" i="1"/>
  <c r="L847" i="1"/>
  <c r="I847" i="1"/>
  <c r="L1114" i="1"/>
  <c r="H1114" i="1"/>
  <c r="I1114" i="1"/>
  <c r="L1059" i="1"/>
  <c r="I1059" i="1"/>
  <c r="H1059" i="1"/>
  <c r="L1296" i="1"/>
  <c r="I1296" i="1"/>
  <c r="H1296" i="1"/>
  <c r="L1236" i="1"/>
  <c r="I1236" i="1"/>
  <c r="H1236" i="1"/>
  <c r="L1168" i="1"/>
  <c r="I1168" i="1"/>
  <c r="H1168" i="1"/>
  <c r="L1131" i="1"/>
  <c r="H1131" i="1"/>
  <c r="I1131" i="1"/>
  <c r="L1643" i="1"/>
  <c r="I1643" i="1"/>
  <c r="H1643" i="1"/>
  <c r="H1259" i="1"/>
  <c r="I1259" i="1"/>
  <c r="L1259" i="1"/>
  <c r="I1418" i="1"/>
  <c r="H1418" i="1"/>
  <c r="L1418" i="1"/>
  <c r="L1314" i="1"/>
  <c r="I1314" i="1"/>
  <c r="H1314" i="1"/>
  <c r="I1463" i="1"/>
  <c r="L1463" i="1"/>
  <c r="H1463" i="1"/>
  <c r="I1528" i="1"/>
  <c r="H1528" i="1"/>
  <c r="L1528" i="1"/>
  <c r="L1702" i="1"/>
  <c r="H1702" i="1"/>
  <c r="I1702" i="1"/>
  <c r="H1481" i="1"/>
  <c r="L1481" i="1"/>
  <c r="I1481" i="1"/>
  <c r="H1533" i="1"/>
  <c r="I1533" i="1"/>
  <c r="L1533" i="1"/>
  <c r="L1618" i="1"/>
  <c r="H1618" i="1"/>
  <c r="I1618" i="1"/>
  <c r="L1916" i="1"/>
  <c r="I1916" i="1"/>
  <c r="H1916" i="1"/>
  <c r="H1867" i="1"/>
  <c r="L1867" i="1"/>
  <c r="I1867" i="1"/>
  <c r="L1979" i="1"/>
  <c r="I1979" i="1"/>
  <c r="H1979" i="1"/>
  <c r="L1763" i="1"/>
  <c r="I1763" i="1"/>
  <c r="H1763" i="1"/>
  <c r="L1795" i="1"/>
  <c r="I1795" i="1"/>
  <c r="H1795" i="1"/>
  <c r="H1827" i="1"/>
  <c r="L1827" i="1"/>
  <c r="I1827" i="1"/>
  <c r="H1859" i="1"/>
  <c r="L1859" i="1"/>
  <c r="I1859" i="1"/>
  <c r="L2019" i="1"/>
  <c r="I2019" i="1"/>
  <c r="H2019" i="1"/>
  <c r="L728" i="1"/>
  <c r="I728" i="1"/>
  <c r="H728" i="1"/>
  <c r="H1965" i="1"/>
  <c r="L1965" i="1"/>
  <c r="I1965" i="1"/>
  <c r="L2053" i="1"/>
  <c r="I2053" i="1"/>
  <c r="H2053" i="1"/>
  <c r="I2085" i="1"/>
  <c r="H2085" i="1"/>
  <c r="L2085" i="1"/>
  <c r="I813" i="1"/>
  <c r="H813" i="1"/>
  <c r="L813" i="1"/>
  <c r="I2139" i="1"/>
  <c r="H2139" i="1"/>
  <c r="L2139" i="1"/>
  <c r="L2294" i="1"/>
  <c r="H2294" i="1"/>
  <c r="I2294" i="1"/>
  <c r="L2303" i="1"/>
  <c r="H2303" i="1"/>
  <c r="I2303" i="1"/>
  <c r="L2204" i="1"/>
  <c r="I2204" i="1"/>
  <c r="H2204" i="1"/>
  <c r="M291" i="1"/>
  <c r="O291" i="1"/>
  <c r="N291" i="1"/>
  <c r="L285" i="2"/>
  <c r="I285" i="2"/>
  <c r="H285" i="2"/>
  <c r="L477" i="2"/>
  <c r="I477" i="2"/>
  <c r="H477" i="2"/>
  <c r="L354" i="2"/>
  <c r="I354" i="2"/>
  <c r="H354" i="2"/>
  <c r="L263" i="2"/>
  <c r="I263" i="2"/>
  <c r="H263" i="2"/>
  <c r="L455" i="2"/>
  <c r="I455" i="2"/>
  <c r="H455" i="2"/>
  <c r="L562" i="2"/>
  <c r="I562" i="2"/>
  <c r="H562" i="2"/>
  <c r="L316" i="2"/>
  <c r="I316" i="2"/>
  <c r="H316" i="2"/>
  <c r="L508" i="2"/>
  <c r="I508" i="2"/>
  <c r="H508" i="2"/>
  <c r="L572" i="2"/>
  <c r="I572" i="2"/>
  <c r="H572" i="2"/>
  <c r="M17" i="2"/>
  <c r="N17" i="2"/>
  <c r="O17" i="2"/>
  <c r="L473" i="2"/>
  <c r="I473" i="2"/>
  <c r="H473" i="2"/>
  <c r="M265" i="2"/>
  <c r="O265" i="2"/>
  <c r="N265" i="2"/>
  <c r="M126" i="2"/>
  <c r="O126" i="2"/>
  <c r="N126" i="2"/>
  <c r="L547" i="2"/>
  <c r="I547" i="2"/>
  <c r="H547" i="2"/>
  <c r="L419" i="2"/>
  <c r="I419" i="2"/>
  <c r="H419" i="2"/>
  <c r="I160" i="2"/>
  <c r="L160" i="2"/>
  <c r="H160" i="2"/>
  <c r="M121" i="2"/>
  <c r="O121" i="2"/>
  <c r="N121" i="2"/>
  <c r="M15" i="2"/>
  <c r="O15" i="2"/>
  <c r="N15" i="2"/>
  <c r="M112" i="2"/>
  <c r="O112" i="2"/>
  <c r="N112" i="2"/>
  <c r="L289" i="1"/>
  <c r="I289" i="1"/>
  <c r="H289" i="1"/>
  <c r="L216" i="1"/>
  <c r="I216" i="1"/>
  <c r="H216" i="1"/>
  <c r="L410" i="1"/>
  <c r="I410" i="1"/>
  <c r="H410" i="1"/>
  <c r="L193" i="1"/>
  <c r="H193" i="1"/>
  <c r="I193" i="1"/>
  <c r="H1177" i="1"/>
  <c r="I1177" i="1"/>
  <c r="L1177" i="1"/>
  <c r="H70" i="1"/>
  <c r="L70" i="1"/>
  <c r="I70" i="1"/>
  <c r="H1422" i="1"/>
  <c r="L1422" i="1"/>
  <c r="I1422" i="1"/>
  <c r="L367" i="1"/>
  <c r="I367" i="1"/>
  <c r="H367" i="1"/>
  <c r="I326" i="1"/>
  <c r="H326" i="1"/>
  <c r="L326" i="1"/>
  <c r="L864" i="1"/>
  <c r="I864" i="1"/>
  <c r="H864" i="1"/>
  <c r="L260" i="1"/>
  <c r="I260" i="1"/>
  <c r="H260" i="1"/>
  <c r="I583" i="1"/>
  <c r="L583" i="1"/>
  <c r="H583" i="1"/>
  <c r="L1256" i="1"/>
  <c r="I1256" i="1"/>
  <c r="H1256" i="1"/>
  <c r="H582" i="1"/>
  <c r="L582" i="1"/>
  <c r="I582" i="1"/>
  <c r="I511" i="1"/>
  <c r="L511" i="1"/>
  <c r="H511" i="1"/>
  <c r="H628" i="1"/>
  <c r="L628" i="1"/>
  <c r="I628" i="1"/>
  <c r="L725" i="1"/>
  <c r="I725" i="1"/>
  <c r="H725" i="1"/>
  <c r="L681" i="1"/>
  <c r="H681" i="1"/>
  <c r="I681" i="1"/>
  <c r="L1368" i="1"/>
  <c r="I1368" i="1"/>
  <c r="H1368" i="1"/>
  <c r="L956" i="1"/>
  <c r="I956" i="1"/>
  <c r="H956" i="1"/>
  <c r="I649" i="1"/>
  <c r="L649" i="1"/>
  <c r="H649" i="1"/>
  <c r="L1146" i="1"/>
  <c r="I1146" i="1"/>
  <c r="H1146" i="1"/>
  <c r="L963" i="1"/>
  <c r="I963" i="1"/>
  <c r="H963" i="1"/>
  <c r="I625" i="1"/>
  <c r="L625" i="1"/>
  <c r="H625" i="1"/>
  <c r="L1254" i="1"/>
  <c r="I1254" i="1"/>
  <c r="H1254" i="1"/>
  <c r="H691" i="1"/>
  <c r="L691" i="1"/>
  <c r="I691" i="1"/>
  <c r="H1510" i="1"/>
  <c r="L1510" i="1"/>
  <c r="I1510" i="1"/>
  <c r="L1061" i="1"/>
  <c r="H1061" i="1"/>
  <c r="I1061" i="1"/>
  <c r="I1002" i="1"/>
  <c r="H1002" i="1"/>
  <c r="L1002" i="1"/>
  <c r="L1302" i="1"/>
  <c r="I1302" i="1"/>
  <c r="H1302" i="1"/>
  <c r="L1155" i="1"/>
  <c r="I1155" i="1"/>
  <c r="H1155" i="1"/>
  <c r="L1441" i="1"/>
  <c r="I1441" i="1"/>
  <c r="H1441" i="1"/>
  <c r="H1612" i="1"/>
  <c r="L1612" i="1"/>
  <c r="I1612" i="1"/>
  <c r="L1360" i="1"/>
  <c r="I1360" i="1"/>
  <c r="H1360" i="1"/>
  <c r="L1651" i="1"/>
  <c r="I1651" i="1"/>
  <c r="H1651" i="1"/>
  <c r="I1326" i="1"/>
  <c r="H1326" i="1"/>
  <c r="L1326" i="1"/>
  <c r="H1724" i="1"/>
  <c r="L1724" i="1"/>
  <c r="I1724" i="1"/>
  <c r="I1413" i="1"/>
  <c r="H1413" i="1"/>
  <c r="L1413" i="1"/>
  <c r="I1535" i="1"/>
  <c r="H1535" i="1"/>
  <c r="L1535" i="1"/>
  <c r="H1486" i="1"/>
  <c r="I1486" i="1"/>
  <c r="L1486" i="1"/>
  <c r="L1617" i="1"/>
  <c r="I1617" i="1"/>
  <c r="H1617" i="1"/>
  <c r="L2057" i="1"/>
  <c r="I2057" i="1"/>
  <c r="H2057" i="1"/>
  <c r="I1725" i="1"/>
  <c r="H1725" i="1"/>
  <c r="L1725" i="1"/>
  <c r="L125" i="1"/>
  <c r="I125" i="1"/>
  <c r="H125" i="1"/>
  <c r="L1987" i="1"/>
  <c r="I1987" i="1"/>
  <c r="H1987" i="1"/>
  <c r="I1772" i="1"/>
  <c r="H1772" i="1"/>
  <c r="L1772" i="1"/>
  <c r="L1812" i="1"/>
  <c r="I1812" i="1"/>
  <c r="H1812" i="1"/>
  <c r="L1852" i="1"/>
  <c r="I1852" i="1"/>
  <c r="H1852" i="1"/>
  <c r="L2024" i="1"/>
  <c r="I2024" i="1"/>
  <c r="H2024" i="1"/>
  <c r="L2072" i="1"/>
  <c r="I2072" i="1"/>
  <c r="H2072" i="1"/>
  <c r="H1969" i="1"/>
  <c r="I1969" i="1"/>
  <c r="L1969" i="1"/>
  <c r="L2071" i="1"/>
  <c r="I2071" i="1"/>
  <c r="H2071" i="1"/>
  <c r="L2170" i="1"/>
  <c r="I2170" i="1"/>
  <c r="H2170" i="1"/>
  <c r="I546" i="1"/>
  <c r="H546" i="1"/>
  <c r="L546" i="1"/>
  <c r="I2126" i="1"/>
  <c r="L2126" i="1"/>
  <c r="H2126" i="1"/>
  <c r="L2232" i="1"/>
  <c r="I2232" i="1"/>
  <c r="H2232" i="1"/>
  <c r="L2181" i="1"/>
  <c r="I2181" i="1"/>
  <c r="H2181" i="1"/>
  <c r="I2205" i="1"/>
  <c r="H2205" i="1"/>
  <c r="L2205" i="1"/>
  <c r="L86" i="2"/>
  <c r="H86" i="2"/>
  <c r="I86" i="2"/>
  <c r="L261" i="2"/>
  <c r="I261" i="2"/>
  <c r="H261" i="2"/>
  <c r="L485" i="2"/>
  <c r="I485" i="2"/>
  <c r="H485" i="2"/>
  <c r="L474" i="2"/>
  <c r="I474" i="2"/>
  <c r="H474" i="2"/>
  <c r="L335" i="2"/>
  <c r="I335" i="2"/>
  <c r="H335" i="2"/>
  <c r="L467" i="2"/>
  <c r="I467" i="2"/>
  <c r="H467" i="2"/>
  <c r="L260" i="2"/>
  <c r="I260" i="2"/>
  <c r="H260" i="2"/>
  <c r="L516" i="2"/>
  <c r="I516" i="2"/>
  <c r="H516" i="2"/>
  <c r="O141" i="2"/>
  <c r="N141" i="2"/>
  <c r="M141" i="2"/>
  <c r="L574" i="2"/>
  <c r="I574" i="2"/>
  <c r="H574" i="2"/>
  <c r="L478" i="2"/>
  <c r="I478" i="2"/>
  <c r="H478" i="2"/>
  <c r="L350" i="2"/>
  <c r="I350" i="2"/>
  <c r="H350" i="2"/>
  <c r="O153" i="2"/>
  <c r="M153" i="2"/>
  <c r="N153" i="2"/>
  <c r="M48" i="2"/>
  <c r="N48" i="2"/>
  <c r="O48" i="2"/>
  <c r="L411" i="1"/>
  <c r="I411" i="1"/>
  <c r="H411" i="1"/>
  <c r="L146" i="1"/>
  <c r="I146" i="1"/>
  <c r="H146" i="1"/>
  <c r="L250" i="1"/>
  <c r="I250" i="1"/>
  <c r="H250" i="1"/>
  <c r="L418" i="1"/>
  <c r="I418" i="1"/>
  <c r="H418" i="1"/>
  <c r="L197" i="1"/>
  <c r="H197" i="1"/>
  <c r="I197" i="1"/>
  <c r="L15" i="1"/>
  <c r="H15" i="1"/>
  <c r="I15" i="1"/>
  <c r="L47" i="1"/>
  <c r="I47" i="1"/>
  <c r="H47" i="1"/>
  <c r="L777" i="1"/>
  <c r="I777" i="1"/>
  <c r="H777" i="1"/>
  <c r="L1754" i="1"/>
  <c r="H1754" i="1"/>
  <c r="I1754" i="1"/>
  <c r="L375" i="1"/>
  <c r="I375" i="1"/>
  <c r="H375" i="1"/>
  <c r="I334" i="1"/>
  <c r="H334" i="1"/>
  <c r="L334" i="1"/>
  <c r="H309" i="1"/>
  <c r="I309" i="1"/>
  <c r="L309" i="1"/>
  <c r="L507" i="1"/>
  <c r="I507" i="1"/>
  <c r="H507" i="1"/>
  <c r="I812" i="1"/>
  <c r="H812" i="1"/>
  <c r="L812" i="1"/>
  <c r="L1280" i="1"/>
  <c r="I1280" i="1"/>
  <c r="H1280" i="1"/>
  <c r="H274" i="1"/>
  <c r="L274" i="1"/>
  <c r="I274" i="1"/>
  <c r="L524" i="1"/>
  <c r="I524" i="1"/>
  <c r="H524" i="1"/>
  <c r="H924" i="1"/>
  <c r="I924" i="1"/>
  <c r="L924" i="1"/>
  <c r="L568" i="1"/>
  <c r="I568" i="1"/>
  <c r="H568" i="1"/>
  <c r="H533" i="1"/>
  <c r="L533" i="1"/>
  <c r="I533" i="1"/>
  <c r="L2079" i="1"/>
  <c r="I2079" i="1"/>
  <c r="H2079" i="1"/>
  <c r="H594" i="1"/>
  <c r="L594" i="1"/>
  <c r="I594" i="1"/>
  <c r="L889" i="1"/>
  <c r="I889" i="1"/>
  <c r="H889" i="1"/>
  <c r="L1217" i="1"/>
  <c r="I1217" i="1"/>
  <c r="H1217" i="1"/>
  <c r="I1160" i="1"/>
  <c r="H1160" i="1"/>
  <c r="L1160" i="1"/>
  <c r="L1309" i="1"/>
  <c r="I1309" i="1"/>
  <c r="H1309" i="1"/>
  <c r="L1058" i="1"/>
  <c r="I1058" i="1"/>
  <c r="H1058" i="1"/>
  <c r="L1118" i="1"/>
  <c r="H1118" i="1"/>
  <c r="I1118" i="1"/>
  <c r="I992" i="1"/>
  <c r="H992" i="1"/>
  <c r="L992" i="1"/>
  <c r="I727" i="1"/>
  <c r="H727" i="1"/>
  <c r="L727" i="1"/>
  <c r="H887" i="1"/>
  <c r="L887" i="1"/>
  <c r="I887" i="1"/>
  <c r="L2142" i="1"/>
  <c r="I2142" i="1"/>
  <c r="H2142" i="1"/>
  <c r="L1290" i="1"/>
  <c r="I1290" i="1"/>
  <c r="H1290" i="1"/>
  <c r="L1040" i="1"/>
  <c r="I1040" i="1"/>
  <c r="H1040" i="1"/>
  <c r="L1257" i="1"/>
  <c r="I1257" i="1"/>
  <c r="H1257" i="1"/>
  <c r="L1447" i="1"/>
  <c r="I1447" i="1"/>
  <c r="H1447" i="1"/>
  <c r="I1616" i="1"/>
  <c r="H1616" i="1"/>
  <c r="L1616" i="1"/>
  <c r="I2211" i="1"/>
  <c r="H2211" i="1"/>
  <c r="L2211" i="1"/>
  <c r="I1199" i="1"/>
  <c r="H1199" i="1"/>
  <c r="L1199" i="1"/>
  <c r="H1267" i="1"/>
  <c r="I1267" i="1"/>
  <c r="L1267" i="1"/>
  <c r="I1426" i="1"/>
  <c r="H1426" i="1"/>
  <c r="L1426" i="1"/>
  <c r="I1655" i="1"/>
  <c r="H1655" i="1"/>
  <c r="L1655" i="1"/>
  <c r="H340" i="1"/>
  <c r="L340" i="1"/>
  <c r="I340" i="1"/>
  <c r="L1466" i="1"/>
  <c r="I1466" i="1"/>
  <c r="H1466" i="1"/>
  <c r="I1624" i="1"/>
  <c r="H1624" i="1"/>
  <c r="L1624" i="1"/>
  <c r="I1495" i="1"/>
  <c r="L1495" i="1"/>
  <c r="H1495" i="1"/>
  <c r="L1561" i="1"/>
  <c r="I1561" i="1"/>
  <c r="H1561" i="1"/>
  <c r="H1090" i="1"/>
  <c r="I1090" i="1"/>
  <c r="L1090" i="1"/>
  <c r="L1634" i="1"/>
  <c r="I1634" i="1"/>
  <c r="H1634" i="1"/>
  <c r="L1906" i="1"/>
  <c r="I1906" i="1"/>
  <c r="H1906" i="1"/>
  <c r="L2004" i="1"/>
  <c r="I2004" i="1"/>
  <c r="H2004" i="1"/>
  <c r="L2020" i="1"/>
  <c r="I2020" i="1"/>
  <c r="H2020" i="1"/>
  <c r="L1733" i="1"/>
  <c r="I1733" i="1"/>
  <c r="H1733" i="1"/>
  <c r="L1773" i="1"/>
  <c r="I1773" i="1"/>
  <c r="H1773" i="1"/>
  <c r="H1797" i="1"/>
  <c r="L1797" i="1"/>
  <c r="I1797" i="1"/>
  <c r="H1837" i="1"/>
  <c r="L1837" i="1"/>
  <c r="I1837" i="1"/>
  <c r="L1919" i="1"/>
  <c r="I1919" i="1"/>
  <c r="H1919" i="1"/>
  <c r="L2042" i="1"/>
  <c r="I2042" i="1"/>
  <c r="H2042" i="1"/>
  <c r="L2242" i="1"/>
  <c r="I2242" i="1"/>
  <c r="H2242" i="1"/>
  <c r="L2025" i="1"/>
  <c r="I2025" i="1"/>
  <c r="H2025" i="1"/>
  <c r="I2153" i="1"/>
  <c r="L2153" i="1"/>
  <c r="H2153" i="1"/>
  <c r="I2136" i="1"/>
  <c r="L2136" i="1"/>
  <c r="H2136" i="1"/>
  <c r="I2104" i="1"/>
  <c r="H2104" i="1"/>
  <c r="L2104" i="1"/>
  <c r="I2120" i="1"/>
  <c r="L2120" i="1"/>
  <c r="H2120" i="1"/>
  <c r="L2230" i="1"/>
  <c r="I2230" i="1"/>
  <c r="H2230" i="1"/>
  <c r="L2284" i="1"/>
  <c r="H2284" i="1"/>
  <c r="I2284" i="1"/>
  <c r="L2282" i="1"/>
  <c r="H2282" i="1"/>
  <c r="I2282" i="1"/>
  <c r="L2198" i="1"/>
  <c r="I2198" i="1"/>
  <c r="H2198" i="1"/>
  <c r="L2231" i="1"/>
  <c r="H2231" i="1"/>
  <c r="I2231" i="1"/>
  <c r="L449" i="1"/>
  <c r="I449" i="1"/>
  <c r="H449" i="1"/>
  <c r="L497" i="2"/>
  <c r="I497" i="2"/>
  <c r="H497" i="2"/>
  <c r="L365" i="2"/>
  <c r="I365" i="2"/>
  <c r="H365" i="2"/>
  <c r="L103" i="2"/>
  <c r="I103" i="2"/>
  <c r="H103" i="2"/>
  <c r="L557" i="2"/>
  <c r="I557" i="2"/>
  <c r="H557" i="2"/>
  <c r="L386" i="2"/>
  <c r="I386" i="2"/>
  <c r="H386" i="2"/>
  <c r="I148" i="2"/>
  <c r="H148" i="2"/>
  <c r="L148" i="2"/>
  <c r="L279" i="2"/>
  <c r="I279" i="2"/>
  <c r="H279" i="2"/>
  <c r="L471" i="2"/>
  <c r="I471" i="2"/>
  <c r="H471" i="2"/>
  <c r="L442" i="2"/>
  <c r="I442" i="2"/>
  <c r="H442" i="2"/>
  <c r="L204" i="2"/>
  <c r="I204" i="2"/>
  <c r="H204" i="2"/>
  <c r="L396" i="2"/>
  <c r="I396" i="2"/>
  <c r="H396" i="2"/>
  <c r="L524" i="2"/>
  <c r="I524" i="2"/>
  <c r="H524" i="2"/>
  <c r="M57" i="2"/>
  <c r="N57" i="2"/>
  <c r="O57" i="2"/>
  <c r="O240" i="2"/>
  <c r="N240" i="2"/>
  <c r="M240" i="2"/>
  <c r="M275" i="1"/>
  <c r="O275" i="1"/>
  <c r="N275" i="1"/>
  <c r="O200" i="2"/>
  <c r="M200" i="2"/>
  <c r="N200" i="2"/>
  <c r="M58" i="2"/>
  <c r="O58" i="2"/>
  <c r="N58" i="2"/>
  <c r="L457" i="2"/>
  <c r="I457" i="2"/>
  <c r="H457" i="2"/>
  <c r="L329" i="2"/>
  <c r="I329" i="2"/>
  <c r="H329" i="2"/>
  <c r="M165" i="2"/>
  <c r="N165" i="2"/>
  <c r="O165" i="2"/>
  <c r="O448" i="2"/>
  <c r="N448" i="2"/>
  <c r="M448" i="2"/>
  <c r="M79" i="2"/>
  <c r="O79" i="2"/>
  <c r="N79" i="2"/>
  <c r="L539" i="2"/>
  <c r="I539" i="2"/>
  <c r="H539" i="2"/>
  <c r="L507" i="2"/>
  <c r="I507" i="2"/>
  <c r="H507" i="2"/>
  <c r="L411" i="2"/>
  <c r="I411" i="2"/>
  <c r="H411" i="2"/>
  <c r="L251" i="2"/>
  <c r="I251" i="2"/>
  <c r="H251" i="2"/>
  <c r="M10" i="2"/>
  <c r="O10" i="2"/>
  <c r="N10" i="2"/>
  <c r="M500" i="2"/>
  <c r="L401" i="1"/>
  <c r="I401" i="1"/>
  <c r="H401" i="1"/>
  <c r="L273" i="1"/>
  <c r="I273" i="1"/>
  <c r="H273" i="1"/>
  <c r="L1669" i="1"/>
  <c r="I1669" i="1"/>
  <c r="H1669" i="1"/>
  <c r="L252" i="1"/>
  <c r="I252" i="1"/>
  <c r="H252" i="1"/>
  <c r="I673" i="1"/>
  <c r="H673" i="1"/>
  <c r="L673" i="1"/>
  <c r="H168" i="1"/>
  <c r="I168" i="1"/>
  <c r="L168" i="1"/>
  <c r="L376" i="1"/>
  <c r="I376" i="1"/>
  <c r="H376" i="1"/>
  <c r="L24" i="1"/>
  <c r="I24" i="1"/>
  <c r="H24" i="1"/>
  <c r="L48" i="1"/>
  <c r="I48" i="1"/>
  <c r="H48" i="1"/>
  <c r="L72" i="1"/>
  <c r="I72" i="1"/>
  <c r="H72" i="1"/>
  <c r="L96" i="1"/>
  <c r="I96" i="1"/>
  <c r="H96" i="1"/>
  <c r="L127" i="1"/>
  <c r="I127" i="1"/>
  <c r="H127" i="1"/>
  <c r="L2154" i="1"/>
  <c r="I2154" i="1"/>
  <c r="H2154" i="1"/>
  <c r="L460" i="1"/>
  <c r="I460" i="1"/>
  <c r="H460" i="1"/>
  <c r="I278" i="1"/>
  <c r="H278" i="1"/>
  <c r="L278" i="1"/>
  <c r="I463" i="1"/>
  <c r="H463" i="1"/>
  <c r="L463" i="1"/>
  <c r="H317" i="1"/>
  <c r="L317" i="1"/>
  <c r="I317" i="1"/>
  <c r="H459" i="1"/>
  <c r="L459" i="1"/>
  <c r="I459" i="1"/>
  <c r="L276" i="1"/>
  <c r="I276" i="1"/>
  <c r="H276" i="1"/>
  <c r="L404" i="1"/>
  <c r="I404" i="1"/>
  <c r="H404" i="1"/>
  <c r="I664" i="1"/>
  <c r="H664" i="1"/>
  <c r="L664" i="1"/>
  <c r="H964" i="1"/>
  <c r="L964" i="1"/>
  <c r="I964" i="1"/>
  <c r="L512" i="1"/>
  <c r="I512" i="1"/>
  <c r="H512" i="1"/>
  <c r="L1210" i="1"/>
  <c r="I1210" i="1"/>
  <c r="H1210" i="1"/>
  <c r="L705" i="1"/>
  <c r="I705" i="1"/>
  <c r="H705" i="1"/>
  <c r="L1534" i="1"/>
  <c r="I1534" i="1"/>
  <c r="H1534" i="1"/>
  <c r="H470" i="1"/>
  <c r="L470" i="1"/>
  <c r="I470" i="1"/>
  <c r="L1400" i="1"/>
  <c r="I1400" i="1"/>
  <c r="H1400" i="1"/>
  <c r="L1183" i="1"/>
  <c r="I1183" i="1"/>
  <c r="H1183" i="1"/>
  <c r="L248" i="1"/>
  <c r="H248" i="1"/>
  <c r="I248" i="1"/>
  <c r="L1134" i="1"/>
  <c r="H1134" i="1"/>
  <c r="I1134" i="1"/>
  <c r="L908" i="1"/>
  <c r="I908" i="1"/>
  <c r="H908" i="1"/>
  <c r="I1487" i="1"/>
  <c r="L1487" i="1"/>
  <c r="H1487" i="1"/>
  <c r="I810" i="1"/>
  <c r="L810" i="1"/>
  <c r="H810" i="1"/>
  <c r="L528" i="1"/>
  <c r="I528" i="1"/>
  <c r="H528" i="1"/>
  <c r="L1520" i="1"/>
  <c r="I1520" i="1"/>
  <c r="H1520" i="1"/>
  <c r="I1899" i="1"/>
  <c r="H1899" i="1"/>
  <c r="L1899" i="1"/>
  <c r="I936" i="1"/>
  <c r="H936" i="1"/>
  <c r="L936" i="1"/>
  <c r="H763" i="1"/>
  <c r="L763" i="1"/>
  <c r="I763" i="1"/>
  <c r="H949" i="1"/>
  <c r="L949" i="1"/>
  <c r="I949" i="1"/>
  <c r="L1347" i="1"/>
  <c r="I1347" i="1"/>
  <c r="H1347" i="1"/>
  <c r="L1224" i="1"/>
  <c r="I1224" i="1"/>
  <c r="H1224" i="1"/>
  <c r="L1464" i="1"/>
  <c r="I1464" i="1"/>
  <c r="H1464" i="1"/>
  <c r="L803" i="1"/>
  <c r="I803" i="1"/>
  <c r="H803" i="1"/>
  <c r="L1450" i="1"/>
  <c r="I1450" i="1"/>
  <c r="H1450" i="1"/>
  <c r="L1099" i="1"/>
  <c r="I1099" i="1"/>
  <c r="H1099" i="1"/>
  <c r="L1233" i="1"/>
  <c r="I1233" i="1"/>
  <c r="H1233" i="1"/>
  <c r="L1523" i="1"/>
  <c r="I1523" i="1"/>
  <c r="H1523" i="1"/>
  <c r="H1303" i="1"/>
  <c r="L1303" i="1"/>
  <c r="I1303" i="1"/>
  <c r="I1639" i="1"/>
  <c r="L1639" i="1"/>
  <c r="H1639" i="1"/>
  <c r="L1325" i="1"/>
  <c r="I1325" i="1"/>
  <c r="H1325" i="1"/>
  <c r="L1502" i="1"/>
  <c r="H1502" i="1"/>
  <c r="I1502" i="1"/>
  <c r="I1544" i="1"/>
  <c r="H1544" i="1"/>
  <c r="L1544" i="1"/>
  <c r="I1503" i="1"/>
  <c r="L1503" i="1"/>
  <c r="H1503" i="1"/>
  <c r="L1550" i="1"/>
  <c r="I1550" i="1"/>
  <c r="H1550" i="1"/>
  <c r="H1685" i="1"/>
  <c r="L1685" i="1"/>
  <c r="I1685" i="1"/>
  <c r="L1706" i="1"/>
  <c r="I1706" i="1"/>
  <c r="H1706" i="1"/>
  <c r="L1967" i="1"/>
  <c r="I1967" i="1"/>
  <c r="H1967" i="1"/>
  <c r="L1903" i="1"/>
  <c r="I1903" i="1"/>
  <c r="H1903" i="1"/>
  <c r="L1734" i="1"/>
  <c r="I1734" i="1"/>
  <c r="H1734" i="1"/>
  <c r="L1766" i="1"/>
  <c r="I1766" i="1"/>
  <c r="H1766" i="1"/>
  <c r="I1798" i="1"/>
  <c r="L1798" i="1"/>
  <c r="H1798" i="1"/>
  <c r="L1830" i="1"/>
  <c r="I1830" i="1"/>
  <c r="H1830" i="1"/>
  <c r="L1862" i="1"/>
  <c r="I1862" i="1"/>
  <c r="H1862" i="1"/>
  <c r="L2028" i="1"/>
  <c r="I2028" i="1"/>
  <c r="H2028" i="1"/>
  <c r="L2296" i="1"/>
  <c r="I2296" i="1"/>
  <c r="H2296" i="1"/>
  <c r="L2027" i="1"/>
  <c r="I2027" i="1"/>
  <c r="H2027" i="1"/>
  <c r="H2175" i="1"/>
  <c r="L2175" i="1"/>
  <c r="I2175" i="1"/>
  <c r="I1565" i="1"/>
  <c r="H1565" i="1"/>
  <c r="L1565" i="1"/>
  <c r="I1348" i="1"/>
  <c r="H1348" i="1"/>
  <c r="L1348" i="1"/>
  <c r="L2226" i="1"/>
  <c r="I2226" i="1"/>
  <c r="H2226" i="1"/>
  <c r="L2292" i="1"/>
  <c r="H2292" i="1"/>
  <c r="I2292" i="1"/>
  <c r="L2290" i="1"/>
  <c r="H2290" i="1"/>
  <c r="I2290" i="1"/>
  <c r="H2199" i="1"/>
  <c r="L2199" i="1"/>
  <c r="I2199" i="1"/>
  <c r="L2285" i="1"/>
  <c r="H2285" i="1"/>
  <c r="I2285" i="1"/>
  <c r="L131" i="1"/>
  <c r="I131" i="1"/>
  <c r="H131" i="1"/>
  <c r="O122" i="1"/>
  <c r="N122" i="1"/>
  <c r="M122" i="1"/>
  <c r="M259" i="1"/>
  <c r="O259" i="1"/>
  <c r="N259" i="1"/>
  <c r="L46" i="2"/>
  <c r="H46" i="2"/>
  <c r="I46" i="2"/>
  <c r="L245" i="2"/>
  <c r="I245" i="2"/>
  <c r="H245" i="2"/>
  <c r="L182" i="2"/>
  <c r="I182" i="2"/>
  <c r="H182" i="2"/>
  <c r="L501" i="2"/>
  <c r="I501" i="2"/>
  <c r="H501" i="2"/>
  <c r="L394" i="2"/>
  <c r="I394" i="2"/>
  <c r="H394" i="2"/>
  <c r="I156" i="2"/>
  <c r="H156" i="2"/>
  <c r="L156" i="2"/>
  <c r="L351" i="2"/>
  <c r="I351" i="2"/>
  <c r="H351" i="2"/>
  <c r="L479" i="2"/>
  <c r="I479" i="2"/>
  <c r="H479" i="2"/>
  <c r="L266" i="2"/>
  <c r="I266" i="2"/>
  <c r="H266" i="2"/>
  <c r="L482" i="2"/>
  <c r="I482" i="2"/>
  <c r="H482" i="2"/>
  <c r="L276" i="2"/>
  <c r="I276" i="2"/>
  <c r="H276" i="2"/>
  <c r="L340" i="2"/>
  <c r="I340" i="2"/>
  <c r="H340" i="2"/>
  <c r="L468" i="2"/>
  <c r="I468" i="2"/>
  <c r="H468" i="2"/>
  <c r="L532" i="2"/>
  <c r="I532" i="2"/>
  <c r="H532" i="2"/>
  <c r="O456" i="2"/>
  <c r="N456" i="2"/>
  <c r="M456" i="2"/>
  <c r="M569" i="2"/>
  <c r="N569" i="2"/>
  <c r="O569" i="2"/>
  <c r="L268" i="1"/>
  <c r="H268" i="1"/>
  <c r="I268" i="1"/>
  <c r="L1260" i="1"/>
  <c r="I1260" i="1"/>
  <c r="H1260" i="1"/>
  <c r="I2189" i="1"/>
  <c r="H2189" i="1"/>
  <c r="L2189" i="1"/>
  <c r="L352" i="1"/>
  <c r="I352" i="1"/>
  <c r="H352" i="1"/>
  <c r="L45" i="1"/>
  <c r="H45" i="1"/>
  <c r="I45" i="1"/>
  <c r="H751" i="1"/>
  <c r="L751" i="1"/>
  <c r="I751" i="1"/>
  <c r="L1109" i="1"/>
  <c r="I1109" i="1"/>
  <c r="H1109" i="1"/>
  <c r="L359" i="1"/>
  <c r="I359" i="1"/>
  <c r="H359" i="1"/>
  <c r="L1145" i="1"/>
  <c r="I1145" i="1"/>
  <c r="H1145" i="1"/>
  <c r="L821" i="1"/>
  <c r="I821" i="1"/>
  <c r="H821" i="1"/>
  <c r="L496" i="1"/>
  <c r="I496" i="1"/>
  <c r="H496" i="1"/>
  <c r="L773" i="1"/>
  <c r="H773" i="1"/>
  <c r="I773" i="1"/>
  <c r="L1220" i="1"/>
  <c r="I1220" i="1"/>
  <c r="H1220" i="1"/>
  <c r="L471" i="1"/>
  <c r="I471" i="1"/>
  <c r="H471" i="1"/>
  <c r="L1252" i="1"/>
  <c r="I1252" i="1"/>
  <c r="H1252" i="1"/>
  <c r="H626" i="1"/>
  <c r="L626" i="1"/>
  <c r="I626" i="1"/>
  <c r="L536" i="1"/>
  <c r="I536" i="1"/>
  <c r="H536" i="1"/>
  <c r="L633" i="1"/>
  <c r="I633" i="1"/>
  <c r="H633" i="1"/>
  <c r="L1331" i="1"/>
  <c r="I1331" i="1"/>
  <c r="H1331" i="1"/>
  <c r="L868" i="1"/>
  <c r="I868" i="1"/>
  <c r="H868" i="1"/>
  <c r="L601" i="1"/>
  <c r="H601" i="1"/>
  <c r="I601" i="1"/>
  <c r="L1129" i="1"/>
  <c r="H1129" i="1"/>
  <c r="I1129" i="1"/>
  <c r="L1025" i="1"/>
  <c r="H1025" i="1"/>
  <c r="I1025" i="1"/>
  <c r="L817" i="1"/>
  <c r="I817" i="1"/>
  <c r="H817" i="1"/>
  <c r="I912" i="1"/>
  <c r="H912" i="1"/>
  <c r="L912" i="1"/>
  <c r="I157" i="1"/>
  <c r="L157" i="1"/>
  <c r="H157" i="1"/>
  <c r="H2113" i="1"/>
  <c r="I2113" i="1"/>
  <c r="L2113" i="1"/>
  <c r="L930" i="1"/>
  <c r="I930" i="1"/>
  <c r="H930" i="1"/>
  <c r="L1202" i="1"/>
  <c r="I1202" i="1"/>
  <c r="H1202" i="1"/>
  <c r="L1147" i="1"/>
  <c r="I1147" i="1"/>
  <c r="H1147" i="1"/>
  <c r="L1039" i="1"/>
  <c r="H1039" i="1"/>
  <c r="I1039" i="1"/>
  <c r="L426" i="1"/>
  <c r="H426" i="1"/>
  <c r="I426" i="1"/>
  <c r="H1708" i="1"/>
  <c r="L1708" i="1"/>
  <c r="I1708" i="1"/>
  <c r="H1291" i="1"/>
  <c r="I1291" i="1"/>
  <c r="L1291" i="1"/>
  <c r="H1564" i="1"/>
  <c r="L1564" i="1"/>
  <c r="I1564" i="1"/>
  <c r="L1345" i="1"/>
  <c r="I1345" i="1"/>
  <c r="H1345" i="1"/>
  <c r="L1571" i="1"/>
  <c r="I1571" i="1"/>
  <c r="H1571" i="1"/>
  <c r="L1574" i="1"/>
  <c r="H1574" i="1"/>
  <c r="I1574" i="1"/>
  <c r="L1470" i="1"/>
  <c r="I1470" i="1"/>
  <c r="H1470" i="1"/>
  <c r="L1545" i="1"/>
  <c r="I1545" i="1"/>
  <c r="H1545" i="1"/>
  <c r="H1597" i="1"/>
  <c r="I1597" i="1"/>
  <c r="L1597" i="1"/>
  <c r="L1682" i="1"/>
  <c r="I1682" i="1"/>
  <c r="H1682" i="1"/>
  <c r="L79" i="1"/>
  <c r="I79" i="1"/>
  <c r="H79" i="1"/>
  <c r="L1897" i="1"/>
  <c r="I1897" i="1"/>
  <c r="H1897" i="1"/>
  <c r="L2017" i="1"/>
  <c r="I2017" i="1"/>
  <c r="H2017" i="1"/>
  <c r="L1747" i="1"/>
  <c r="H1747" i="1"/>
  <c r="I1747" i="1"/>
  <c r="L1779" i="1"/>
  <c r="I1779" i="1"/>
  <c r="H1779" i="1"/>
  <c r="H1811" i="1"/>
  <c r="L1811" i="1"/>
  <c r="I1811" i="1"/>
  <c r="H1835" i="1"/>
  <c r="L1835" i="1"/>
  <c r="I1835" i="1"/>
  <c r="L1917" i="1"/>
  <c r="I1917" i="1"/>
  <c r="H1917" i="1"/>
  <c r="L2054" i="1"/>
  <c r="I2054" i="1"/>
  <c r="H2054" i="1"/>
  <c r="L2021" i="1"/>
  <c r="I2021" i="1"/>
  <c r="H2021" i="1"/>
  <c r="L2037" i="1"/>
  <c r="I2037" i="1"/>
  <c r="H2037" i="1"/>
  <c r="I2078" i="1"/>
  <c r="L2078" i="1"/>
  <c r="H2078" i="1"/>
  <c r="I2162" i="1"/>
  <c r="L2162" i="1"/>
  <c r="H2162" i="1"/>
  <c r="I1582" i="1"/>
  <c r="H1582" i="1"/>
  <c r="L1582" i="1"/>
  <c r="L1588" i="1"/>
  <c r="I1588" i="1"/>
  <c r="H1588" i="1"/>
  <c r="L499" i="1"/>
  <c r="I499" i="1"/>
  <c r="H499" i="1"/>
  <c r="I2180" i="1"/>
  <c r="L2180" i="1"/>
  <c r="H2180" i="1"/>
  <c r="L2212" i="1"/>
  <c r="I2212" i="1"/>
  <c r="H2212" i="1"/>
  <c r="L221" i="2"/>
  <c r="I221" i="2"/>
  <c r="H221" i="2"/>
  <c r="L385" i="2"/>
  <c r="I385" i="2"/>
  <c r="H385" i="2"/>
  <c r="I132" i="2"/>
  <c r="H132" i="2"/>
  <c r="L132" i="2"/>
  <c r="L226" i="2"/>
  <c r="I226" i="2"/>
  <c r="H226" i="2"/>
  <c r="L537" i="2"/>
  <c r="I537" i="2"/>
  <c r="H537" i="2"/>
  <c r="L345" i="2"/>
  <c r="I345" i="2"/>
  <c r="H345" i="2"/>
  <c r="O170" i="2"/>
  <c r="L483" i="2"/>
  <c r="I483" i="2"/>
  <c r="H483" i="2"/>
  <c r="L541" i="2"/>
  <c r="I541" i="2"/>
  <c r="H541" i="2"/>
  <c r="L291" i="2"/>
  <c r="I291" i="2"/>
  <c r="H291" i="2"/>
  <c r="L115" i="2"/>
  <c r="H115" i="2"/>
  <c r="I115" i="2"/>
  <c r="L239" i="2"/>
  <c r="H239" i="2"/>
  <c r="I239" i="2"/>
  <c r="M21" i="2"/>
  <c r="O21" i="2"/>
  <c r="N21" i="2"/>
  <c r="O528" i="2"/>
  <c r="N528" i="2"/>
  <c r="M528" i="2"/>
  <c r="M37" i="2"/>
  <c r="O37" i="2"/>
  <c r="N37" i="2"/>
  <c r="L353" i="1"/>
  <c r="I353" i="1"/>
  <c r="H353" i="1"/>
  <c r="L232" i="1"/>
  <c r="I232" i="1"/>
  <c r="H232" i="1"/>
  <c r="L491" i="1"/>
  <c r="I491" i="1"/>
  <c r="H491" i="1"/>
  <c r="L296" i="1"/>
  <c r="I296" i="1"/>
  <c r="H296" i="1"/>
  <c r="H38" i="1"/>
  <c r="I38" i="1"/>
  <c r="L38" i="1"/>
  <c r="H78" i="1"/>
  <c r="L78" i="1"/>
  <c r="I78" i="1"/>
  <c r="H118" i="1"/>
  <c r="L118" i="1"/>
  <c r="I118" i="1"/>
  <c r="H598" i="1"/>
  <c r="L598" i="1"/>
  <c r="I598" i="1"/>
  <c r="H301" i="1"/>
  <c r="L301" i="1"/>
  <c r="I301" i="1"/>
  <c r="L324" i="1"/>
  <c r="I324" i="1"/>
  <c r="H324" i="1"/>
  <c r="L860" i="1"/>
  <c r="I860" i="1"/>
  <c r="H860" i="1"/>
  <c r="L479" i="1"/>
  <c r="I479" i="1"/>
  <c r="H479" i="1"/>
  <c r="L934" i="1"/>
  <c r="I934" i="1"/>
  <c r="H934" i="1"/>
  <c r="L870" i="1"/>
  <c r="I870" i="1"/>
  <c r="H870" i="1"/>
  <c r="L1097" i="1"/>
  <c r="H1097" i="1"/>
  <c r="I1097" i="1"/>
  <c r="L874" i="1"/>
  <c r="I874" i="1"/>
  <c r="H874" i="1"/>
  <c r="L1609" i="1"/>
  <c r="H1609" i="1"/>
  <c r="I1609" i="1"/>
  <c r="L1305" i="1"/>
  <c r="I1305" i="1"/>
  <c r="H1305" i="1"/>
  <c r="H1286" i="1"/>
  <c r="L1286" i="1"/>
  <c r="I1286" i="1"/>
  <c r="L1106" i="1"/>
  <c r="H1106" i="1"/>
  <c r="I1106" i="1"/>
  <c r="H723" i="1"/>
  <c r="I723" i="1"/>
  <c r="L723" i="1"/>
  <c r="H883" i="1"/>
  <c r="L883" i="1"/>
  <c r="I883" i="1"/>
  <c r="L1316" i="1"/>
  <c r="I1316" i="1"/>
  <c r="H1316" i="1"/>
  <c r="L1150" i="1"/>
  <c r="I1150" i="1"/>
  <c r="H1150" i="1"/>
  <c r="I1242" i="1"/>
  <c r="H1242" i="1"/>
  <c r="L1242" i="1"/>
  <c r="L1176" i="1"/>
  <c r="I1176" i="1"/>
  <c r="H1176" i="1"/>
  <c r="H1196" i="1"/>
  <c r="L1196" i="1"/>
  <c r="I1196" i="1"/>
  <c r="L1462" i="1"/>
  <c r="I1462" i="1"/>
  <c r="H1462" i="1"/>
  <c r="I1377" i="1"/>
  <c r="H1377" i="1"/>
  <c r="L1377" i="1"/>
  <c r="L1318" i="1"/>
  <c r="I1318" i="1"/>
  <c r="H1318" i="1"/>
  <c r="H1596" i="1"/>
  <c r="L1596" i="1"/>
  <c r="I1596" i="1"/>
  <c r="I1576" i="1"/>
  <c r="H1576" i="1"/>
  <c r="L1576" i="1"/>
  <c r="H1549" i="1"/>
  <c r="L1549" i="1"/>
  <c r="I1549" i="1"/>
  <c r="H1605" i="1"/>
  <c r="L1605" i="1"/>
  <c r="I1605" i="1"/>
  <c r="L1690" i="1"/>
  <c r="I1690" i="1"/>
  <c r="H1690" i="1"/>
  <c r="L1888" i="1"/>
  <c r="I1888" i="1"/>
  <c r="H1888" i="1"/>
  <c r="L726" i="1"/>
  <c r="I726" i="1"/>
  <c r="H726" i="1"/>
  <c r="I1169" i="1"/>
  <c r="L1169" i="1"/>
  <c r="H1169" i="1"/>
  <c r="I1796" i="1"/>
  <c r="H1796" i="1"/>
  <c r="L1796" i="1"/>
  <c r="L1828" i="1"/>
  <c r="I1828" i="1"/>
  <c r="H1828" i="1"/>
  <c r="L1918" i="1"/>
  <c r="I1918" i="1"/>
  <c r="H1918" i="1"/>
  <c r="L2056" i="1"/>
  <c r="I2056" i="1"/>
  <c r="H2056" i="1"/>
  <c r="L923" i="1"/>
  <c r="I923" i="1"/>
  <c r="H923" i="1"/>
  <c r="I2125" i="1"/>
  <c r="L2125" i="1"/>
  <c r="H2125" i="1"/>
  <c r="L2167" i="1"/>
  <c r="I2167" i="1"/>
  <c r="H2167" i="1"/>
  <c r="I2119" i="1"/>
  <c r="H2119" i="1"/>
  <c r="L2119" i="1"/>
  <c r="L2260" i="1"/>
  <c r="I2260" i="1"/>
  <c r="H2260" i="1"/>
  <c r="L2255" i="1"/>
  <c r="I2255" i="1"/>
  <c r="H2255" i="1"/>
  <c r="L629" i="1"/>
  <c r="I629" i="1"/>
  <c r="H629" i="1"/>
  <c r="L117" i="2"/>
  <c r="H117" i="2"/>
  <c r="I117" i="2"/>
  <c r="I158" i="2"/>
  <c r="L158" i="2"/>
  <c r="H158" i="2"/>
  <c r="L96" i="2"/>
  <c r="I96" i="2"/>
  <c r="H96" i="2"/>
  <c r="L549" i="2"/>
  <c r="I549" i="2"/>
  <c r="H549" i="2"/>
  <c r="I140" i="2"/>
  <c r="H140" i="2"/>
  <c r="L140" i="2"/>
  <c r="L399" i="2"/>
  <c r="I399" i="2"/>
  <c r="H399" i="2"/>
  <c r="I131" i="2"/>
  <c r="H131" i="2"/>
  <c r="L131" i="2"/>
  <c r="L324" i="2"/>
  <c r="I324" i="2"/>
  <c r="H324" i="2"/>
  <c r="N203" i="2"/>
  <c r="M203" i="2"/>
  <c r="O203" i="2"/>
  <c r="L529" i="2"/>
  <c r="I529" i="2"/>
  <c r="H529" i="2"/>
  <c r="L337" i="2"/>
  <c r="I337" i="2"/>
  <c r="H337" i="2"/>
  <c r="M233" i="2"/>
  <c r="N233" i="2"/>
  <c r="O233" i="2"/>
  <c r="M81" i="2"/>
  <c r="N81" i="2"/>
  <c r="O81" i="2"/>
  <c r="O328" i="2"/>
  <c r="N328" i="2"/>
  <c r="M328" i="2"/>
  <c r="L446" i="2"/>
  <c r="I446" i="2"/>
  <c r="H446" i="2"/>
  <c r="L318" i="2"/>
  <c r="I318" i="2"/>
  <c r="H318" i="2"/>
  <c r="O544" i="2"/>
  <c r="N544" i="2"/>
  <c r="M544" i="2"/>
  <c r="M124" i="2"/>
  <c r="O124" i="2"/>
  <c r="N124" i="2"/>
  <c r="M91" i="2"/>
  <c r="O91" i="2"/>
  <c r="N91" i="2"/>
  <c r="M80" i="2"/>
  <c r="O80" i="2"/>
  <c r="N80" i="2"/>
  <c r="L999" i="1"/>
  <c r="I999" i="1"/>
  <c r="H999" i="1"/>
  <c r="L82" i="1"/>
  <c r="I82" i="1"/>
  <c r="H82" i="1"/>
  <c r="L218" i="1"/>
  <c r="I218" i="1"/>
  <c r="H218" i="1"/>
  <c r="L139" i="1"/>
  <c r="I139" i="1"/>
  <c r="H139" i="1"/>
  <c r="H6" i="1"/>
  <c r="L6" i="1"/>
  <c r="I6" i="1"/>
  <c r="L368" i="1"/>
  <c r="I368" i="1"/>
  <c r="H368" i="1"/>
  <c r="L31" i="1"/>
  <c r="I31" i="1"/>
  <c r="H31" i="1"/>
  <c r="L63" i="1"/>
  <c r="H63" i="1"/>
  <c r="I63" i="1"/>
  <c r="L103" i="1"/>
  <c r="H103" i="1"/>
  <c r="I103" i="1"/>
  <c r="I455" i="1"/>
  <c r="L455" i="1"/>
  <c r="H455" i="1"/>
  <c r="L457" i="1"/>
  <c r="I457" i="1"/>
  <c r="H457" i="1"/>
  <c r="I398" i="1"/>
  <c r="H398" i="1"/>
  <c r="L398" i="1"/>
  <c r="L1140" i="1"/>
  <c r="I1140" i="1"/>
  <c r="H1140" i="1"/>
  <c r="H510" i="1"/>
  <c r="I510" i="1"/>
  <c r="L510" i="1"/>
  <c r="I447" i="1"/>
  <c r="H447" i="1"/>
  <c r="L447" i="1"/>
  <c r="L955" i="1"/>
  <c r="I955" i="1"/>
  <c r="H955" i="1"/>
  <c r="L710" i="1"/>
  <c r="I710" i="1"/>
  <c r="H710" i="1"/>
  <c r="L674" i="1"/>
  <c r="I674" i="1"/>
  <c r="H674" i="1"/>
  <c r="L1033" i="1"/>
  <c r="I1033" i="1"/>
  <c r="H1033" i="1"/>
  <c r="H462" i="1"/>
  <c r="L462" i="1"/>
  <c r="I462" i="1"/>
  <c r="L950" i="1"/>
  <c r="I950" i="1"/>
  <c r="H950" i="1"/>
  <c r="L742" i="1"/>
  <c r="I742" i="1"/>
  <c r="H742" i="1"/>
  <c r="L647" i="1"/>
  <c r="H647" i="1"/>
  <c r="I647" i="1"/>
  <c r="L1467" i="1"/>
  <c r="I1467" i="1"/>
  <c r="H1467" i="1"/>
  <c r="L1889" i="1"/>
  <c r="I1889" i="1"/>
  <c r="H1889" i="1"/>
  <c r="L553" i="1"/>
  <c r="I553" i="1"/>
  <c r="H553" i="1"/>
  <c r="I714" i="1"/>
  <c r="L714" i="1"/>
  <c r="H714" i="1"/>
  <c r="L1153" i="1"/>
  <c r="I1153" i="1"/>
  <c r="H1153" i="1"/>
  <c r="L977" i="1"/>
  <c r="H977" i="1"/>
  <c r="I977" i="1"/>
  <c r="H676" i="1"/>
  <c r="L676" i="1"/>
  <c r="I676" i="1"/>
  <c r="L848" i="1"/>
  <c r="I848" i="1"/>
  <c r="H848" i="1"/>
  <c r="L1633" i="1"/>
  <c r="I1633" i="1"/>
  <c r="H1633" i="1"/>
  <c r="I695" i="1"/>
  <c r="H695" i="1"/>
  <c r="L695" i="1"/>
  <c r="L823" i="1"/>
  <c r="I823" i="1"/>
  <c r="H823" i="1"/>
  <c r="H1005" i="1"/>
  <c r="I1005" i="1"/>
  <c r="L1005" i="1"/>
  <c r="L1130" i="1"/>
  <c r="H1130" i="1"/>
  <c r="I1130" i="1"/>
  <c r="L1697" i="1"/>
  <c r="I1697" i="1"/>
  <c r="H1697" i="1"/>
  <c r="L1232" i="1"/>
  <c r="I1232" i="1"/>
  <c r="H1232" i="1"/>
  <c r="L1120" i="1"/>
  <c r="H1120" i="1"/>
  <c r="I1120" i="1"/>
  <c r="L1391" i="1"/>
  <c r="I1391" i="1"/>
  <c r="H1391" i="1"/>
  <c r="L590" i="1"/>
  <c r="H590" i="1"/>
  <c r="I590" i="1"/>
  <c r="L1141" i="1"/>
  <c r="I1141" i="1"/>
  <c r="H1141" i="1"/>
  <c r="L1490" i="1"/>
  <c r="I1490" i="1"/>
  <c r="H1490" i="1"/>
  <c r="H1235" i="1"/>
  <c r="L1235" i="1"/>
  <c r="I1235" i="1"/>
  <c r="I1362" i="1"/>
  <c r="H1362" i="1"/>
  <c r="L1362" i="1"/>
  <c r="L1197" i="1"/>
  <c r="I1197" i="1"/>
  <c r="H1197" i="1"/>
  <c r="H1353" i="1"/>
  <c r="L1353" i="1"/>
  <c r="I1353" i="1"/>
  <c r="L354" i="1"/>
  <c r="I354" i="1"/>
  <c r="H354" i="1"/>
  <c r="I1583" i="1"/>
  <c r="H1583" i="1"/>
  <c r="L1583" i="1"/>
  <c r="H1604" i="1"/>
  <c r="L1604" i="1"/>
  <c r="I1604" i="1"/>
  <c r="L1625" i="1"/>
  <c r="I1625" i="1"/>
  <c r="H1625" i="1"/>
  <c r="H1677" i="1"/>
  <c r="I1677" i="1"/>
  <c r="L1677" i="1"/>
  <c r="L1698" i="1"/>
  <c r="I1698" i="1"/>
  <c r="H1698" i="1"/>
  <c r="L1959" i="1"/>
  <c r="I1959" i="1"/>
  <c r="H1959" i="1"/>
  <c r="L1901" i="1"/>
  <c r="I1901" i="1"/>
  <c r="H1901" i="1"/>
  <c r="L1995" i="1"/>
  <c r="I1995" i="1"/>
  <c r="H1995" i="1"/>
  <c r="I1757" i="1"/>
  <c r="L1757" i="1"/>
  <c r="H1757" i="1"/>
  <c r="L1789" i="1"/>
  <c r="I1789" i="1"/>
  <c r="H1789" i="1"/>
  <c r="H1821" i="1"/>
  <c r="L1821" i="1"/>
  <c r="I1821" i="1"/>
  <c r="H1853" i="1"/>
  <c r="L1853" i="1"/>
  <c r="I1853" i="1"/>
  <c r="L1935" i="1"/>
  <c r="I1935" i="1"/>
  <c r="H1935" i="1"/>
  <c r="L2074" i="1"/>
  <c r="I2074" i="1"/>
  <c r="H2074" i="1"/>
  <c r="H1973" i="1"/>
  <c r="L1973" i="1"/>
  <c r="I1973" i="1"/>
  <c r="L2147" i="1"/>
  <c r="I2147" i="1"/>
  <c r="H2147" i="1"/>
  <c r="L2169" i="1"/>
  <c r="I2169" i="1"/>
  <c r="H2169" i="1"/>
  <c r="L2273" i="1"/>
  <c r="I2273" i="1"/>
  <c r="H2273" i="1"/>
  <c r="L268" i="2"/>
  <c r="I268" i="2"/>
  <c r="H268" i="2"/>
  <c r="L1370" i="1"/>
  <c r="I1370" i="1"/>
  <c r="H1370" i="1"/>
  <c r="L230" i="1"/>
  <c r="I230" i="1"/>
  <c r="H230" i="1"/>
  <c r="L402" i="1"/>
  <c r="I402" i="1"/>
  <c r="H402" i="1"/>
  <c r="L189" i="1"/>
  <c r="H189" i="1"/>
  <c r="I189" i="1"/>
  <c r="L21" i="1"/>
  <c r="I21" i="1"/>
  <c r="H21" i="1"/>
  <c r="L53" i="1"/>
  <c r="I53" i="1"/>
  <c r="H53" i="1"/>
  <c r="L101" i="1"/>
  <c r="I101" i="1"/>
  <c r="H101" i="1"/>
  <c r="L295" i="1"/>
  <c r="I295" i="1"/>
  <c r="H295" i="1"/>
  <c r="L498" i="1"/>
  <c r="I498" i="1"/>
  <c r="H498" i="1"/>
  <c r="I439" i="1"/>
  <c r="L439" i="1"/>
  <c r="H439" i="1"/>
  <c r="H421" i="1"/>
  <c r="L421" i="1"/>
  <c r="I421" i="1"/>
  <c r="L380" i="1"/>
  <c r="I380" i="1"/>
  <c r="H380" i="1"/>
  <c r="L939" i="1"/>
  <c r="I939" i="1"/>
  <c r="H939" i="1"/>
  <c r="I547" i="1"/>
  <c r="L547" i="1"/>
  <c r="H547" i="1"/>
  <c r="H658" i="1"/>
  <c r="L658" i="1"/>
  <c r="I658" i="1"/>
  <c r="L572" i="1"/>
  <c r="I572" i="1"/>
  <c r="H572" i="1"/>
  <c r="L918" i="1"/>
  <c r="I918" i="1"/>
  <c r="H918" i="1"/>
  <c r="L852" i="1"/>
  <c r="I852" i="1"/>
  <c r="H852" i="1"/>
  <c r="L845" i="1"/>
  <c r="H845" i="1"/>
  <c r="I845" i="1"/>
  <c r="L781" i="1"/>
  <c r="H781" i="1"/>
  <c r="I781" i="1"/>
  <c r="L1188" i="1"/>
  <c r="I1188" i="1"/>
  <c r="H1188" i="1"/>
  <c r="L697" i="1"/>
  <c r="I697" i="1"/>
  <c r="H697" i="1"/>
  <c r="I820" i="1"/>
  <c r="H820" i="1"/>
  <c r="L820" i="1"/>
  <c r="I621" i="1"/>
  <c r="L621" i="1"/>
  <c r="H621" i="1"/>
  <c r="L1081" i="1"/>
  <c r="H1081" i="1"/>
  <c r="I1081" i="1"/>
  <c r="L1245" i="1"/>
  <c r="I1245" i="1"/>
  <c r="H1245" i="1"/>
  <c r="I815" i="1"/>
  <c r="L815" i="1"/>
  <c r="H815" i="1"/>
  <c r="L1053" i="1"/>
  <c r="H1053" i="1"/>
  <c r="I1053" i="1"/>
  <c r="L994" i="1"/>
  <c r="I994" i="1"/>
  <c r="H994" i="1"/>
  <c r="H1660" i="1"/>
  <c r="L1660" i="1"/>
  <c r="I1660" i="1"/>
  <c r="L1312" i="1"/>
  <c r="I1312" i="1"/>
  <c r="H1312" i="1"/>
  <c r="L1603" i="1"/>
  <c r="I1603" i="1"/>
  <c r="H1603" i="1"/>
  <c r="L1355" i="1"/>
  <c r="I1355" i="1"/>
  <c r="H1355" i="1"/>
  <c r="H1227" i="1"/>
  <c r="I1227" i="1"/>
  <c r="L1227" i="1"/>
  <c r="I1913" i="1"/>
  <c r="H1913" i="1"/>
  <c r="L1913" i="1"/>
  <c r="L1627" i="1"/>
  <c r="I1627" i="1"/>
  <c r="H1627" i="1"/>
  <c r="L1409" i="1"/>
  <c r="I1409" i="1"/>
  <c r="H1409" i="1"/>
  <c r="L1499" i="1"/>
  <c r="H1499" i="1"/>
  <c r="I1499" i="1"/>
  <c r="I1656" i="1"/>
  <c r="H1656" i="1"/>
  <c r="L1656" i="1"/>
  <c r="H2022" i="1"/>
  <c r="L2022" i="1"/>
  <c r="I2022" i="1"/>
  <c r="L1673" i="1"/>
  <c r="I1673" i="1"/>
  <c r="H1673" i="1"/>
  <c r="L2163" i="1"/>
  <c r="I2163" i="1"/>
  <c r="H2163" i="1"/>
  <c r="H1869" i="1"/>
  <c r="L1869" i="1"/>
  <c r="I1869" i="1"/>
  <c r="L1988" i="1"/>
  <c r="I1988" i="1"/>
  <c r="H1988" i="1"/>
  <c r="L2000" i="1"/>
  <c r="I2000" i="1"/>
  <c r="H2000" i="1"/>
  <c r="L1731" i="1"/>
  <c r="I1731" i="1"/>
  <c r="H1731" i="1"/>
  <c r="L1755" i="1"/>
  <c r="I1755" i="1"/>
  <c r="H1755" i="1"/>
  <c r="L1787" i="1"/>
  <c r="I1787" i="1"/>
  <c r="H1787" i="1"/>
  <c r="H1819" i="1"/>
  <c r="L1819" i="1"/>
  <c r="I1819" i="1"/>
  <c r="H1851" i="1"/>
  <c r="L1851" i="1"/>
  <c r="I1851" i="1"/>
  <c r="L1740" i="1"/>
  <c r="I1740" i="1"/>
  <c r="H1740" i="1"/>
  <c r="L1962" i="1"/>
  <c r="I1962" i="1"/>
  <c r="H1962" i="1"/>
  <c r="H1997" i="1"/>
  <c r="L1997" i="1"/>
  <c r="I1997" i="1"/>
  <c r="L2069" i="1"/>
  <c r="I2069" i="1"/>
  <c r="H2069" i="1"/>
  <c r="I2160" i="1"/>
  <c r="L2160" i="1"/>
  <c r="H2160" i="1"/>
  <c r="I2102" i="1"/>
  <c r="H2102" i="1"/>
  <c r="L2102" i="1"/>
  <c r="L2278" i="1"/>
  <c r="I2278" i="1"/>
  <c r="H2278" i="1"/>
  <c r="L2297" i="1"/>
  <c r="H2297" i="1"/>
  <c r="I2297" i="1"/>
  <c r="L2269" i="1"/>
  <c r="I2269" i="1"/>
  <c r="H2269" i="1"/>
  <c r="I1364" i="1"/>
  <c r="L1364" i="1"/>
  <c r="H1364" i="1"/>
  <c r="L2223" i="1"/>
  <c r="I2223" i="1"/>
  <c r="H2223" i="1"/>
  <c r="O892" i="1"/>
  <c r="N892" i="1"/>
  <c r="M892" i="1"/>
  <c r="L349" i="2"/>
  <c r="I349" i="2"/>
  <c r="H349" i="2"/>
  <c r="L466" i="2"/>
  <c r="I466" i="2"/>
  <c r="H466" i="2"/>
  <c r="L327" i="2"/>
  <c r="I327" i="2"/>
  <c r="H327" i="2"/>
  <c r="L519" i="2"/>
  <c r="I519" i="2"/>
  <c r="H519" i="2"/>
  <c r="L188" i="2"/>
  <c r="I188" i="2"/>
  <c r="H188" i="2"/>
  <c r="L380" i="2"/>
  <c r="I380" i="2"/>
  <c r="H380" i="2"/>
  <c r="O480" i="2"/>
  <c r="N480" i="2"/>
  <c r="M480" i="2"/>
  <c r="M297" i="1"/>
  <c r="O297" i="1"/>
  <c r="N297" i="1"/>
  <c r="M116" i="2"/>
  <c r="N116" i="2"/>
  <c r="O116" i="2"/>
  <c r="L409" i="2"/>
  <c r="I409" i="2"/>
  <c r="H409" i="2"/>
  <c r="N408" i="2"/>
  <c r="O408" i="2"/>
  <c r="M408" i="2"/>
  <c r="O564" i="2"/>
  <c r="N564" i="2"/>
  <c r="M564" i="2"/>
  <c r="L451" i="2"/>
  <c r="I451" i="2"/>
  <c r="H451" i="2"/>
  <c r="L323" i="2"/>
  <c r="I323" i="2"/>
  <c r="H323" i="2"/>
  <c r="L227" i="2"/>
  <c r="I227" i="2"/>
  <c r="H227" i="2"/>
  <c r="O320" i="2"/>
  <c r="N320" i="2"/>
  <c r="M320" i="2"/>
  <c r="O136" i="2"/>
  <c r="N136" i="2"/>
  <c r="M136" i="2"/>
  <c r="L186" i="1"/>
  <c r="I186" i="1"/>
  <c r="H186" i="1"/>
  <c r="L346" i="1"/>
  <c r="I346" i="1"/>
  <c r="H346" i="1"/>
  <c r="H152" i="1"/>
  <c r="L152" i="1"/>
  <c r="I152" i="1"/>
  <c r="H14" i="1"/>
  <c r="L14" i="1"/>
  <c r="I14" i="1"/>
  <c r="H54" i="1"/>
  <c r="I54" i="1"/>
  <c r="L54" i="1"/>
  <c r="H94" i="1"/>
  <c r="I94" i="1"/>
  <c r="L94" i="1"/>
  <c r="L303" i="1"/>
  <c r="I303" i="1"/>
  <c r="H303" i="1"/>
  <c r="I390" i="1"/>
  <c r="H390" i="1"/>
  <c r="L390" i="1"/>
  <c r="H429" i="1"/>
  <c r="L429" i="1"/>
  <c r="I429" i="1"/>
  <c r="H790" i="1"/>
  <c r="L790" i="1"/>
  <c r="I790" i="1"/>
  <c r="L560" i="1"/>
  <c r="I560" i="1"/>
  <c r="H560" i="1"/>
  <c r="H660" i="1"/>
  <c r="L660" i="1"/>
  <c r="I660" i="1"/>
  <c r="H530" i="1"/>
  <c r="I530" i="1"/>
  <c r="L530" i="1"/>
  <c r="L476" i="1"/>
  <c r="I476" i="1"/>
  <c r="H476" i="1"/>
  <c r="L638" i="1"/>
  <c r="I638" i="1"/>
  <c r="H638" i="1"/>
  <c r="H586" i="1"/>
  <c r="L586" i="1"/>
  <c r="I586" i="1"/>
  <c r="L1070" i="1"/>
  <c r="I1070" i="1"/>
  <c r="H1070" i="1"/>
  <c r="I712" i="1"/>
  <c r="H712" i="1"/>
  <c r="L712" i="1"/>
  <c r="H1632" i="1"/>
  <c r="L1632" i="1"/>
  <c r="I1632" i="1"/>
  <c r="L837" i="1"/>
  <c r="I837" i="1"/>
  <c r="H837" i="1"/>
  <c r="I920" i="1"/>
  <c r="H920" i="1"/>
  <c r="L920" i="1"/>
  <c r="H755" i="1"/>
  <c r="L755" i="1"/>
  <c r="I755" i="1"/>
  <c r="L1125" i="1"/>
  <c r="H1125" i="1"/>
  <c r="I1125" i="1"/>
  <c r="L1067" i="1"/>
  <c r="I1067" i="1"/>
  <c r="H1067" i="1"/>
  <c r="I1687" i="1"/>
  <c r="L1687" i="1"/>
  <c r="H1687" i="1"/>
  <c r="L808" i="1"/>
  <c r="I808" i="1"/>
  <c r="H808" i="1"/>
  <c r="L432" i="1"/>
  <c r="H432" i="1"/>
  <c r="I432" i="1"/>
  <c r="L1424" i="1"/>
  <c r="I1424" i="1"/>
  <c r="H1424" i="1"/>
  <c r="H1263" i="1"/>
  <c r="L1263" i="1"/>
  <c r="I1263" i="1"/>
  <c r="I175" i="1"/>
  <c r="H175" i="1"/>
  <c r="L175" i="1"/>
  <c r="L1630" i="1"/>
  <c r="H1630" i="1"/>
  <c r="I1630" i="1"/>
  <c r="I1440" i="1"/>
  <c r="H1440" i="1"/>
  <c r="L1440" i="1"/>
  <c r="L1622" i="1"/>
  <c r="H1622" i="1"/>
  <c r="I1622" i="1"/>
  <c r="H1716" i="1"/>
  <c r="L1716" i="1"/>
  <c r="I1716" i="1"/>
  <c r="H1541" i="1"/>
  <c r="L1541" i="1"/>
  <c r="I1541" i="1"/>
  <c r="L1626" i="1"/>
  <c r="I1626" i="1"/>
  <c r="H1626" i="1"/>
  <c r="L1996" i="1"/>
  <c r="I1996" i="1"/>
  <c r="H1996" i="1"/>
  <c r="H1865" i="1"/>
  <c r="I1865" i="1"/>
  <c r="L1865" i="1"/>
  <c r="I1748" i="1"/>
  <c r="L1748" i="1"/>
  <c r="H1748" i="1"/>
  <c r="I618" i="1"/>
  <c r="H618" i="1"/>
  <c r="L618" i="1"/>
  <c r="L1836" i="1"/>
  <c r="I1836" i="1"/>
  <c r="H1836" i="1"/>
  <c r="L1926" i="1"/>
  <c r="I1926" i="1"/>
  <c r="H1926" i="1"/>
  <c r="L1998" i="1"/>
  <c r="I1998" i="1"/>
  <c r="H1998" i="1"/>
  <c r="L2023" i="1"/>
  <c r="I2023" i="1"/>
  <c r="H2023" i="1"/>
  <c r="I748" i="1"/>
  <c r="L748" i="1"/>
  <c r="H748" i="1"/>
  <c r="I2087" i="1"/>
  <c r="H2087" i="1"/>
  <c r="L2087" i="1"/>
  <c r="I2143" i="1"/>
  <c r="H2143" i="1"/>
  <c r="L2143" i="1"/>
  <c r="L2299" i="1"/>
  <c r="H2299" i="1"/>
  <c r="I2299" i="1"/>
  <c r="L2271" i="1"/>
  <c r="I2271" i="1"/>
  <c r="H2271" i="1"/>
  <c r="L2197" i="1"/>
  <c r="I2197" i="1"/>
  <c r="H2197" i="1"/>
  <c r="L225" i="1"/>
  <c r="H225" i="1"/>
  <c r="I225" i="1"/>
  <c r="L54" i="2"/>
  <c r="H54" i="2"/>
  <c r="I54" i="2"/>
  <c r="L293" i="2"/>
  <c r="I293" i="2"/>
  <c r="H293" i="2"/>
  <c r="L97" i="2"/>
  <c r="I97" i="2"/>
  <c r="H97" i="2"/>
  <c r="L207" i="2"/>
  <c r="I207" i="2"/>
  <c r="H207" i="2"/>
  <c r="L463" i="2"/>
  <c r="I463" i="2"/>
  <c r="H463" i="2"/>
  <c r="L434" i="2"/>
  <c r="I434" i="2"/>
  <c r="H434" i="2"/>
  <c r="L388" i="2"/>
  <c r="I388" i="2"/>
  <c r="H388" i="2"/>
  <c r="N336" i="2"/>
  <c r="O336" i="2"/>
  <c r="M336" i="2"/>
  <c r="M47" i="2"/>
  <c r="O47" i="2"/>
  <c r="N47" i="2"/>
  <c r="L538" i="2"/>
  <c r="I538" i="2"/>
  <c r="H538" i="2"/>
  <c r="L382" i="2"/>
  <c r="I382" i="2"/>
  <c r="H382" i="2"/>
  <c r="L286" i="2"/>
  <c r="I286" i="2"/>
  <c r="H286" i="2"/>
  <c r="L300" i="2"/>
  <c r="I300" i="2"/>
  <c r="H300" i="2"/>
  <c r="N344" i="2"/>
  <c r="O344" i="2"/>
  <c r="M344" i="2"/>
  <c r="O123" i="1"/>
  <c r="M123" i="1"/>
  <c r="N123" i="1"/>
  <c r="O417" i="2"/>
  <c r="N417" i="2"/>
  <c r="M417" i="2"/>
  <c r="M265" i="1"/>
  <c r="O265" i="1"/>
  <c r="N265" i="1"/>
  <c r="O20" i="2"/>
  <c r="N20" i="2"/>
  <c r="M20" i="2"/>
  <c r="I347" i="1"/>
  <c r="L347" i="1"/>
  <c r="H347" i="1"/>
  <c r="L190" i="1"/>
  <c r="I190" i="1"/>
  <c r="H190" i="1"/>
  <c r="L290" i="1"/>
  <c r="I290" i="1"/>
  <c r="H290" i="1"/>
  <c r="I161" i="1"/>
  <c r="H161" i="1"/>
  <c r="L161" i="1"/>
  <c r="L304" i="1"/>
  <c r="I304" i="1"/>
  <c r="H304" i="1"/>
  <c r="L23" i="1"/>
  <c r="I23" i="1"/>
  <c r="H23" i="1"/>
  <c r="L55" i="1"/>
  <c r="H55" i="1"/>
  <c r="I55" i="1"/>
  <c r="L87" i="1"/>
  <c r="I87" i="1"/>
  <c r="H87" i="1"/>
  <c r="L119" i="1"/>
  <c r="I119" i="1"/>
  <c r="H119" i="1"/>
  <c r="L311" i="1"/>
  <c r="I311" i="1"/>
  <c r="H311" i="1"/>
  <c r="I2103" i="1"/>
  <c r="H2103" i="1"/>
  <c r="L2103" i="1"/>
  <c r="L448" i="1"/>
  <c r="I448" i="1"/>
  <c r="H448" i="1"/>
  <c r="H373" i="1"/>
  <c r="I373" i="1"/>
  <c r="L373" i="1"/>
  <c r="L2202" i="1"/>
  <c r="I2202" i="1"/>
  <c r="H2202" i="1"/>
  <c r="L596" i="1"/>
  <c r="I596" i="1"/>
  <c r="H596" i="1"/>
  <c r="L170" i="1"/>
  <c r="I170" i="1"/>
  <c r="H170" i="1"/>
  <c r="L1170" i="1"/>
  <c r="I1170" i="1"/>
  <c r="H1170" i="1"/>
  <c r="L905" i="1"/>
  <c r="I905" i="1"/>
  <c r="H905" i="1"/>
  <c r="L592" i="1"/>
  <c r="I592" i="1"/>
  <c r="H592" i="1"/>
  <c r="I786" i="1"/>
  <c r="H786" i="1"/>
  <c r="L786" i="1"/>
  <c r="L552" i="1"/>
  <c r="I552" i="1"/>
  <c r="H552" i="1"/>
  <c r="L597" i="1"/>
  <c r="I597" i="1"/>
  <c r="H597" i="1"/>
  <c r="L862" i="1"/>
  <c r="I862" i="1"/>
  <c r="H862" i="1"/>
  <c r="L717" i="1"/>
  <c r="H717" i="1"/>
  <c r="I717" i="1"/>
  <c r="L1022" i="1"/>
  <c r="I1022" i="1"/>
  <c r="H1022" i="1"/>
  <c r="I613" i="1"/>
  <c r="L613" i="1"/>
  <c r="H613" i="1"/>
  <c r="L893" i="1"/>
  <c r="I893" i="1"/>
  <c r="H893" i="1"/>
  <c r="L913" i="1"/>
  <c r="H913" i="1"/>
  <c r="I913" i="1"/>
  <c r="L630" i="1"/>
  <c r="I630" i="1"/>
  <c r="H630" i="1"/>
  <c r="L753" i="1"/>
  <c r="I753" i="1"/>
  <c r="H753" i="1"/>
  <c r="H643" i="1"/>
  <c r="L643" i="1"/>
  <c r="I643" i="1"/>
  <c r="L1266" i="1"/>
  <c r="I1266" i="1"/>
  <c r="H1266" i="1"/>
  <c r="I791" i="1"/>
  <c r="H791" i="1"/>
  <c r="L791" i="1"/>
  <c r="H855" i="1"/>
  <c r="L855" i="1"/>
  <c r="I855" i="1"/>
  <c r="L1069" i="1"/>
  <c r="H1069" i="1"/>
  <c r="I1069" i="1"/>
  <c r="L946" i="1"/>
  <c r="I946" i="1"/>
  <c r="H946" i="1"/>
  <c r="L1158" i="1"/>
  <c r="I1158" i="1"/>
  <c r="H1158" i="1"/>
  <c r="L1088" i="1"/>
  <c r="H1088" i="1"/>
  <c r="I1088" i="1"/>
  <c r="L1327" i="1"/>
  <c r="I1327" i="1"/>
  <c r="H1327" i="1"/>
  <c r="L1184" i="1"/>
  <c r="I1184" i="1"/>
  <c r="H1184" i="1"/>
  <c r="L1107" i="1"/>
  <c r="H1107" i="1"/>
  <c r="I1107" i="1"/>
  <c r="L1371" i="1"/>
  <c r="I1371" i="1"/>
  <c r="H1371" i="1"/>
  <c r="H1676" i="1"/>
  <c r="L1676" i="1"/>
  <c r="I1676" i="1"/>
  <c r="I1330" i="1"/>
  <c r="H1330" i="1"/>
  <c r="L1330" i="1"/>
  <c r="L1614" i="1"/>
  <c r="I1614" i="1"/>
  <c r="H1614" i="1"/>
  <c r="H1322" i="1"/>
  <c r="L1322" i="1"/>
  <c r="I1322" i="1"/>
  <c r="L1494" i="1"/>
  <c r="H1494" i="1"/>
  <c r="I1494" i="1"/>
  <c r="L1507" i="1"/>
  <c r="H1507" i="1"/>
  <c r="I1507" i="1"/>
  <c r="L1670" i="1"/>
  <c r="H1670" i="1"/>
  <c r="I1670" i="1"/>
  <c r="L1912" i="1"/>
  <c r="I1912" i="1"/>
  <c r="H1912" i="1"/>
  <c r="L1689" i="1"/>
  <c r="I1689" i="1"/>
  <c r="H1689" i="1"/>
  <c r="L1506" i="1"/>
  <c r="I1506" i="1"/>
  <c r="H1506" i="1"/>
  <c r="L1896" i="1"/>
  <c r="I1896" i="1"/>
  <c r="H1896" i="1"/>
  <c r="L1904" i="1"/>
  <c r="I1904" i="1"/>
  <c r="H1904" i="1"/>
  <c r="H1873" i="1"/>
  <c r="I1873" i="1"/>
  <c r="L1873" i="1"/>
  <c r="L1749" i="1"/>
  <c r="H1749" i="1"/>
  <c r="I1749" i="1"/>
  <c r="L1781" i="1"/>
  <c r="I1781" i="1"/>
  <c r="H1781" i="1"/>
  <c r="H1813" i="1"/>
  <c r="L1813" i="1"/>
  <c r="I1813" i="1"/>
  <c r="H1845" i="1"/>
  <c r="L1845" i="1"/>
  <c r="I1845" i="1"/>
  <c r="L1927" i="1"/>
  <c r="I1927" i="1"/>
  <c r="H1927" i="1"/>
  <c r="L2026" i="1"/>
  <c r="I2026" i="1"/>
  <c r="H2026" i="1"/>
  <c r="L1970" i="1"/>
  <c r="I1970" i="1"/>
  <c r="H1970" i="1"/>
  <c r="L2041" i="1"/>
  <c r="I2041" i="1"/>
  <c r="H2041" i="1"/>
  <c r="I2130" i="1"/>
  <c r="L2130" i="1"/>
  <c r="H2130" i="1"/>
  <c r="L2222" i="1"/>
  <c r="I2222" i="1"/>
  <c r="H2222" i="1"/>
  <c r="I2096" i="1"/>
  <c r="H2096" i="1"/>
  <c r="L2096" i="1"/>
  <c r="I50" i="1"/>
  <c r="H50" i="1"/>
  <c r="L50" i="1"/>
  <c r="L2221" i="1"/>
  <c r="I2221" i="1"/>
  <c r="H2221" i="1"/>
  <c r="L2257" i="1"/>
  <c r="I2257" i="1"/>
  <c r="H2257" i="1"/>
  <c r="L2190" i="1"/>
  <c r="I2190" i="1"/>
  <c r="H2190" i="1"/>
  <c r="L2214" i="1"/>
  <c r="I2214" i="1"/>
  <c r="H2214" i="1"/>
  <c r="N3" i="1"/>
  <c r="M3" i="1"/>
  <c r="O3" i="1"/>
  <c r="L525" i="2"/>
  <c r="I525" i="2"/>
  <c r="H525" i="2"/>
  <c r="L443" i="2"/>
  <c r="I443" i="2"/>
  <c r="H443" i="2"/>
  <c r="L469" i="2"/>
  <c r="I469" i="2"/>
  <c r="H469" i="2"/>
  <c r="L36" i="2"/>
  <c r="I36" i="2"/>
  <c r="H36" i="2"/>
  <c r="L108" i="2"/>
  <c r="H108" i="2"/>
  <c r="I108" i="2"/>
  <c r="L12" i="2"/>
  <c r="H12" i="2"/>
  <c r="I12" i="2"/>
  <c r="N472" i="2"/>
  <c r="O472" i="2"/>
  <c r="M472" i="2"/>
  <c r="L709" i="1"/>
  <c r="H709" i="1"/>
  <c r="I709" i="1"/>
  <c r="L220" i="1"/>
  <c r="I220" i="1"/>
  <c r="H220" i="1"/>
  <c r="L298" i="1"/>
  <c r="I298" i="1"/>
  <c r="H298" i="1"/>
  <c r="L952" i="1"/>
  <c r="I952" i="1"/>
  <c r="H952" i="1"/>
  <c r="H7" i="1"/>
  <c r="L7" i="1"/>
  <c r="I7" i="1"/>
  <c r="L312" i="1"/>
  <c r="I312" i="1"/>
  <c r="H312" i="1"/>
  <c r="L16" i="1"/>
  <c r="I16" i="1"/>
  <c r="H16" i="1"/>
  <c r="L40" i="1"/>
  <c r="I40" i="1"/>
  <c r="H40" i="1"/>
  <c r="L64" i="1"/>
  <c r="I64" i="1"/>
  <c r="H64" i="1"/>
  <c r="L80" i="1"/>
  <c r="I80" i="1"/>
  <c r="H80" i="1"/>
  <c r="L112" i="1"/>
  <c r="I112" i="1"/>
  <c r="H112" i="1"/>
  <c r="L383" i="1"/>
  <c r="I383" i="1"/>
  <c r="H383" i="1"/>
  <c r="I342" i="1"/>
  <c r="H342" i="1"/>
  <c r="L342" i="1"/>
  <c r="L1195" i="1"/>
  <c r="I1195" i="1"/>
  <c r="H1195" i="1"/>
  <c r="H327" i="1"/>
  <c r="I327" i="1"/>
  <c r="L327" i="1"/>
  <c r="I816" i="1"/>
  <c r="H816" i="1"/>
  <c r="L816" i="1"/>
  <c r="H750" i="1"/>
  <c r="L750" i="1"/>
  <c r="I750" i="1"/>
  <c r="H652" i="1"/>
  <c r="L652" i="1"/>
  <c r="I652" i="1"/>
  <c r="I1479" i="1"/>
  <c r="L1479" i="1"/>
  <c r="H1479" i="1"/>
  <c r="L972" i="1"/>
  <c r="I972" i="1"/>
  <c r="H972" i="1"/>
  <c r="L561" i="1"/>
  <c r="H561" i="1"/>
  <c r="I561" i="1"/>
  <c r="L729" i="1"/>
  <c r="I729" i="1"/>
  <c r="H729" i="1"/>
  <c r="L1178" i="1"/>
  <c r="I1178" i="1"/>
  <c r="H1178" i="1"/>
  <c r="L915" i="1"/>
  <c r="I915" i="1"/>
  <c r="H915" i="1"/>
  <c r="I639" i="1"/>
  <c r="L639" i="1"/>
  <c r="H639" i="1"/>
  <c r="I854" i="1"/>
  <c r="L854" i="1"/>
  <c r="H854" i="1"/>
  <c r="L651" i="1"/>
  <c r="I651" i="1"/>
  <c r="H651" i="1"/>
  <c r="L1547" i="1"/>
  <c r="I1547" i="1"/>
  <c r="H1547" i="1"/>
  <c r="H795" i="1"/>
  <c r="L795" i="1"/>
  <c r="I795" i="1"/>
  <c r="H891" i="1"/>
  <c r="L891" i="1"/>
  <c r="I891" i="1"/>
  <c r="L1201" i="1"/>
  <c r="I1201" i="1"/>
  <c r="H1201" i="1"/>
  <c r="I1018" i="1"/>
  <c r="H1018" i="1"/>
  <c r="L1018" i="1"/>
  <c r="L1238" i="1"/>
  <c r="I1238" i="1"/>
  <c r="H1238" i="1"/>
  <c r="L1124" i="1"/>
  <c r="H1124" i="1"/>
  <c r="I1124" i="1"/>
  <c r="L1063" i="1"/>
  <c r="H1063" i="1"/>
  <c r="I1063" i="1"/>
  <c r="L1079" i="1"/>
  <c r="H1079" i="1"/>
  <c r="I1079" i="1"/>
  <c r="L1313" i="1"/>
  <c r="I1313" i="1"/>
  <c r="H1313" i="1"/>
  <c r="I1207" i="1"/>
  <c r="H1207" i="1"/>
  <c r="L1207" i="1"/>
  <c r="H1271" i="1"/>
  <c r="I1271" i="1"/>
  <c r="L1271" i="1"/>
  <c r="I1366" i="1"/>
  <c r="H1366" i="1"/>
  <c r="L1366" i="1"/>
  <c r="L1205" i="1"/>
  <c r="I1205" i="1"/>
  <c r="H1205" i="1"/>
  <c r="L1357" i="1"/>
  <c r="I1357" i="1"/>
  <c r="H1357" i="1"/>
  <c r="L1646" i="1"/>
  <c r="I1646" i="1"/>
  <c r="H1646" i="1"/>
  <c r="H1509" i="1"/>
  <c r="I1509" i="1"/>
  <c r="L1509" i="1"/>
  <c r="I1672" i="1"/>
  <c r="H1672" i="1"/>
  <c r="L1672" i="1"/>
  <c r="H1620" i="1"/>
  <c r="L1620" i="1"/>
  <c r="I1620" i="1"/>
  <c r="L1569" i="1"/>
  <c r="I1569" i="1"/>
  <c r="H1569" i="1"/>
  <c r="H1621" i="1"/>
  <c r="I1621" i="1"/>
  <c r="L1621" i="1"/>
  <c r="L1642" i="1"/>
  <c r="I1642" i="1"/>
  <c r="H1642" i="1"/>
  <c r="I458" i="1"/>
  <c r="H458" i="1"/>
  <c r="L458" i="1"/>
  <c r="L1887" i="1"/>
  <c r="I1887" i="1"/>
  <c r="H1887" i="1"/>
  <c r="L1877" i="1"/>
  <c r="H1877" i="1"/>
  <c r="I1877" i="1"/>
  <c r="L1742" i="1"/>
  <c r="I1742" i="1"/>
  <c r="H1742" i="1"/>
  <c r="I1552" i="1"/>
  <c r="L1552" i="1"/>
  <c r="H1552" i="1"/>
  <c r="L1806" i="1"/>
  <c r="I1806" i="1"/>
  <c r="H1806" i="1"/>
  <c r="L2177" i="1"/>
  <c r="I2177" i="1"/>
  <c r="H2177" i="1"/>
  <c r="L1920" i="1"/>
  <c r="I1920" i="1"/>
  <c r="H1920" i="1"/>
  <c r="L2044" i="1"/>
  <c r="I2044" i="1"/>
  <c r="H2044" i="1"/>
  <c r="L2006" i="1"/>
  <c r="I2006" i="1"/>
  <c r="H2006" i="1"/>
  <c r="H2009" i="1"/>
  <c r="I2009" i="1"/>
  <c r="L2009" i="1"/>
  <c r="I2075" i="1"/>
  <c r="L2075" i="1"/>
  <c r="H2075" i="1"/>
  <c r="I2084" i="1"/>
  <c r="L2084" i="1"/>
  <c r="H2084" i="1"/>
  <c r="L2254" i="1"/>
  <c r="I2254" i="1"/>
  <c r="H2254" i="1"/>
  <c r="I2097" i="1"/>
  <c r="H2097" i="1"/>
  <c r="L2097" i="1"/>
  <c r="I2159" i="1"/>
  <c r="L2159" i="1"/>
  <c r="H2159" i="1"/>
  <c r="L2233" i="1"/>
  <c r="I2233" i="1"/>
  <c r="H2233" i="1"/>
  <c r="L2243" i="1"/>
  <c r="I2243" i="1"/>
  <c r="H2243" i="1"/>
  <c r="L2275" i="1"/>
  <c r="I2275" i="1"/>
  <c r="H2275" i="1"/>
  <c r="H2191" i="1"/>
  <c r="L2191" i="1"/>
  <c r="I2191" i="1"/>
  <c r="I2215" i="1"/>
  <c r="L2215" i="1"/>
  <c r="H2215" i="1"/>
  <c r="L435" i="1"/>
  <c r="I435" i="1"/>
  <c r="H435" i="1"/>
  <c r="I152" i="2"/>
  <c r="L152" i="2"/>
  <c r="H152" i="2"/>
  <c r="L14" i="2"/>
  <c r="H14" i="2"/>
  <c r="I14" i="2"/>
  <c r="L309" i="2"/>
  <c r="I309" i="2"/>
  <c r="H309" i="2"/>
  <c r="L565" i="2"/>
  <c r="I565" i="2"/>
  <c r="H565" i="2"/>
  <c r="L506" i="2"/>
  <c r="I506" i="2"/>
  <c r="H506" i="2"/>
  <c r="L223" i="2"/>
  <c r="I223" i="2"/>
  <c r="H223" i="2"/>
  <c r="L415" i="2"/>
  <c r="I415" i="2"/>
  <c r="H415" i="2"/>
  <c r="L543" i="2"/>
  <c r="I543" i="2"/>
  <c r="H543" i="2"/>
  <c r="I147" i="2"/>
  <c r="H147" i="2"/>
  <c r="L147" i="2"/>
  <c r="L404" i="2"/>
  <c r="I404" i="2"/>
  <c r="H404" i="2"/>
  <c r="M341" i="2"/>
  <c r="O341" i="2"/>
  <c r="N341" i="2"/>
  <c r="N8" i="2"/>
  <c r="M8" i="2"/>
  <c r="O8" i="2"/>
  <c r="O190" i="2"/>
  <c r="N190" i="2"/>
  <c r="M190" i="2"/>
  <c r="M176" i="2"/>
  <c r="N176" i="2"/>
  <c r="O176" i="2"/>
  <c r="M377" i="1"/>
  <c r="O377" i="1"/>
  <c r="N377" i="1"/>
  <c r="L513" i="2"/>
  <c r="I513" i="2"/>
  <c r="H513" i="2"/>
  <c r="L449" i="2"/>
  <c r="I449" i="2"/>
  <c r="H449" i="2"/>
  <c r="L183" i="2"/>
  <c r="I183" i="2"/>
  <c r="H183" i="2"/>
  <c r="L321" i="2"/>
  <c r="I321" i="2"/>
  <c r="H321" i="2"/>
  <c r="M257" i="2"/>
  <c r="N257" i="2"/>
  <c r="O257" i="2"/>
  <c r="M73" i="2"/>
  <c r="N73" i="2"/>
  <c r="O73" i="2"/>
  <c r="O173" i="2"/>
  <c r="N173" i="2"/>
  <c r="M173" i="2"/>
  <c r="M39" i="2"/>
  <c r="O39" i="2"/>
  <c r="N39" i="2"/>
  <c r="L566" i="2"/>
  <c r="I566" i="2"/>
  <c r="H566" i="2"/>
  <c r="L534" i="2"/>
  <c r="I534" i="2"/>
  <c r="H534" i="2"/>
  <c r="L502" i="2"/>
  <c r="I502" i="2"/>
  <c r="H502" i="2"/>
  <c r="L470" i="2"/>
  <c r="I470" i="2"/>
  <c r="H470" i="2"/>
  <c r="L438" i="2"/>
  <c r="I438" i="2"/>
  <c r="H438" i="2"/>
  <c r="L406" i="2"/>
  <c r="I406" i="2"/>
  <c r="H406" i="2"/>
  <c r="L374" i="2"/>
  <c r="I374" i="2"/>
  <c r="H374" i="2"/>
  <c r="L342" i="2"/>
  <c r="I342" i="2"/>
  <c r="H342" i="2"/>
  <c r="L310" i="2"/>
  <c r="I310" i="2"/>
  <c r="H310" i="2"/>
  <c r="L278" i="2"/>
  <c r="I278" i="2"/>
  <c r="H278" i="2"/>
  <c r="L246" i="2"/>
  <c r="I246" i="2"/>
  <c r="H246" i="2"/>
  <c r="I143" i="2"/>
  <c r="H143" i="2"/>
  <c r="L143" i="2"/>
  <c r="N7" i="2"/>
  <c r="M7" i="2"/>
  <c r="O7" i="2"/>
  <c r="N568" i="2"/>
  <c r="O568" i="2"/>
  <c r="M568" i="2"/>
  <c r="O184" i="2"/>
  <c r="M184" i="2"/>
  <c r="N184" i="2"/>
  <c r="O193" i="2"/>
  <c r="N193" i="2"/>
  <c r="M193" i="2"/>
  <c r="M77" i="2"/>
  <c r="O77" i="2"/>
  <c r="N77" i="2"/>
  <c r="N296" i="2"/>
  <c r="O296" i="2"/>
  <c r="M296" i="2"/>
  <c r="M71" i="2"/>
  <c r="O71" i="2"/>
  <c r="N71" i="2"/>
  <c r="M106" i="2"/>
  <c r="O106" i="2"/>
  <c r="N106" i="2"/>
  <c r="M109" i="2"/>
  <c r="O109" i="2"/>
  <c r="N109" i="2"/>
  <c r="M13" i="2"/>
  <c r="O13" i="2"/>
  <c r="N13" i="2"/>
  <c r="M83" i="2"/>
  <c r="O83" i="2"/>
  <c r="N83" i="2"/>
  <c r="O754" i="1"/>
  <c r="N754" i="1"/>
  <c r="M754" i="1"/>
  <c r="M72" i="2"/>
  <c r="O72" i="2"/>
  <c r="N72" i="2"/>
  <c r="M40" i="2"/>
  <c r="O40" i="2"/>
  <c r="N40" i="2"/>
  <c r="O130" i="1"/>
  <c r="N130" i="1"/>
  <c r="M130" i="1"/>
  <c r="H606" i="1"/>
  <c r="I606" i="1"/>
  <c r="L606" i="1"/>
  <c r="L395" i="1"/>
  <c r="I395" i="1"/>
  <c r="H395" i="1"/>
  <c r="L267" i="1"/>
  <c r="I267" i="1"/>
  <c r="H267" i="1"/>
  <c r="L196" i="1"/>
  <c r="I196" i="1"/>
  <c r="H196" i="1"/>
  <c r="L162" i="1"/>
  <c r="I162" i="1"/>
  <c r="H162" i="1"/>
  <c r="L198" i="1"/>
  <c r="I198" i="1"/>
  <c r="H198" i="1"/>
  <c r="L222" i="1"/>
  <c r="I222" i="1"/>
  <c r="H222" i="1"/>
  <c r="L238" i="1"/>
  <c r="I238" i="1"/>
  <c r="H238" i="1"/>
  <c r="L254" i="1"/>
  <c r="I254" i="1"/>
  <c r="H254" i="1"/>
  <c r="L306" i="1"/>
  <c r="I306" i="1"/>
  <c r="H306" i="1"/>
  <c r="L370" i="1"/>
  <c r="I370" i="1"/>
  <c r="H370" i="1"/>
  <c r="L270" i="1"/>
  <c r="I270" i="1"/>
  <c r="H270" i="1"/>
  <c r="I5" i="1"/>
  <c r="H5" i="1"/>
  <c r="L5" i="1"/>
  <c r="L209" i="1"/>
  <c r="I209" i="1"/>
  <c r="H209" i="1"/>
  <c r="H8" i="1"/>
  <c r="L8" i="1"/>
  <c r="I8" i="1"/>
  <c r="L173" i="1"/>
  <c r="H173" i="1"/>
  <c r="I173" i="1"/>
  <c r="L205" i="1"/>
  <c r="H205" i="1"/>
  <c r="I205" i="1"/>
  <c r="L320" i="1"/>
  <c r="I320" i="1"/>
  <c r="H320" i="1"/>
  <c r="L384" i="1"/>
  <c r="I384" i="1"/>
  <c r="H384" i="1"/>
  <c r="I9" i="1"/>
  <c r="H9" i="1"/>
  <c r="L9" i="1"/>
  <c r="I17" i="1"/>
  <c r="H17" i="1"/>
  <c r="L17" i="1"/>
  <c r="H25" i="1"/>
  <c r="L25" i="1"/>
  <c r="I25" i="1"/>
  <c r="I33" i="1"/>
  <c r="H33" i="1"/>
  <c r="L33" i="1"/>
  <c r="I41" i="1"/>
  <c r="H41" i="1"/>
  <c r="L41" i="1"/>
  <c r="I49" i="1"/>
  <c r="L49" i="1"/>
  <c r="H49" i="1"/>
  <c r="H57" i="1"/>
  <c r="I57" i="1"/>
  <c r="L57" i="1"/>
  <c r="I65" i="1"/>
  <c r="L65" i="1"/>
  <c r="H65" i="1"/>
  <c r="H73" i="1"/>
  <c r="I73" i="1"/>
  <c r="L73" i="1"/>
  <c r="I81" i="1"/>
  <c r="H81" i="1"/>
  <c r="L81" i="1"/>
  <c r="H89" i="1"/>
  <c r="L89" i="1"/>
  <c r="I89" i="1"/>
  <c r="I97" i="1"/>
  <c r="H97" i="1"/>
  <c r="L97" i="1"/>
  <c r="I105" i="1"/>
  <c r="H105" i="1"/>
  <c r="L105" i="1"/>
  <c r="I113" i="1"/>
  <c r="H113" i="1"/>
  <c r="L113" i="1"/>
  <c r="L135" i="1"/>
  <c r="I135" i="1"/>
  <c r="H135" i="1"/>
  <c r="I473" i="1"/>
  <c r="L473" i="1"/>
  <c r="H473" i="1"/>
  <c r="L263" i="1"/>
  <c r="I263" i="1"/>
  <c r="H263" i="1"/>
  <c r="L233" i="1"/>
  <c r="I233" i="1"/>
  <c r="H233" i="1"/>
  <c r="L391" i="1"/>
  <c r="I391" i="1"/>
  <c r="H391" i="1"/>
  <c r="L472" i="1"/>
  <c r="H472" i="1"/>
  <c r="I472" i="1"/>
  <c r="L951" i="1"/>
  <c r="I951" i="1"/>
  <c r="H951" i="1"/>
  <c r="I286" i="1"/>
  <c r="H286" i="1"/>
  <c r="L286" i="1"/>
  <c r="I350" i="1"/>
  <c r="H350" i="1"/>
  <c r="L350" i="1"/>
  <c r="I414" i="1"/>
  <c r="H414" i="1"/>
  <c r="L414" i="1"/>
  <c r="L516" i="1"/>
  <c r="I516" i="1"/>
  <c r="H516" i="1"/>
  <c r="I603" i="1"/>
  <c r="H603" i="1"/>
  <c r="L603" i="1"/>
  <c r="H261" i="1"/>
  <c r="I261" i="1"/>
  <c r="L261" i="1"/>
  <c r="H1041" i="1"/>
  <c r="I1041" i="1"/>
  <c r="L1041" i="1"/>
  <c r="H389" i="1"/>
  <c r="I389" i="1"/>
  <c r="L389" i="1"/>
  <c r="L465" i="1"/>
  <c r="H465" i="1"/>
  <c r="I465" i="1"/>
  <c r="I591" i="1"/>
  <c r="H591" i="1"/>
  <c r="L591" i="1"/>
  <c r="L284" i="1"/>
  <c r="I284" i="1"/>
  <c r="H284" i="1"/>
  <c r="L348" i="1"/>
  <c r="I348" i="1"/>
  <c r="H348" i="1"/>
  <c r="L412" i="1"/>
  <c r="I412" i="1"/>
  <c r="H412" i="1"/>
  <c r="L456" i="1"/>
  <c r="I456" i="1"/>
  <c r="H456" i="1"/>
  <c r="L548" i="1"/>
  <c r="I548" i="1"/>
  <c r="H548" i="1"/>
  <c r="L701" i="1"/>
  <c r="H701" i="1"/>
  <c r="I701" i="1"/>
  <c r="L907" i="1"/>
  <c r="I907" i="1"/>
  <c r="H907" i="1"/>
  <c r="L971" i="1"/>
  <c r="I971" i="1"/>
  <c r="H971" i="1"/>
  <c r="L1035" i="1"/>
  <c r="I1035" i="1"/>
  <c r="H1035" i="1"/>
  <c r="I1136" i="1"/>
  <c r="L1136" i="1"/>
  <c r="H1136" i="1"/>
  <c r="I579" i="1"/>
  <c r="L579" i="1"/>
  <c r="H579" i="1"/>
  <c r="L757" i="1"/>
  <c r="I757" i="1"/>
  <c r="H757" i="1"/>
  <c r="L1262" i="1"/>
  <c r="I1262" i="1"/>
  <c r="H1262" i="1"/>
  <c r="L503" i="1"/>
  <c r="I503" i="1"/>
  <c r="H503" i="1"/>
  <c r="I607" i="1"/>
  <c r="L607" i="1"/>
  <c r="H607" i="1"/>
  <c r="I724" i="1"/>
  <c r="H724" i="1"/>
  <c r="L724" i="1"/>
  <c r="L937" i="1"/>
  <c r="I937" i="1"/>
  <c r="H937" i="1"/>
  <c r="L1086" i="1"/>
  <c r="H1086" i="1"/>
  <c r="I1086" i="1"/>
  <c r="I478" i="1"/>
  <c r="H478" i="1"/>
  <c r="L478" i="1"/>
  <c r="L540" i="1"/>
  <c r="I540" i="1"/>
  <c r="H540" i="1"/>
  <c r="I708" i="1"/>
  <c r="H708" i="1"/>
  <c r="L708" i="1"/>
  <c r="H477" i="1"/>
  <c r="L477" i="1"/>
  <c r="I477" i="1"/>
  <c r="H578" i="1"/>
  <c r="I578" i="1"/>
  <c r="L578" i="1"/>
  <c r="H694" i="1"/>
  <c r="L694" i="1"/>
  <c r="I694" i="1"/>
  <c r="L841" i="1"/>
  <c r="H841" i="1"/>
  <c r="I841" i="1"/>
  <c r="L982" i="1"/>
  <c r="I982" i="1"/>
  <c r="H982" i="1"/>
  <c r="I1460" i="1"/>
  <c r="H1460" i="1"/>
  <c r="L1460" i="1"/>
  <c r="L2043" i="1"/>
  <c r="I2043" i="1"/>
  <c r="H2043" i="1"/>
  <c r="L1321" i="1"/>
  <c r="I1321" i="1"/>
  <c r="H1321" i="1"/>
  <c r="L615" i="1"/>
  <c r="H615" i="1"/>
  <c r="I615" i="1"/>
  <c r="L656" i="1"/>
  <c r="I656" i="1"/>
  <c r="H656" i="1"/>
  <c r="L794" i="1"/>
  <c r="I794" i="1"/>
  <c r="H794" i="1"/>
  <c r="L1137" i="1"/>
  <c r="I1137" i="1"/>
  <c r="H1137" i="1"/>
  <c r="L1043" i="1"/>
  <c r="H1043" i="1"/>
  <c r="I1043" i="1"/>
  <c r="L910" i="1"/>
  <c r="I910" i="1"/>
  <c r="H910" i="1"/>
  <c r="L1044" i="1"/>
  <c r="I1044" i="1"/>
  <c r="H1044" i="1"/>
  <c r="H1071" i="1"/>
  <c r="L1071" i="1"/>
  <c r="I1071" i="1"/>
  <c r="L622" i="1"/>
  <c r="I622" i="1"/>
  <c r="H622" i="1"/>
  <c r="I744" i="1"/>
  <c r="H744" i="1"/>
  <c r="L744" i="1"/>
  <c r="L1255" i="1"/>
  <c r="H1255" i="1"/>
  <c r="I1255" i="1"/>
  <c r="L1388" i="1"/>
  <c r="I1388" i="1"/>
  <c r="H1388" i="1"/>
  <c r="L929" i="1"/>
  <c r="H929" i="1"/>
  <c r="I929" i="1"/>
  <c r="L1416" i="1"/>
  <c r="I1416" i="1"/>
  <c r="H1416" i="1"/>
  <c r="L689" i="1"/>
  <c r="I689" i="1"/>
  <c r="H689" i="1"/>
  <c r="L869" i="1"/>
  <c r="I869" i="1"/>
  <c r="H869" i="1"/>
  <c r="L1994" i="1"/>
  <c r="H1994" i="1"/>
  <c r="I1994" i="1"/>
  <c r="L659" i="1"/>
  <c r="H659" i="1"/>
  <c r="I659" i="1"/>
  <c r="I1008" i="1"/>
  <c r="H1008" i="1"/>
  <c r="L1008" i="1"/>
  <c r="L735" i="1"/>
  <c r="I735" i="1"/>
  <c r="H735" i="1"/>
  <c r="L799" i="1"/>
  <c r="I799" i="1"/>
  <c r="H799" i="1"/>
  <c r="H863" i="1"/>
  <c r="I863" i="1"/>
  <c r="L863" i="1"/>
  <c r="H1021" i="1"/>
  <c r="I1021" i="1"/>
  <c r="L1021" i="1"/>
  <c r="L1212" i="1"/>
  <c r="I1212" i="1"/>
  <c r="H1212" i="1"/>
  <c r="L898" i="1"/>
  <c r="I898" i="1"/>
  <c r="H898" i="1"/>
  <c r="L1026" i="1"/>
  <c r="I1026" i="1"/>
  <c r="H1026" i="1"/>
  <c r="L1900" i="1"/>
  <c r="I1900" i="1"/>
  <c r="H1900" i="1"/>
  <c r="L1253" i="1"/>
  <c r="I1253" i="1"/>
  <c r="H1253" i="1"/>
  <c r="L1096" i="1"/>
  <c r="H1096" i="1"/>
  <c r="I1096" i="1"/>
  <c r="L1179" i="1"/>
  <c r="I1179" i="1"/>
  <c r="H1179" i="1"/>
  <c r="L1343" i="1"/>
  <c r="I1343" i="1"/>
  <c r="H1343" i="1"/>
  <c r="L1485" i="1"/>
  <c r="I1485" i="1"/>
  <c r="H1485" i="1"/>
  <c r="L1194" i="1"/>
  <c r="H1194" i="1"/>
  <c r="I1194" i="1"/>
  <c r="I1712" i="1"/>
  <c r="H1712" i="1"/>
  <c r="L1712" i="1"/>
  <c r="L1115" i="1"/>
  <c r="H1115" i="1"/>
  <c r="I1115" i="1"/>
  <c r="L1324" i="1"/>
  <c r="I1324" i="1"/>
  <c r="H1324" i="1"/>
  <c r="I1215" i="1"/>
  <c r="H1215" i="1"/>
  <c r="L1215" i="1"/>
  <c r="H844" i="1"/>
  <c r="L844" i="1"/>
  <c r="I844" i="1"/>
  <c r="H1275" i="1"/>
  <c r="L1275" i="1"/>
  <c r="I1275" i="1"/>
  <c r="I1338" i="1"/>
  <c r="H1338" i="1"/>
  <c r="L1338" i="1"/>
  <c r="I1402" i="1"/>
  <c r="H1402" i="1"/>
  <c r="L1402" i="1"/>
  <c r="I1648" i="1"/>
  <c r="H1648" i="1"/>
  <c r="L1648" i="1"/>
  <c r="I1527" i="1"/>
  <c r="H1527" i="1"/>
  <c r="L1527" i="1"/>
  <c r="L1329" i="1"/>
  <c r="I1329" i="1"/>
  <c r="H1329" i="1"/>
  <c r="L1816" i="1"/>
  <c r="I1816" i="1"/>
  <c r="H1816" i="1"/>
  <c r="L1010" i="1"/>
  <c r="H1010" i="1"/>
  <c r="I1010" i="1"/>
  <c r="L1482" i="1"/>
  <c r="I1482" i="1"/>
  <c r="H1482" i="1"/>
  <c r="I1551" i="1"/>
  <c r="H1551" i="1"/>
  <c r="L1551" i="1"/>
  <c r="L1638" i="1"/>
  <c r="H1638" i="1"/>
  <c r="I1638" i="1"/>
  <c r="I1720" i="1"/>
  <c r="H1720" i="1"/>
  <c r="L1720" i="1"/>
  <c r="H1636" i="1"/>
  <c r="L1636" i="1"/>
  <c r="I1636" i="1"/>
  <c r="H1513" i="1"/>
  <c r="L1513" i="1"/>
  <c r="I1513" i="1"/>
  <c r="L1641" i="1"/>
  <c r="I1641" i="1"/>
  <c r="H1641" i="1"/>
  <c r="H1011" i="1"/>
  <c r="I1011" i="1"/>
  <c r="L1011" i="1"/>
  <c r="H1693" i="1"/>
  <c r="I1693" i="1"/>
  <c r="L1693" i="1"/>
  <c r="L1650" i="1"/>
  <c r="I1650" i="1"/>
  <c r="H1650" i="1"/>
  <c r="H1871" i="1"/>
  <c r="I1871" i="1"/>
  <c r="L1871" i="1"/>
  <c r="L1975" i="1"/>
  <c r="I1975" i="1"/>
  <c r="H1975" i="1"/>
  <c r="H1868" i="1"/>
  <c r="L1868" i="1"/>
  <c r="I1868" i="1"/>
  <c r="L1905" i="1"/>
  <c r="I1905" i="1"/>
  <c r="H1905" i="1"/>
  <c r="H1866" i="1"/>
  <c r="L1866" i="1"/>
  <c r="I1866" i="1"/>
  <c r="L2011" i="1"/>
  <c r="I2011" i="1"/>
  <c r="H2011" i="1"/>
  <c r="L1743" i="1"/>
  <c r="I1743" i="1"/>
  <c r="H1743" i="1"/>
  <c r="I1759" i="1"/>
  <c r="L1759" i="1"/>
  <c r="H1759" i="1"/>
  <c r="L1775" i="1"/>
  <c r="I1775" i="1"/>
  <c r="H1775" i="1"/>
  <c r="L1783" i="1"/>
  <c r="I1783" i="1"/>
  <c r="H1783" i="1"/>
  <c r="H1799" i="1"/>
  <c r="L1799" i="1"/>
  <c r="I1799" i="1"/>
  <c r="H1823" i="1"/>
  <c r="L1823" i="1"/>
  <c r="I1823" i="1"/>
  <c r="H1839" i="1"/>
  <c r="L1839" i="1"/>
  <c r="I1839" i="1"/>
  <c r="H1855" i="1"/>
  <c r="L1855" i="1"/>
  <c r="I1855" i="1"/>
  <c r="L2116" i="1"/>
  <c r="I2116" i="1"/>
  <c r="H2116" i="1"/>
  <c r="L1937" i="1"/>
  <c r="I1937" i="1"/>
  <c r="H1937" i="1"/>
  <c r="L2046" i="1"/>
  <c r="I2046" i="1"/>
  <c r="H2046" i="1"/>
  <c r="L1946" i="1"/>
  <c r="I1946" i="1"/>
  <c r="H1946" i="1"/>
  <c r="H1949" i="1"/>
  <c r="L1949" i="1"/>
  <c r="I1949" i="1"/>
  <c r="L2018" i="1"/>
  <c r="H2018" i="1"/>
  <c r="I2018" i="1"/>
  <c r="L2045" i="1"/>
  <c r="I2045" i="1"/>
  <c r="H2045" i="1"/>
  <c r="I2158" i="1"/>
  <c r="L2158" i="1"/>
  <c r="H2158" i="1"/>
  <c r="I2146" i="1"/>
  <c r="L2146" i="1"/>
  <c r="H2146" i="1"/>
  <c r="L2274" i="1"/>
  <c r="I2274" i="1"/>
  <c r="H2274" i="1"/>
  <c r="L2173" i="1"/>
  <c r="I2173" i="1"/>
  <c r="H2173" i="1"/>
  <c r="I2098" i="1"/>
  <c r="H2098" i="1"/>
  <c r="L2098" i="1"/>
  <c r="I2114" i="1"/>
  <c r="H2114" i="1"/>
  <c r="L2114" i="1"/>
  <c r="I2155" i="1"/>
  <c r="H2155" i="1"/>
  <c r="L2155" i="1"/>
  <c r="L2240" i="1"/>
  <c r="I2240" i="1"/>
  <c r="H2240" i="1"/>
  <c r="L2272" i="1"/>
  <c r="I2272" i="1"/>
  <c r="H2272" i="1"/>
  <c r="L2300" i="1"/>
  <c r="H2300" i="1"/>
  <c r="I2300" i="1"/>
  <c r="L2261" i="1"/>
  <c r="I2261" i="1"/>
  <c r="H2261" i="1"/>
  <c r="L2184" i="1"/>
  <c r="I2184" i="1"/>
  <c r="H2184" i="1"/>
  <c r="L2200" i="1"/>
  <c r="I2200" i="1"/>
  <c r="H2200" i="1"/>
  <c r="L2216" i="1"/>
  <c r="I2216" i="1"/>
  <c r="H2216" i="1"/>
  <c r="L207" i="1"/>
  <c r="I207" i="1"/>
  <c r="H207" i="1"/>
  <c r="M431" i="1"/>
  <c r="I137" i="2"/>
  <c r="H137" i="2"/>
  <c r="L137" i="2"/>
  <c r="L253" i="2"/>
  <c r="I253" i="2"/>
  <c r="H253" i="2"/>
  <c r="L381" i="2"/>
  <c r="I381" i="2"/>
  <c r="H381" i="2"/>
  <c r="L509" i="2"/>
  <c r="I509" i="2"/>
  <c r="H509" i="2"/>
  <c r="L322" i="2"/>
  <c r="I322" i="2"/>
  <c r="H322" i="2"/>
  <c r="I164" i="2"/>
  <c r="H164" i="2"/>
  <c r="L164" i="2"/>
  <c r="L295" i="2"/>
  <c r="I295" i="2"/>
  <c r="H295" i="2"/>
  <c r="L359" i="2"/>
  <c r="I359" i="2"/>
  <c r="H359" i="2"/>
  <c r="L487" i="2"/>
  <c r="I487" i="2"/>
  <c r="H487" i="2"/>
  <c r="L290" i="2"/>
  <c r="I290" i="2"/>
  <c r="H290" i="2"/>
  <c r="I155" i="2"/>
  <c r="L155" i="2"/>
  <c r="H155" i="2"/>
  <c r="L284" i="2"/>
  <c r="I284" i="2"/>
  <c r="H284" i="2"/>
  <c r="L412" i="2"/>
  <c r="I412" i="2"/>
  <c r="H412" i="2"/>
  <c r="M113" i="2"/>
  <c r="N113" i="2"/>
  <c r="O113" i="2"/>
  <c r="M33" i="2"/>
  <c r="O33" i="2"/>
  <c r="N33" i="2"/>
  <c r="M2" i="1"/>
  <c r="O2" i="1"/>
  <c r="N2" i="1"/>
  <c r="L441" i="2"/>
  <c r="I441" i="2"/>
  <c r="H441" i="2"/>
  <c r="M201" i="2"/>
  <c r="N201" i="2"/>
  <c r="O201" i="2"/>
  <c r="M280" i="2"/>
  <c r="L563" i="2"/>
  <c r="I563" i="2"/>
  <c r="H563" i="2"/>
  <c r="L421" i="2"/>
  <c r="I421" i="2"/>
  <c r="H421" i="2"/>
  <c r="L403" i="2"/>
  <c r="I403" i="2"/>
  <c r="H403" i="2"/>
  <c r="L219" i="2"/>
  <c r="I219" i="2"/>
  <c r="H219" i="2"/>
  <c r="L275" i="2"/>
  <c r="I275" i="2"/>
  <c r="H275" i="2"/>
  <c r="I180" i="2"/>
  <c r="H180" i="2"/>
  <c r="L180" i="2"/>
  <c r="L100" i="2"/>
  <c r="H100" i="2"/>
  <c r="I100" i="2"/>
  <c r="O5" i="2"/>
  <c r="N5" i="2"/>
  <c r="M5" i="2"/>
  <c r="O393" i="1"/>
  <c r="N464" i="2"/>
  <c r="O464" i="2"/>
  <c r="M464" i="2"/>
  <c r="M34" i="2"/>
  <c r="O34" i="2"/>
  <c r="N34" i="2"/>
  <c r="O243" i="1"/>
  <c r="M209" i="2"/>
  <c r="O209" i="2"/>
  <c r="N209" i="2"/>
  <c r="L385" i="1"/>
  <c r="I385" i="1"/>
  <c r="H385" i="1"/>
  <c r="L202" i="1"/>
  <c r="I202" i="1"/>
  <c r="H202" i="1"/>
  <c r="L240" i="1"/>
  <c r="I240" i="1"/>
  <c r="H240" i="1"/>
  <c r="L314" i="1"/>
  <c r="I314" i="1"/>
  <c r="H314" i="1"/>
  <c r="L441" i="1"/>
  <c r="I441" i="1"/>
  <c r="H441" i="1"/>
  <c r="H454" i="1"/>
  <c r="L454" i="1"/>
  <c r="I454" i="1"/>
  <c r="L177" i="1"/>
  <c r="H177" i="1"/>
  <c r="I177" i="1"/>
  <c r="L328" i="1"/>
  <c r="I328" i="1"/>
  <c r="H328" i="1"/>
  <c r="H10" i="1"/>
  <c r="L10" i="1"/>
  <c r="I10" i="1"/>
  <c r="H26" i="1"/>
  <c r="L26" i="1"/>
  <c r="I26" i="1"/>
  <c r="H42" i="1"/>
  <c r="L42" i="1"/>
  <c r="I42" i="1"/>
  <c r="H58" i="1"/>
  <c r="L58" i="1"/>
  <c r="I58" i="1"/>
  <c r="H74" i="1"/>
  <c r="L74" i="1"/>
  <c r="I74" i="1"/>
  <c r="H90" i="1"/>
  <c r="L90" i="1"/>
  <c r="I90" i="1"/>
  <c r="H106" i="1"/>
  <c r="L106" i="1"/>
  <c r="I106" i="1"/>
  <c r="H143" i="1"/>
  <c r="L143" i="1"/>
  <c r="I143" i="1"/>
  <c r="L271" i="1"/>
  <c r="I271" i="1"/>
  <c r="H271" i="1"/>
  <c r="L399" i="1"/>
  <c r="I399" i="1"/>
  <c r="H399" i="1"/>
  <c r="L983" i="1"/>
  <c r="I983" i="1"/>
  <c r="H983" i="1"/>
  <c r="I358" i="1"/>
  <c r="H358" i="1"/>
  <c r="L358" i="1"/>
  <c r="I519" i="1"/>
  <c r="L519" i="1"/>
  <c r="H519" i="1"/>
  <c r="H269" i="1"/>
  <c r="L269" i="1"/>
  <c r="I269" i="1"/>
  <c r="L467" i="1"/>
  <c r="H467" i="1"/>
  <c r="I467" i="1"/>
  <c r="L292" i="1"/>
  <c r="I292" i="1"/>
  <c r="H292" i="1"/>
  <c r="L420" i="1"/>
  <c r="I420" i="1"/>
  <c r="H420" i="1"/>
  <c r="I830" i="1"/>
  <c r="L830" i="1"/>
  <c r="H830" i="1"/>
  <c r="H916" i="1"/>
  <c r="L916" i="1"/>
  <c r="I916" i="1"/>
  <c r="L1074" i="1"/>
  <c r="H1074" i="1"/>
  <c r="I1074" i="1"/>
  <c r="L588" i="1"/>
  <c r="I588" i="1"/>
  <c r="H588" i="1"/>
  <c r="L1404" i="1"/>
  <c r="I1404" i="1"/>
  <c r="H1404" i="1"/>
  <c r="I609" i="1"/>
  <c r="H609" i="1"/>
  <c r="L609" i="1"/>
  <c r="L1974" i="1"/>
  <c r="I1974" i="1"/>
  <c r="H1974" i="1"/>
  <c r="I486" i="1"/>
  <c r="H486" i="1"/>
  <c r="L486" i="1"/>
  <c r="L733" i="1"/>
  <c r="H733" i="1"/>
  <c r="I733" i="1"/>
  <c r="I587" i="1"/>
  <c r="H587" i="1"/>
  <c r="L587" i="1"/>
  <c r="L866" i="1"/>
  <c r="I866" i="1"/>
  <c r="H866" i="1"/>
  <c r="L445" i="1"/>
  <c r="I445" i="1"/>
  <c r="H445" i="1"/>
  <c r="I571" i="1"/>
  <c r="L571" i="1"/>
  <c r="H571" i="1"/>
  <c r="L1363" i="1"/>
  <c r="I1363" i="1"/>
  <c r="H1363" i="1"/>
  <c r="H620" i="1"/>
  <c r="L620" i="1"/>
  <c r="I620" i="1"/>
  <c r="I1500" i="1"/>
  <c r="H1500" i="1"/>
  <c r="L1500" i="1"/>
  <c r="L117" i="1"/>
  <c r="I117" i="1"/>
  <c r="H117" i="1"/>
  <c r="L1619" i="1"/>
  <c r="I1619" i="1"/>
  <c r="H1619" i="1"/>
  <c r="L749" i="1"/>
  <c r="H749" i="1"/>
  <c r="I749" i="1"/>
  <c r="L99" i="1"/>
  <c r="I99" i="1"/>
  <c r="H99" i="1"/>
  <c r="L1126" i="1"/>
  <c r="H1126" i="1"/>
  <c r="I1126" i="1"/>
  <c r="L513" i="1"/>
  <c r="I513" i="1"/>
  <c r="H513" i="1"/>
  <c r="I631" i="1"/>
  <c r="L631" i="1"/>
  <c r="H631" i="1"/>
  <c r="I746" i="1"/>
  <c r="L746" i="1"/>
  <c r="H746" i="1"/>
  <c r="L556" i="1"/>
  <c r="H556" i="1"/>
  <c r="I556" i="1"/>
  <c r="L1443" i="1"/>
  <c r="I1443" i="1"/>
  <c r="H1443" i="1"/>
  <c r="L931" i="1"/>
  <c r="I931" i="1"/>
  <c r="H931" i="1"/>
  <c r="L1164" i="1"/>
  <c r="I1164" i="1"/>
  <c r="H1164" i="1"/>
  <c r="L1420" i="1"/>
  <c r="H1420" i="1"/>
  <c r="I1420" i="1"/>
  <c r="I1675" i="1"/>
  <c r="H1675" i="1"/>
  <c r="L1675" i="1"/>
  <c r="L880" i="1"/>
  <c r="I880" i="1"/>
  <c r="H880" i="1"/>
  <c r="L1154" i="1"/>
  <c r="I1154" i="1"/>
  <c r="H1154" i="1"/>
  <c r="H1431" i="1"/>
  <c r="L1431" i="1"/>
  <c r="I1431" i="1"/>
  <c r="I1016" i="1"/>
  <c r="H1016" i="1"/>
  <c r="L1016" i="1"/>
  <c r="L707" i="1"/>
  <c r="H707" i="1"/>
  <c r="I707" i="1"/>
  <c r="L771" i="1"/>
  <c r="H771" i="1"/>
  <c r="I771" i="1"/>
  <c r="H867" i="1"/>
  <c r="L867" i="1"/>
  <c r="I867" i="1"/>
  <c r="H965" i="1"/>
  <c r="L965" i="1"/>
  <c r="I965" i="1"/>
  <c r="L1093" i="1"/>
  <c r="H1093" i="1"/>
  <c r="I1093" i="1"/>
  <c r="L1379" i="1"/>
  <c r="I1379" i="1"/>
  <c r="H1379" i="1"/>
  <c r="I970" i="1"/>
  <c r="H970" i="1"/>
  <c r="L970" i="1"/>
  <c r="L1288" i="1"/>
  <c r="I1288" i="1"/>
  <c r="H1288" i="1"/>
  <c r="L1182" i="1"/>
  <c r="I1182" i="1"/>
  <c r="H1182" i="1"/>
  <c r="I1575" i="1"/>
  <c r="L1575" i="1"/>
  <c r="H1575" i="1"/>
  <c r="L1100" i="1"/>
  <c r="H1100" i="1"/>
  <c r="I1100" i="1"/>
  <c r="L1187" i="1"/>
  <c r="I1187" i="1"/>
  <c r="H1187" i="1"/>
  <c r="L616" i="1"/>
  <c r="I616" i="1"/>
  <c r="H616" i="1"/>
  <c r="L1531" i="1"/>
  <c r="I1531" i="1"/>
  <c r="H1531" i="1"/>
  <c r="L1144" i="1"/>
  <c r="I1144" i="1"/>
  <c r="H1144" i="1"/>
  <c r="L1293" i="1"/>
  <c r="H1293" i="1"/>
  <c r="I1293" i="1"/>
  <c r="L1087" i="1"/>
  <c r="H1087" i="1"/>
  <c r="I1087" i="1"/>
  <c r="L1165" i="1"/>
  <c r="I1165" i="1"/>
  <c r="H1165" i="1"/>
  <c r="L1328" i="1"/>
  <c r="I1328" i="1"/>
  <c r="H1328" i="1"/>
  <c r="L1635" i="1"/>
  <c r="I1635" i="1"/>
  <c r="H1635" i="1"/>
  <c r="L1595" i="1"/>
  <c r="I1595" i="1"/>
  <c r="H1595" i="1"/>
  <c r="H1247" i="1"/>
  <c r="L1247" i="1"/>
  <c r="I1247" i="1"/>
  <c r="I1311" i="1"/>
  <c r="H1311" i="1"/>
  <c r="L1311" i="1"/>
  <c r="I1406" i="1"/>
  <c r="H1406" i="1"/>
  <c r="L1406" i="1"/>
  <c r="L1667" i="1"/>
  <c r="I1667" i="1"/>
  <c r="H1667" i="1"/>
  <c r="I1536" i="1"/>
  <c r="H1536" i="1"/>
  <c r="L1536" i="1"/>
  <c r="L1333" i="1"/>
  <c r="I1333" i="1"/>
  <c r="H1333" i="1"/>
  <c r="L1397" i="1"/>
  <c r="I1397" i="1"/>
  <c r="H1397" i="1"/>
  <c r="L1700" i="1"/>
  <c r="H1700" i="1"/>
  <c r="I1700" i="1"/>
  <c r="I1380" i="1"/>
  <c r="H1380" i="1"/>
  <c r="L1380" i="1"/>
  <c r="L1558" i="1"/>
  <c r="H1558" i="1"/>
  <c r="I1558" i="1"/>
  <c r="I1640" i="1"/>
  <c r="H1640" i="1"/>
  <c r="L1640" i="1"/>
  <c r="H1524" i="1"/>
  <c r="L1524" i="1"/>
  <c r="I1524" i="1"/>
  <c r="L1459" i="1"/>
  <c r="I1459" i="1"/>
  <c r="H1459" i="1"/>
  <c r="L1649" i="1"/>
  <c r="I1649" i="1"/>
  <c r="H1649" i="1"/>
  <c r="H1573" i="1"/>
  <c r="L1573" i="1"/>
  <c r="I1573" i="1"/>
  <c r="H1701" i="1"/>
  <c r="L1701" i="1"/>
  <c r="I1701" i="1"/>
  <c r="L1530" i="1"/>
  <c r="I1530" i="1"/>
  <c r="H1530" i="1"/>
  <c r="L1658" i="1"/>
  <c r="I1658" i="1"/>
  <c r="H1658" i="1"/>
  <c r="L1722" i="1"/>
  <c r="I1722" i="1"/>
  <c r="H1722" i="1"/>
  <c r="I2124" i="1"/>
  <c r="L2124" i="1"/>
  <c r="H2124" i="1"/>
  <c r="H1870" i="1"/>
  <c r="L1870" i="1"/>
  <c r="I1870" i="1"/>
  <c r="L1983" i="1"/>
  <c r="I1983" i="1"/>
  <c r="H1983" i="1"/>
  <c r="L1964" i="1"/>
  <c r="I1964" i="1"/>
  <c r="H1964" i="1"/>
  <c r="L1875" i="1"/>
  <c r="H1875" i="1"/>
  <c r="I1875" i="1"/>
  <c r="L1891" i="1"/>
  <c r="I1891" i="1"/>
  <c r="H1891" i="1"/>
  <c r="L1907" i="1"/>
  <c r="I1907" i="1"/>
  <c r="H1907" i="1"/>
  <c r="L1976" i="1"/>
  <c r="I1976" i="1"/>
  <c r="H1976" i="1"/>
  <c r="L1874" i="1"/>
  <c r="H1874" i="1"/>
  <c r="I1874" i="1"/>
  <c r="L2014" i="1"/>
  <c r="I2014" i="1"/>
  <c r="H2014" i="1"/>
  <c r="H1736" i="1"/>
  <c r="L1736" i="1"/>
  <c r="I1736" i="1"/>
  <c r="L1744" i="1"/>
  <c r="I1744" i="1"/>
  <c r="H1744" i="1"/>
  <c r="I1752" i="1"/>
  <c r="H1752" i="1"/>
  <c r="L1752" i="1"/>
  <c r="I1760" i="1"/>
  <c r="H1760" i="1"/>
  <c r="L1760" i="1"/>
  <c r="I1768" i="1"/>
  <c r="L1768" i="1"/>
  <c r="H1768" i="1"/>
  <c r="I1776" i="1"/>
  <c r="L1776" i="1"/>
  <c r="H1776" i="1"/>
  <c r="I1784" i="1"/>
  <c r="L1784" i="1"/>
  <c r="H1784" i="1"/>
  <c r="I1792" i="1"/>
  <c r="L1792" i="1"/>
  <c r="H1792" i="1"/>
  <c r="I1800" i="1"/>
  <c r="L1800" i="1"/>
  <c r="H1800" i="1"/>
  <c r="L1808" i="1"/>
  <c r="I1808" i="1"/>
  <c r="H1808" i="1"/>
  <c r="L2276" i="1"/>
  <c r="I2276" i="1"/>
  <c r="H2276" i="1"/>
  <c r="L1824" i="1"/>
  <c r="I1824" i="1"/>
  <c r="H1824" i="1"/>
  <c r="L1832" i="1"/>
  <c r="I1832" i="1"/>
  <c r="H1832" i="1"/>
  <c r="L1012" i="1"/>
  <c r="I1012" i="1"/>
  <c r="H1012" i="1"/>
  <c r="L1848" i="1"/>
  <c r="I1848" i="1"/>
  <c r="H1848" i="1"/>
  <c r="L1856" i="1"/>
  <c r="I1856" i="1"/>
  <c r="H1856" i="1"/>
  <c r="H1864" i="1"/>
  <c r="L1864" i="1"/>
  <c r="I1864" i="1"/>
  <c r="L1922" i="1"/>
  <c r="I1922" i="1"/>
  <c r="H1922" i="1"/>
  <c r="L1930" i="1"/>
  <c r="I1930" i="1"/>
  <c r="H1930" i="1"/>
  <c r="L1938" i="1"/>
  <c r="I1938" i="1"/>
  <c r="H1938" i="1"/>
  <c r="L2032" i="1"/>
  <c r="I2032" i="1"/>
  <c r="H2032" i="1"/>
  <c r="L2048" i="1"/>
  <c r="I2048" i="1"/>
  <c r="H2048" i="1"/>
  <c r="L110" i="1"/>
  <c r="I110" i="1"/>
  <c r="H110" i="1"/>
  <c r="L1942" i="1"/>
  <c r="I1942" i="1"/>
  <c r="H1942" i="1"/>
  <c r="L1982" i="1"/>
  <c r="I1982" i="1"/>
  <c r="H1982" i="1"/>
  <c r="L2016" i="1"/>
  <c r="I2016" i="1"/>
  <c r="H2016" i="1"/>
  <c r="H2291" i="1"/>
  <c r="I2291" i="1"/>
  <c r="L2291" i="1"/>
  <c r="H1985" i="1"/>
  <c r="I1985" i="1"/>
  <c r="L1985" i="1"/>
  <c r="I2082" i="1"/>
  <c r="L2082" i="1"/>
  <c r="H2082" i="1"/>
  <c r="L2031" i="1"/>
  <c r="I2031" i="1"/>
  <c r="H2031" i="1"/>
  <c r="L2047" i="1"/>
  <c r="I2047" i="1"/>
  <c r="H2047" i="1"/>
  <c r="L2063" i="1"/>
  <c r="I2063" i="1"/>
  <c r="H2063" i="1"/>
  <c r="L2168" i="1"/>
  <c r="I2168" i="1"/>
  <c r="H2168" i="1"/>
  <c r="L2172" i="1"/>
  <c r="I2172" i="1"/>
  <c r="H2172" i="1"/>
  <c r="I1019" i="1"/>
  <c r="L1019" i="1"/>
  <c r="H1019" i="1"/>
  <c r="I2141" i="1"/>
  <c r="L2141" i="1"/>
  <c r="H2141" i="1"/>
  <c r="I2122" i="1"/>
  <c r="L2122" i="1"/>
  <c r="H2122" i="1"/>
  <c r="I2148" i="1"/>
  <c r="L2148" i="1"/>
  <c r="H2148" i="1"/>
  <c r="L2250" i="1"/>
  <c r="I2250" i="1"/>
  <c r="H2250" i="1"/>
  <c r="I2091" i="1"/>
  <c r="H2091" i="1"/>
  <c r="L2091" i="1"/>
  <c r="I2099" i="1"/>
  <c r="H2099" i="1"/>
  <c r="L2099" i="1"/>
  <c r="I2107" i="1"/>
  <c r="H2107" i="1"/>
  <c r="L2107" i="1"/>
  <c r="I2115" i="1"/>
  <c r="H2115" i="1"/>
  <c r="L2115" i="1"/>
  <c r="I2127" i="1"/>
  <c r="H2127" i="1"/>
  <c r="L2127" i="1"/>
  <c r="I2164" i="1"/>
  <c r="H2164" i="1"/>
  <c r="L2164" i="1"/>
  <c r="L2286" i="1"/>
  <c r="H2286" i="1"/>
  <c r="I2286" i="1"/>
  <c r="L2244" i="1"/>
  <c r="I2244" i="1"/>
  <c r="H2244" i="1"/>
  <c r="L1365" i="1"/>
  <c r="I1365" i="1"/>
  <c r="H1365" i="1"/>
  <c r="L2235" i="1"/>
  <c r="I2235" i="1"/>
  <c r="H2235" i="1"/>
  <c r="L2220" i="1"/>
  <c r="I2220" i="1"/>
  <c r="H2220" i="1"/>
  <c r="L2247" i="1"/>
  <c r="I2247" i="1"/>
  <c r="H2247" i="1"/>
  <c r="L2263" i="1"/>
  <c r="I2263" i="1"/>
  <c r="H2263" i="1"/>
  <c r="L2279" i="1"/>
  <c r="H2279" i="1"/>
  <c r="I2279" i="1"/>
  <c r="I1840" i="1"/>
  <c r="H1840" i="1"/>
  <c r="L1840" i="1"/>
  <c r="H2185" i="1"/>
  <c r="I2185" i="1"/>
  <c r="L2185" i="1"/>
  <c r="H2193" i="1"/>
  <c r="L2193" i="1"/>
  <c r="I2193" i="1"/>
  <c r="I2201" i="1"/>
  <c r="H2201" i="1"/>
  <c r="L2201" i="1"/>
  <c r="I1857" i="1"/>
  <c r="H1857" i="1"/>
  <c r="L1857" i="1"/>
  <c r="I2217" i="1"/>
  <c r="H2217" i="1"/>
  <c r="L2217" i="1"/>
  <c r="L2301" i="1"/>
  <c r="H2301" i="1"/>
  <c r="I2301" i="1"/>
  <c r="L1258" i="1"/>
  <c r="H1258" i="1"/>
  <c r="I1258" i="1"/>
  <c r="L253" i="1"/>
  <c r="H253" i="1"/>
  <c r="I253" i="1"/>
  <c r="N780" i="1"/>
  <c r="L208" i="2"/>
  <c r="I208" i="2"/>
  <c r="H208" i="2"/>
  <c r="L102" i="2"/>
  <c r="H102" i="2"/>
  <c r="I102" i="2"/>
  <c r="L325" i="2"/>
  <c r="I325" i="2"/>
  <c r="H325" i="2"/>
  <c r="L453" i="2"/>
  <c r="I453" i="2"/>
  <c r="H453" i="2"/>
  <c r="L234" i="2"/>
  <c r="I234" i="2"/>
  <c r="H234" i="2"/>
  <c r="L410" i="2"/>
  <c r="I410" i="2"/>
  <c r="H410" i="2"/>
  <c r="L476" i="2"/>
  <c r="I476" i="2"/>
  <c r="H476" i="2"/>
  <c r="L431" i="2"/>
  <c r="I431" i="2"/>
  <c r="H431" i="2"/>
  <c r="L495" i="2"/>
  <c r="I495" i="2"/>
  <c r="H495" i="2"/>
  <c r="L362" i="2"/>
  <c r="I362" i="2"/>
  <c r="H362" i="2"/>
  <c r="I163" i="2"/>
  <c r="H163" i="2"/>
  <c r="L163" i="2"/>
  <c r="L292" i="2"/>
  <c r="I292" i="2"/>
  <c r="H292" i="2"/>
  <c r="L356" i="2"/>
  <c r="I356" i="2"/>
  <c r="H356" i="2"/>
  <c r="L420" i="2"/>
  <c r="I420" i="2"/>
  <c r="H420" i="2"/>
  <c r="L484" i="2"/>
  <c r="I484" i="2"/>
  <c r="H484" i="2"/>
  <c r="N536" i="2"/>
  <c r="O536" i="2"/>
  <c r="M536" i="2"/>
  <c r="O214" i="2"/>
  <c r="N214" i="2"/>
  <c r="M214" i="2"/>
  <c r="M361" i="1"/>
  <c r="O361" i="1"/>
  <c r="N361" i="1"/>
  <c r="N195" i="2"/>
  <c r="M195" i="2"/>
  <c r="O195" i="2"/>
  <c r="M424" i="2"/>
  <c r="N424" i="2"/>
  <c r="O424" i="2"/>
  <c r="M43" i="2"/>
  <c r="O43" i="2"/>
  <c r="N43" i="2"/>
  <c r="L561" i="2"/>
  <c r="I561" i="2"/>
  <c r="H561" i="2"/>
  <c r="L475" i="2"/>
  <c r="I475" i="2"/>
  <c r="H475" i="2"/>
  <c r="L433" i="2"/>
  <c r="I433" i="2"/>
  <c r="H433" i="2"/>
  <c r="L369" i="2"/>
  <c r="I369" i="2"/>
  <c r="H369" i="2"/>
  <c r="M273" i="2"/>
  <c r="N273" i="2"/>
  <c r="O273" i="2"/>
  <c r="M105" i="2"/>
  <c r="O105" i="2"/>
  <c r="N105" i="2"/>
  <c r="M66" i="2"/>
  <c r="N66" i="2"/>
  <c r="O66" i="2"/>
  <c r="O298" i="2"/>
  <c r="N298" i="2"/>
  <c r="M298" i="2"/>
  <c r="O224" i="2"/>
  <c r="N224" i="2"/>
  <c r="M224" i="2"/>
  <c r="M63" i="2"/>
  <c r="O63" i="2"/>
  <c r="N63" i="2"/>
  <c r="L558" i="2"/>
  <c r="I558" i="2"/>
  <c r="H558" i="2"/>
  <c r="L526" i="2"/>
  <c r="I526" i="2"/>
  <c r="H526" i="2"/>
  <c r="L494" i="2"/>
  <c r="I494" i="2"/>
  <c r="H494" i="2"/>
  <c r="L462" i="2"/>
  <c r="I462" i="2"/>
  <c r="H462" i="2"/>
  <c r="L430" i="2"/>
  <c r="I430" i="2"/>
  <c r="H430" i="2"/>
  <c r="L398" i="2"/>
  <c r="I398" i="2"/>
  <c r="H398" i="2"/>
  <c r="L366" i="2"/>
  <c r="I366" i="2"/>
  <c r="H366" i="2"/>
  <c r="L334" i="2"/>
  <c r="I334" i="2"/>
  <c r="H334" i="2"/>
  <c r="L302" i="2"/>
  <c r="I302" i="2"/>
  <c r="H302" i="2"/>
  <c r="L270" i="2"/>
  <c r="I270" i="2"/>
  <c r="H270" i="2"/>
  <c r="L238" i="2"/>
  <c r="I238" i="2"/>
  <c r="H238" i="2"/>
  <c r="I177" i="2"/>
  <c r="L177" i="2"/>
  <c r="H177" i="2"/>
  <c r="I128" i="2"/>
  <c r="L128" i="2"/>
  <c r="H128" i="2"/>
  <c r="L92" i="2"/>
  <c r="H92" i="2"/>
  <c r="I92" i="2"/>
  <c r="L122" i="2"/>
  <c r="H122" i="2"/>
  <c r="I122" i="2"/>
  <c r="I2" i="2"/>
  <c r="H2" i="2"/>
  <c r="L2" i="2"/>
  <c r="N432" i="2"/>
  <c r="O432" i="2"/>
  <c r="M432" i="2"/>
  <c r="O147" i="1"/>
  <c r="M147" i="1"/>
  <c r="N147" i="1"/>
  <c r="O552" i="2"/>
  <c r="M111" i="2"/>
  <c r="O111" i="2"/>
  <c r="N111" i="2"/>
  <c r="N186" i="2"/>
  <c r="M186" i="2"/>
  <c r="O186" i="2"/>
  <c r="M16" i="2"/>
  <c r="O16" i="2"/>
  <c r="N16" i="2"/>
  <c r="M27" i="2"/>
  <c r="N27" i="2"/>
  <c r="O27" i="2"/>
  <c r="O1191" i="1"/>
  <c r="N1191" i="1"/>
  <c r="M1191" i="1"/>
  <c r="O119" i="2"/>
  <c r="M339" i="2"/>
  <c r="O339" i="2"/>
  <c r="N339" i="2"/>
  <c r="M64" i="2"/>
  <c r="N64" i="2"/>
  <c r="O64" i="2"/>
  <c r="M24" i="2"/>
  <c r="O24" i="2"/>
  <c r="N24" i="2"/>
  <c r="I483" i="1"/>
  <c r="L483" i="1"/>
  <c r="H483" i="1"/>
  <c r="I379" i="1"/>
  <c r="L379" i="1"/>
  <c r="H379" i="1"/>
  <c r="L315" i="1"/>
  <c r="I315" i="1"/>
  <c r="H315" i="1"/>
  <c r="L180" i="1"/>
  <c r="H180" i="1"/>
  <c r="I180" i="1"/>
  <c r="L174" i="1"/>
  <c r="I174" i="1"/>
  <c r="H174" i="1"/>
  <c r="L206" i="1"/>
  <c r="I206" i="1"/>
  <c r="H206" i="1"/>
  <c r="L226" i="1"/>
  <c r="I226" i="1"/>
  <c r="H226" i="1"/>
  <c r="L242" i="1"/>
  <c r="I242" i="1"/>
  <c r="H242" i="1"/>
  <c r="L258" i="1"/>
  <c r="I258" i="1"/>
  <c r="H258" i="1"/>
  <c r="L322" i="1"/>
  <c r="I322" i="1"/>
  <c r="H322" i="1"/>
  <c r="L386" i="1"/>
  <c r="I386" i="1"/>
  <c r="H386" i="1"/>
  <c r="L450" i="1"/>
  <c r="I450" i="1"/>
  <c r="H450" i="1"/>
  <c r="I129" i="1"/>
  <c r="H129" i="1"/>
  <c r="L129" i="1"/>
  <c r="H283" i="1"/>
  <c r="L283" i="1"/>
  <c r="I283" i="1"/>
  <c r="H128" i="1"/>
  <c r="I128" i="1"/>
  <c r="L128" i="1"/>
  <c r="L181" i="1"/>
  <c r="H181" i="1"/>
  <c r="I181" i="1"/>
  <c r="L272" i="1"/>
  <c r="I272" i="1"/>
  <c r="H272" i="1"/>
  <c r="L336" i="1"/>
  <c r="I336" i="1"/>
  <c r="H336" i="1"/>
  <c r="L400" i="1"/>
  <c r="I400" i="1"/>
  <c r="H400" i="1"/>
  <c r="L11" i="1"/>
  <c r="H11" i="1"/>
  <c r="I11" i="1"/>
  <c r="L19" i="1"/>
  <c r="I19" i="1"/>
  <c r="H19" i="1"/>
  <c r="L27" i="1"/>
  <c r="I27" i="1"/>
  <c r="H27" i="1"/>
  <c r="L35" i="1"/>
  <c r="I35" i="1"/>
  <c r="H35" i="1"/>
  <c r="L43" i="1"/>
  <c r="H43" i="1"/>
  <c r="I43" i="1"/>
  <c r="L51" i="1"/>
  <c r="H51" i="1"/>
  <c r="I51" i="1"/>
  <c r="L59" i="1"/>
  <c r="I59" i="1"/>
  <c r="H59" i="1"/>
  <c r="L67" i="1"/>
  <c r="H67" i="1"/>
  <c r="I67" i="1"/>
  <c r="L75" i="1"/>
  <c r="I75" i="1"/>
  <c r="H75" i="1"/>
  <c r="L83" i="1"/>
  <c r="H83" i="1"/>
  <c r="I83" i="1"/>
  <c r="L91" i="1"/>
  <c r="I91" i="1"/>
  <c r="H91" i="1"/>
  <c r="L2039" i="1"/>
  <c r="I2039" i="1"/>
  <c r="H2039" i="1"/>
  <c r="L107" i="1"/>
  <c r="H107" i="1"/>
  <c r="I107" i="1"/>
  <c r="L115" i="1"/>
  <c r="I115" i="1"/>
  <c r="H115" i="1"/>
  <c r="I151" i="1"/>
  <c r="H151" i="1"/>
  <c r="L151" i="1"/>
  <c r="H634" i="1"/>
  <c r="L634" i="1"/>
  <c r="I634" i="1"/>
  <c r="L279" i="1"/>
  <c r="I279" i="1"/>
  <c r="H279" i="1"/>
  <c r="L343" i="1"/>
  <c r="I343" i="1"/>
  <c r="H343" i="1"/>
  <c r="L407" i="1"/>
  <c r="I407" i="1"/>
  <c r="H407" i="1"/>
  <c r="L482" i="1"/>
  <c r="I482" i="1"/>
  <c r="H482" i="1"/>
  <c r="L1015" i="1"/>
  <c r="I1015" i="1"/>
  <c r="H1015" i="1"/>
  <c r="I302" i="1"/>
  <c r="H302" i="1"/>
  <c r="L302" i="1"/>
  <c r="I366" i="1"/>
  <c r="H366" i="1"/>
  <c r="L366" i="1"/>
  <c r="H430" i="1"/>
  <c r="L430" i="1"/>
  <c r="I430" i="1"/>
  <c r="H538" i="1"/>
  <c r="L538" i="1"/>
  <c r="I538" i="1"/>
  <c r="I655" i="1"/>
  <c r="H655" i="1"/>
  <c r="L655" i="1"/>
  <c r="H277" i="1"/>
  <c r="I277" i="1"/>
  <c r="L277" i="1"/>
  <c r="H341" i="1"/>
  <c r="I341" i="1"/>
  <c r="L341" i="1"/>
  <c r="H405" i="1"/>
  <c r="I405" i="1"/>
  <c r="L405" i="1"/>
  <c r="L480" i="1"/>
  <c r="I480" i="1"/>
  <c r="H480" i="1"/>
  <c r="L801" i="1"/>
  <c r="I801" i="1"/>
  <c r="H801" i="1"/>
  <c r="L300" i="1"/>
  <c r="I300" i="1"/>
  <c r="H300" i="1"/>
  <c r="L364" i="1"/>
  <c r="I364" i="1"/>
  <c r="H364" i="1"/>
  <c r="L428" i="1"/>
  <c r="I428" i="1"/>
  <c r="H428" i="1"/>
  <c r="H666" i="1"/>
  <c r="I666" i="1"/>
  <c r="L666" i="1"/>
  <c r="L564" i="1"/>
  <c r="I564" i="1"/>
  <c r="H564" i="1"/>
  <c r="L765" i="1"/>
  <c r="H765" i="1"/>
  <c r="I765" i="1"/>
  <c r="L1046" i="1"/>
  <c r="I1046" i="1"/>
  <c r="H1046" i="1"/>
  <c r="L987" i="1"/>
  <c r="I987" i="1"/>
  <c r="H987" i="1"/>
  <c r="L1089" i="1"/>
  <c r="H1089" i="1"/>
  <c r="I1089" i="1"/>
  <c r="I531" i="1"/>
  <c r="L531" i="1"/>
  <c r="H531" i="1"/>
  <c r="L600" i="1"/>
  <c r="I600" i="1"/>
  <c r="H600" i="1"/>
  <c r="H782" i="1"/>
  <c r="L782" i="1"/>
  <c r="I782" i="1"/>
  <c r="I2150" i="1"/>
  <c r="L2150" i="1"/>
  <c r="H2150" i="1"/>
  <c r="H1410" i="1"/>
  <c r="L1410" i="1"/>
  <c r="I1410" i="1"/>
  <c r="I623" i="1"/>
  <c r="H623" i="1"/>
  <c r="L623" i="1"/>
  <c r="L769" i="1"/>
  <c r="I769" i="1"/>
  <c r="H769" i="1"/>
  <c r="L969" i="1"/>
  <c r="I969" i="1"/>
  <c r="H969" i="1"/>
  <c r="L1159" i="1"/>
  <c r="I1159" i="1"/>
  <c r="H1159" i="1"/>
  <c r="I494" i="1"/>
  <c r="H494" i="1"/>
  <c r="L494" i="1"/>
  <c r="L438" i="1"/>
  <c r="I438" i="1"/>
  <c r="H438" i="1"/>
  <c r="I772" i="1"/>
  <c r="H772" i="1"/>
  <c r="L772" i="1"/>
  <c r="H493" i="1"/>
  <c r="L493" i="1"/>
  <c r="I493" i="1"/>
  <c r="I599" i="1"/>
  <c r="H599" i="1"/>
  <c r="L599" i="1"/>
  <c r="I722" i="1"/>
  <c r="H722" i="1"/>
  <c r="L722" i="1"/>
  <c r="L884" i="1"/>
  <c r="I884" i="1"/>
  <c r="H884" i="1"/>
  <c r="L1014" i="1"/>
  <c r="I1014" i="1"/>
  <c r="H1014" i="1"/>
  <c r="L453" i="1"/>
  <c r="I453" i="1"/>
  <c r="H453" i="1"/>
  <c r="L520" i="1"/>
  <c r="I520" i="1"/>
  <c r="H520" i="1"/>
  <c r="L584" i="1"/>
  <c r="I584" i="1"/>
  <c r="H584" i="1"/>
  <c r="H814" i="1"/>
  <c r="L814" i="1"/>
  <c r="I814" i="1"/>
  <c r="L1395" i="1"/>
  <c r="I1395" i="1"/>
  <c r="H1395" i="1"/>
  <c r="H565" i="1"/>
  <c r="L565" i="1"/>
  <c r="I565" i="1"/>
  <c r="L624" i="1"/>
  <c r="H624" i="1"/>
  <c r="I624" i="1"/>
  <c r="L665" i="1"/>
  <c r="I665" i="1"/>
  <c r="H665" i="1"/>
  <c r="L730" i="1"/>
  <c r="I730" i="1"/>
  <c r="H730" i="1"/>
  <c r="L824" i="1"/>
  <c r="I824" i="1"/>
  <c r="H824" i="1"/>
  <c r="L1068" i="1"/>
  <c r="H1068" i="1"/>
  <c r="I1068" i="1"/>
  <c r="L562" i="1"/>
  <c r="I562" i="1"/>
  <c r="H562" i="1"/>
  <c r="L1659" i="1"/>
  <c r="I1659" i="1"/>
  <c r="H1659" i="1"/>
  <c r="L677" i="1"/>
  <c r="H677" i="1"/>
  <c r="I677" i="1"/>
  <c r="I764" i="1"/>
  <c r="H764" i="1"/>
  <c r="L764" i="1"/>
  <c r="L842" i="1"/>
  <c r="I842" i="1"/>
  <c r="H842" i="1"/>
  <c r="L926" i="1"/>
  <c r="I926" i="1"/>
  <c r="H926" i="1"/>
  <c r="L990" i="1"/>
  <c r="I990" i="1"/>
  <c r="H990" i="1"/>
  <c r="L1156" i="1"/>
  <c r="I1156" i="1"/>
  <c r="H1156" i="1"/>
  <c r="L1277" i="1"/>
  <c r="I1277" i="1"/>
  <c r="H1277" i="1"/>
  <c r="L521" i="1"/>
  <c r="I521" i="1"/>
  <c r="H521" i="1"/>
  <c r="L585" i="1"/>
  <c r="I585" i="1"/>
  <c r="H585" i="1"/>
  <c r="H1955" i="1"/>
  <c r="L1955" i="1"/>
  <c r="I1955" i="1"/>
  <c r="I680" i="1"/>
  <c r="H680" i="1"/>
  <c r="L680" i="1"/>
  <c r="L761" i="1"/>
  <c r="I761" i="1"/>
  <c r="H761" i="1"/>
  <c r="I846" i="1"/>
  <c r="H846" i="1"/>
  <c r="L846" i="1"/>
  <c r="L1105" i="1"/>
  <c r="H1105" i="1"/>
  <c r="I1105" i="1"/>
  <c r="L1269" i="1"/>
  <c r="I1269" i="1"/>
  <c r="H1269" i="1"/>
  <c r="H2064" i="1"/>
  <c r="L2064" i="1"/>
  <c r="I2064" i="1"/>
  <c r="L876" i="1"/>
  <c r="I876" i="1"/>
  <c r="H876" i="1"/>
  <c r="L945" i="1"/>
  <c r="H945" i="1"/>
  <c r="I945" i="1"/>
  <c r="L1009" i="1"/>
  <c r="H1009" i="1"/>
  <c r="I1009" i="1"/>
  <c r="L1175" i="1"/>
  <c r="I1175" i="1"/>
  <c r="H1175" i="1"/>
  <c r="H612" i="1"/>
  <c r="L612" i="1"/>
  <c r="I612" i="1"/>
  <c r="I653" i="1"/>
  <c r="L653" i="1"/>
  <c r="H653" i="1"/>
  <c r="I706" i="1"/>
  <c r="L706" i="1"/>
  <c r="H706" i="1"/>
  <c r="I800" i="1"/>
  <c r="H800" i="1"/>
  <c r="L800" i="1"/>
  <c r="I886" i="1"/>
  <c r="L886" i="1"/>
  <c r="H886" i="1"/>
  <c r="I1023" i="1"/>
  <c r="H1023" i="1"/>
  <c r="L1023" i="1"/>
  <c r="L1161" i="1"/>
  <c r="I1161" i="1"/>
  <c r="H1161" i="1"/>
  <c r="H611" i="1"/>
  <c r="L611" i="1"/>
  <c r="I611" i="1"/>
  <c r="H675" i="1"/>
  <c r="L675" i="1"/>
  <c r="I675" i="1"/>
  <c r="I960" i="1"/>
  <c r="H960" i="1"/>
  <c r="L960" i="1"/>
  <c r="I1024" i="1"/>
  <c r="H1024" i="1"/>
  <c r="L1024" i="1"/>
  <c r="L1691" i="1"/>
  <c r="I1691" i="1"/>
  <c r="H1691" i="1"/>
  <c r="I711" i="1"/>
  <c r="H711" i="1"/>
  <c r="L711" i="1"/>
  <c r="I743" i="1"/>
  <c r="L743" i="1"/>
  <c r="H743" i="1"/>
  <c r="I775" i="1"/>
  <c r="H775" i="1"/>
  <c r="L775" i="1"/>
  <c r="I807" i="1"/>
  <c r="L807" i="1"/>
  <c r="H807" i="1"/>
  <c r="H839" i="1"/>
  <c r="I839" i="1"/>
  <c r="L839" i="1"/>
  <c r="H871" i="1"/>
  <c r="I871" i="1"/>
  <c r="L871" i="1"/>
  <c r="H909" i="1"/>
  <c r="I909" i="1"/>
  <c r="L909" i="1"/>
  <c r="H973" i="1"/>
  <c r="I973" i="1"/>
  <c r="L973" i="1"/>
  <c r="L1037" i="1"/>
  <c r="H1037" i="1"/>
  <c r="I1037" i="1"/>
  <c r="L1098" i="1"/>
  <c r="H1098" i="1"/>
  <c r="I1098" i="1"/>
  <c r="L534" i="1"/>
  <c r="I534" i="1"/>
  <c r="H534" i="1"/>
  <c r="L1383" i="1"/>
  <c r="I1383" i="1"/>
  <c r="H1383" i="1"/>
  <c r="L914" i="1"/>
  <c r="I914" i="1"/>
  <c r="H914" i="1"/>
  <c r="L978" i="1"/>
  <c r="I978" i="1"/>
  <c r="H978" i="1"/>
  <c r="L1261" i="1"/>
  <c r="I1261" i="1"/>
  <c r="H1261" i="1"/>
  <c r="L1434" i="1"/>
  <c r="I1434" i="1"/>
  <c r="H1434" i="1"/>
  <c r="L1057" i="1"/>
  <c r="I1057" i="1"/>
  <c r="H1057" i="1"/>
  <c r="L1190" i="1"/>
  <c r="I1190" i="1"/>
  <c r="H1190" i="1"/>
  <c r="L1270" i="1"/>
  <c r="I1270" i="1"/>
  <c r="H1270" i="1"/>
  <c r="L1579" i="1"/>
  <c r="I1579" i="1"/>
  <c r="H1579" i="1"/>
  <c r="L1072" i="1"/>
  <c r="H1072" i="1"/>
  <c r="I1072" i="1"/>
  <c r="L1104" i="1"/>
  <c r="H1104" i="1"/>
  <c r="I1104" i="1"/>
  <c r="L1788" i="1"/>
  <c r="H1788" i="1"/>
  <c r="I1788" i="1"/>
  <c r="I1204" i="1"/>
  <c r="H1204" i="1"/>
  <c r="L1204" i="1"/>
  <c r="L1300" i="1"/>
  <c r="I1300" i="1"/>
  <c r="H1300" i="1"/>
  <c r="L1359" i="1"/>
  <c r="I1359" i="1"/>
  <c r="H1359" i="1"/>
  <c r="L1423" i="1"/>
  <c r="I1423" i="1"/>
  <c r="H1423" i="1"/>
  <c r="L1566" i="1"/>
  <c r="I1566" i="1"/>
  <c r="H1566" i="1"/>
  <c r="L1152" i="1"/>
  <c r="I1152" i="1"/>
  <c r="H1152" i="1"/>
  <c r="H1211" i="1"/>
  <c r="L1211" i="1"/>
  <c r="I1211" i="1"/>
  <c r="L1304" i="1"/>
  <c r="I1304" i="1"/>
  <c r="H1304" i="1"/>
  <c r="L2131" i="1"/>
  <c r="I2131" i="1"/>
  <c r="H2131" i="1"/>
  <c r="L1091" i="1"/>
  <c r="H1091" i="1"/>
  <c r="I1091" i="1"/>
  <c r="L1123" i="1"/>
  <c r="H1123" i="1"/>
  <c r="I1123" i="1"/>
  <c r="L1173" i="1"/>
  <c r="I1173" i="1"/>
  <c r="H1173" i="1"/>
  <c r="L1265" i="1"/>
  <c r="I1265" i="1"/>
  <c r="H1265" i="1"/>
  <c r="L1339" i="1"/>
  <c r="I1339" i="1"/>
  <c r="H1339" i="1"/>
  <c r="L1403" i="1"/>
  <c r="I1403" i="1"/>
  <c r="H1403" i="1"/>
  <c r="H1644" i="1"/>
  <c r="L1644" i="1"/>
  <c r="I1644" i="1"/>
  <c r="L1435" i="1"/>
  <c r="I1435" i="1"/>
  <c r="H1435" i="1"/>
  <c r="L1598" i="1"/>
  <c r="I1598" i="1"/>
  <c r="H1598" i="1"/>
  <c r="H1219" i="1"/>
  <c r="L1219" i="1"/>
  <c r="I1219" i="1"/>
  <c r="H1251" i="1"/>
  <c r="L1251" i="1"/>
  <c r="I1251" i="1"/>
  <c r="H1283" i="1"/>
  <c r="L1283" i="1"/>
  <c r="I1283" i="1"/>
  <c r="I1315" i="1"/>
  <c r="H1315" i="1"/>
  <c r="L1315" i="1"/>
  <c r="I1346" i="1"/>
  <c r="H1346" i="1"/>
  <c r="L1346" i="1"/>
  <c r="I1378" i="1"/>
  <c r="H1378" i="1"/>
  <c r="L1378" i="1"/>
  <c r="I541" i="1"/>
  <c r="H541" i="1"/>
  <c r="L541" i="1"/>
  <c r="I1452" i="1"/>
  <c r="H1452" i="1"/>
  <c r="L1452" i="1"/>
  <c r="H851" i="1"/>
  <c r="L851" i="1"/>
  <c r="I851" i="1"/>
  <c r="H1444" i="1"/>
  <c r="L1444" i="1"/>
  <c r="I1444" i="1"/>
  <c r="L1555" i="1"/>
  <c r="I1555" i="1"/>
  <c r="H1555" i="1"/>
  <c r="L1707" i="1"/>
  <c r="I1707" i="1"/>
  <c r="H1707" i="1"/>
  <c r="H1337" i="1"/>
  <c r="L1337" i="1"/>
  <c r="I1337" i="1"/>
  <c r="H1369" i="1"/>
  <c r="L1369" i="1"/>
  <c r="I1369" i="1"/>
  <c r="H1401" i="1"/>
  <c r="L1401" i="1"/>
  <c r="I1401" i="1"/>
  <c r="H1448" i="1"/>
  <c r="L1448" i="1"/>
  <c r="I1448" i="1"/>
  <c r="I1543" i="1"/>
  <c r="L1543" i="1"/>
  <c r="H1543" i="1"/>
  <c r="L1699" i="1"/>
  <c r="I1699" i="1"/>
  <c r="H1699" i="1"/>
  <c r="H249" i="1"/>
  <c r="L249" i="1"/>
  <c r="I249" i="1"/>
  <c r="H1484" i="1"/>
  <c r="I1484" i="1"/>
  <c r="L1484" i="1"/>
  <c r="I1519" i="1"/>
  <c r="H1519" i="1"/>
  <c r="L1519" i="1"/>
  <c r="I1560" i="1"/>
  <c r="H1560" i="1"/>
  <c r="L1560" i="1"/>
  <c r="L1606" i="1"/>
  <c r="H1606" i="1"/>
  <c r="I1606" i="1"/>
  <c r="I120" i="1"/>
  <c r="H120" i="1"/>
  <c r="L120" i="1"/>
  <c r="I1688" i="1"/>
  <c r="H1688" i="1"/>
  <c r="L1688" i="1"/>
  <c r="L1438" i="1"/>
  <c r="I1438" i="1"/>
  <c r="H1438" i="1"/>
  <c r="H617" i="1"/>
  <c r="I617" i="1"/>
  <c r="L617" i="1"/>
  <c r="H1668" i="1"/>
  <c r="I1668" i="1"/>
  <c r="L1668" i="1"/>
  <c r="L1465" i="1"/>
  <c r="I1465" i="1"/>
  <c r="H1465" i="1"/>
  <c r="L1529" i="1"/>
  <c r="I1529" i="1"/>
  <c r="H1529" i="1"/>
  <c r="H1593" i="1"/>
  <c r="L1593" i="1"/>
  <c r="I1593" i="1"/>
  <c r="L1657" i="1"/>
  <c r="I1657" i="1"/>
  <c r="H1657" i="1"/>
  <c r="L1721" i="1"/>
  <c r="I1721" i="1"/>
  <c r="H1721" i="1"/>
  <c r="H1581" i="1"/>
  <c r="I1581" i="1"/>
  <c r="L1581" i="1"/>
  <c r="H1645" i="1"/>
  <c r="I1645" i="1"/>
  <c r="L1645" i="1"/>
  <c r="H1709" i="1"/>
  <c r="I1709" i="1"/>
  <c r="L1709" i="1"/>
  <c r="L1538" i="1"/>
  <c r="I1538" i="1"/>
  <c r="H1538" i="1"/>
  <c r="L1602" i="1"/>
  <c r="I1602" i="1"/>
  <c r="H1602" i="1"/>
  <c r="L1666" i="1"/>
  <c r="I1666" i="1"/>
  <c r="H1666" i="1"/>
  <c r="L1914" i="1"/>
  <c r="I1914" i="1"/>
  <c r="H1914" i="1"/>
  <c r="L1892" i="1"/>
  <c r="I1892" i="1"/>
  <c r="H1892" i="1"/>
  <c r="L2029" i="1"/>
  <c r="I2029" i="1"/>
  <c r="H2029" i="1"/>
  <c r="L1308" i="1"/>
  <c r="H1308" i="1"/>
  <c r="I1308" i="1"/>
  <c r="L1991" i="1"/>
  <c r="I1991" i="1"/>
  <c r="H1991" i="1"/>
  <c r="L1320" i="1"/>
  <c r="I1320" i="1"/>
  <c r="H1320" i="1"/>
  <c r="L1878" i="1"/>
  <c r="H1878" i="1"/>
  <c r="I1878" i="1"/>
  <c r="L1893" i="1"/>
  <c r="I1893" i="1"/>
  <c r="H1893" i="1"/>
  <c r="L1909" i="1"/>
  <c r="I1909" i="1"/>
  <c r="H1909" i="1"/>
  <c r="L1984" i="1"/>
  <c r="I1984" i="1"/>
  <c r="H1984" i="1"/>
  <c r="L1880" i="1"/>
  <c r="H1880" i="1"/>
  <c r="I1880" i="1"/>
  <c r="L1963" i="1"/>
  <c r="I1963" i="1"/>
  <c r="H1963" i="1"/>
  <c r="H1729" i="1"/>
  <c r="L1729" i="1"/>
  <c r="I1729" i="1"/>
  <c r="H1737" i="1"/>
  <c r="L1737" i="1"/>
  <c r="I1737" i="1"/>
  <c r="H1745" i="1"/>
  <c r="L1745" i="1"/>
  <c r="I1745" i="1"/>
  <c r="I1753" i="1"/>
  <c r="L1753" i="1"/>
  <c r="H1753" i="1"/>
  <c r="I1761" i="1"/>
  <c r="L1761" i="1"/>
  <c r="H1761" i="1"/>
  <c r="L1769" i="1"/>
  <c r="I1769" i="1"/>
  <c r="H1769" i="1"/>
  <c r="L1777" i="1"/>
  <c r="I1777" i="1"/>
  <c r="H1777" i="1"/>
  <c r="L1785" i="1"/>
  <c r="I1785" i="1"/>
  <c r="H1785" i="1"/>
  <c r="L1793" i="1"/>
  <c r="I1793" i="1"/>
  <c r="H1793" i="1"/>
  <c r="H1801" i="1"/>
  <c r="L1801" i="1"/>
  <c r="I1801" i="1"/>
  <c r="H1809" i="1"/>
  <c r="L1809" i="1"/>
  <c r="I1809" i="1"/>
  <c r="H1817" i="1"/>
  <c r="L1817" i="1"/>
  <c r="I1817" i="1"/>
  <c r="H1825" i="1"/>
  <c r="L1825" i="1"/>
  <c r="I1825" i="1"/>
  <c r="H1833" i="1"/>
  <c r="L1833" i="1"/>
  <c r="I1833" i="1"/>
  <c r="H1841" i="1"/>
  <c r="L1841" i="1"/>
  <c r="I1841" i="1"/>
  <c r="H1849" i="1"/>
  <c r="L1849" i="1"/>
  <c r="I1849" i="1"/>
  <c r="H1557" i="1"/>
  <c r="L1557" i="1"/>
  <c r="I1557" i="1"/>
  <c r="H1872" i="1"/>
  <c r="L1872" i="1"/>
  <c r="I1872" i="1"/>
  <c r="L1923" i="1"/>
  <c r="I1923" i="1"/>
  <c r="H1923" i="1"/>
  <c r="L1931" i="1"/>
  <c r="I1931" i="1"/>
  <c r="H1931" i="1"/>
  <c r="L1939" i="1"/>
  <c r="I1939" i="1"/>
  <c r="H1939" i="1"/>
  <c r="L2034" i="1"/>
  <c r="I2034" i="1"/>
  <c r="H2034" i="1"/>
  <c r="L2050" i="1"/>
  <c r="I2050" i="1"/>
  <c r="H2050" i="1"/>
  <c r="L2065" i="1"/>
  <c r="I2065" i="1"/>
  <c r="H2065" i="1"/>
  <c r="L1954" i="1"/>
  <c r="I1954" i="1"/>
  <c r="H1954" i="1"/>
  <c r="L1986" i="1"/>
  <c r="I1986" i="1"/>
  <c r="H1986" i="1"/>
  <c r="I2081" i="1"/>
  <c r="L2081" i="1"/>
  <c r="H2081" i="1"/>
  <c r="H1957" i="1"/>
  <c r="L1957" i="1"/>
  <c r="I1957" i="1"/>
  <c r="H1989" i="1"/>
  <c r="L1989" i="1"/>
  <c r="I1989" i="1"/>
  <c r="I2123" i="1"/>
  <c r="L2123" i="1"/>
  <c r="H2123" i="1"/>
  <c r="L2033" i="1"/>
  <c r="I2033" i="1"/>
  <c r="H2033" i="1"/>
  <c r="L2049" i="1"/>
  <c r="I2049" i="1"/>
  <c r="H2049" i="1"/>
  <c r="L875" i="1"/>
  <c r="I875" i="1"/>
  <c r="H875" i="1"/>
  <c r="I2080" i="1"/>
  <c r="L2080" i="1"/>
  <c r="H2080" i="1"/>
  <c r="L2238" i="1"/>
  <c r="I2238" i="1"/>
  <c r="H2238" i="1"/>
  <c r="L2166" i="1"/>
  <c r="I2166" i="1"/>
  <c r="H2166" i="1"/>
  <c r="I257" i="1"/>
  <c r="L257" i="1"/>
  <c r="H257" i="1"/>
  <c r="I2165" i="1"/>
  <c r="L2165" i="1"/>
  <c r="H2165" i="1"/>
  <c r="I2152" i="1"/>
  <c r="L2152" i="1"/>
  <c r="H2152" i="1"/>
  <c r="L2266" i="1"/>
  <c r="I2266" i="1"/>
  <c r="H2266" i="1"/>
  <c r="I2092" i="1"/>
  <c r="H2092" i="1"/>
  <c r="L2092" i="1"/>
  <c r="I2100" i="1"/>
  <c r="H2100" i="1"/>
  <c r="L2100" i="1"/>
  <c r="I2108" i="1"/>
  <c r="H2108" i="1"/>
  <c r="L2108" i="1"/>
  <c r="I22" i="1"/>
  <c r="H22" i="1"/>
  <c r="L22" i="1"/>
  <c r="I2066" i="1"/>
  <c r="H2066" i="1"/>
  <c r="L2066" i="1"/>
  <c r="L2246" i="1"/>
  <c r="I2246" i="1"/>
  <c r="H2246" i="1"/>
  <c r="L126" i="1"/>
  <c r="H126" i="1"/>
  <c r="I126" i="1"/>
  <c r="L2248" i="1"/>
  <c r="I2248" i="1"/>
  <c r="H2248" i="1"/>
  <c r="L2280" i="1"/>
  <c r="H2280" i="1"/>
  <c r="I2280" i="1"/>
  <c r="L2281" i="1"/>
  <c r="H2281" i="1"/>
  <c r="I2281" i="1"/>
  <c r="L2224" i="1"/>
  <c r="I2224" i="1"/>
  <c r="H2224" i="1"/>
  <c r="L2249" i="1"/>
  <c r="I2249" i="1"/>
  <c r="H2249" i="1"/>
  <c r="L2265" i="1"/>
  <c r="I2265" i="1"/>
  <c r="H2265" i="1"/>
  <c r="L2287" i="1"/>
  <c r="H2287" i="1"/>
  <c r="I2287" i="1"/>
  <c r="L2178" i="1"/>
  <c r="I2178" i="1"/>
  <c r="H2178" i="1"/>
  <c r="I2186" i="1"/>
  <c r="H2186" i="1"/>
  <c r="L2186" i="1"/>
  <c r="I2194" i="1"/>
  <c r="H2194" i="1"/>
  <c r="L2194" i="1"/>
  <c r="L1171" i="1"/>
  <c r="I1171" i="1"/>
  <c r="H1171" i="1"/>
  <c r="L2210" i="1"/>
  <c r="I2210" i="1"/>
  <c r="H2210" i="1"/>
  <c r="L2218" i="1"/>
  <c r="I2218" i="1"/>
  <c r="H2218" i="1"/>
  <c r="L1950" i="1"/>
  <c r="I1950" i="1"/>
  <c r="H1950" i="1"/>
  <c r="L237" i="1"/>
  <c r="H237" i="1"/>
  <c r="I237" i="1"/>
  <c r="O1101" i="1"/>
  <c r="N1101" i="1"/>
  <c r="L194" i="2"/>
  <c r="I194" i="2"/>
  <c r="H194" i="2"/>
  <c r="I134" i="2"/>
  <c r="L134" i="2"/>
  <c r="H134" i="2"/>
  <c r="L205" i="2"/>
  <c r="I205" i="2"/>
  <c r="H205" i="2"/>
  <c r="L269" i="2"/>
  <c r="I269" i="2"/>
  <c r="H269" i="2"/>
  <c r="L333" i="2"/>
  <c r="I333" i="2"/>
  <c r="H333" i="2"/>
  <c r="L397" i="2"/>
  <c r="I397" i="2"/>
  <c r="H397" i="2"/>
  <c r="L461" i="2"/>
  <c r="I461" i="2"/>
  <c r="H461" i="2"/>
  <c r="L503" i="2"/>
  <c r="I503" i="2"/>
  <c r="H503" i="2"/>
  <c r="L258" i="2"/>
  <c r="I258" i="2"/>
  <c r="H258" i="2"/>
  <c r="L338" i="2"/>
  <c r="I338" i="2"/>
  <c r="H338" i="2"/>
  <c r="L450" i="2"/>
  <c r="I450" i="2"/>
  <c r="H450" i="2"/>
  <c r="L542" i="2"/>
  <c r="I542" i="2"/>
  <c r="H542" i="2"/>
  <c r="L429" i="2"/>
  <c r="I429" i="2"/>
  <c r="H429" i="2"/>
  <c r="L247" i="2"/>
  <c r="I247" i="2"/>
  <c r="H247" i="2"/>
  <c r="L222" i="2"/>
  <c r="I222" i="2"/>
  <c r="H222" i="2"/>
  <c r="L375" i="2"/>
  <c r="I375" i="2"/>
  <c r="H375" i="2"/>
  <c r="L439" i="2"/>
  <c r="I439" i="2"/>
  <c r="H439" i="2"/>
  <c r="L347" i="2"/>
  <c r="I347" i="2"/>
  <c r="H347" i="2"/>
  <c r="L567" i="2"/>
  <c r="I567" i="2"/>
  <c r="H567" i="2"/>
  <c r="L378" i="2"/>
  <c r="I378" i="2"/>
  <c r="H378" i="2"/>
  <c r="L546" i="2"/>
  <c r="I546" i="2"/>
  <c r="H546" i="2"/>
  <c r="I171" i="2"/>
  <c r="H171" i="2"/>
  <c r="L171" i="2"/>
  <c r="L236" i="2"/>
  <c r="I236" i="2"/>
  <c r="H236" i="2"/>
  <c r="L67" i="2"/>
  <c r="I67" i="2"/>
  <c r="H67" i="2"/>
  <c r="L364" i="2"/>
  <c r="I364" i="2"/>
  <c r="H364" i="2"/>
  <c r="L428" i="2"/>
  <c r="I428" i="2"/>
  <c r="H428" i="2"/>
  <c r="L492" i="2"/>
  <c r="I492" i="2"/>
  <c r="H492" i="2"/>
  <c r="L556" i="2"/>
  <c r="I556" i="2"/>
  <c r="H556" i="2"/>
  <c r="M225" i="2"/>
  <c r="O225" i="2"/>
  <c r="N225" i="2"/>
  <c r="M89" i="2"/>
  <c r="N89" i="2"/>
  <c r="O89" i="2"/>
  <c r="M25" i="2"/>
  <c r="N25" i="2"/>
  <c r="O25" i="2"/>
  <c r="N384" i="2"/>
  <c r="O384" i="2"/>
  <c r="M384" i="2"/>
  <c r="M82" i="2"/>
  <c r="O82" i="2"/>
  <c r="N82" i="2"/>
  <c r="N154" i="2"/>
  <c r="O154" i="2"/>
  <c r="M154" i="2"/>
  <c r="M61" i="2"/>
  <c r="O61" i="2"/>
  <c r="N61" i="2"/>
  <c r="N32" i="2"/>
  <c r="M345" i="1"/>
  <c r="O345" i="1"/>
  <c r="N345" i="1"/>
  <c r="O138" i="1"/>
  <c r="M138" i="1"/>
  <c r="N138" i="1"/>
  <c r="L553" i="2"/>
  <c r="I553" i="2"/>
  <c r="H553" i="2"/>
  <c r="L489" i="2"/>
  <c r="I489" i="2"/>
  <c r="H489" i="2"/>
  <c r="L425" i="2"/>
  <c r="I425" i="2"/>
  <c r="H425" i="2"/>
  <c r="L361" i="2"/>
  <c r="I361" i="2"/>
  <c r="H361" i="2"/>
  <c r="M313" i="2"/>
  <c r="O313" i="2"/>
  <c r="N313" i="2"/>
  <c r="M249" i="2"/>
  <c r="N249" i="2"/>
  <c r="O249" i="2"/>
  <c r="O360" i="2"/>
  <c r="N360" i="2"/>
  <c r="M360" i="2"/>
  <c r="L555" i="2"/>
  <c r="I555" i="2"/>
  <c r="H555" i="2"/>
  <c r="L523" i="2"/>
  <c r="I523" i="2"/>
  <c r="H523" i="2"/>
  <c r="L491" i="2"/>
  <c r="I491" i="2"/>
  <c r="H491" i="2"/>
  <c r="L459" i="2"/>
  <c r="I459" i="2"/>
  <c r="H459" i="2"/>
  <c r="L427" i="2"/>
  <c r="I427" i="2"/>
  <c r="H427" i="2"/>
  <c r="L395" i="2"/>
  <c r="I395" i="2"/>
  <c r="H395" i="2"/>
  <c r="L363" i="2"/>
  <c r="I363" i="2"/>
  <c r="H363" i="2"/>
  <c r="L331" i="2"/>
  <c r="I331" i="2"/>
  <c r="H331" i="2"/>
  <c r="L299" i="2"/>
  <c r="I299" i="2"/>
  <c r="H299" i="2"/>
  <c r="L267" i="2"/>
  <c r="I267" i="2"/>
  <c r="H267" i="2"/>
  <c r="L235" i="2"/>
  <c r="I235" i="2"/>
  <c r="H235" i="2"/>
  <c r="I175" i="2"/>
  <c r="H175" i="2"/>
  <c r="L175" i="2"/>
  <c r="L123" i="2"/>
  <c r="H123" i="2"/>
  <c r="I123" i="2"/>
  <c r="L84" i="2"/>
  <c r="H84" i="2"/>
  <c r="I84" i="2"/>
  <c r="O560" i="2"/>
  <c r="N560" i="2"/>
  <c r="M560" i="2"/>
  <c r="N368" i="2"/>
  <c r="O368" i="2"/>
  <c r="M368" i="2"/>
  <c r="O1472" i="1"/>
  <c r="N1472" i="1"/>
  <c r="M1472" i="1"/>
  <c r="M29" i="2"/>
  <c r="N29" i="2"/>
  <c r="O29" i="2"/>
  <c r="M59" i="2"/>
  <c r="N59" i="2"/>
  <c r="O59" i="2"/>
  <c r="N504" i="2"/>
  <c r="O504" i="2"/>
  <c r="M504" i="2"/>
  <c r="N272" i="2"/>
  <c r="O272" i="2"/>
  <c r="M272" i="2"/>
  <c r="M31" i="2"/>
  <c r="O31" i="2"/>
  <c r="N31" i="2"/>
  <c r="O161" i="2"/>
  <c r="M161" i="2"/>
  <c r="N161" i="2"/>
  <c r="M26" i="2"/>
  <c r="O26" i="2"/>
  <c r="N26" i="2"/>
  <c r="M329" i="1"/>
  <c r="O329" i="1"/>
  <c r="N329" i="1"/>
  <c r="O183" i="1"/>
  <c r="N183" i="1"/>
  <c r="M183" i="1"/>
  <c r="N149" i="2"/>
  <c r="O149" i="2"/>
  <c r="M149" i="2"/>
  <c r="O157" i="2"/>
  <c r="N157" i="2"/>
  <c r="M157" i="2"/>
  <c r="O181" i="2"/>
  <c r="N181" i="2"/>
  <c r="M181" i="2"/>
  <c r="L427" i="1"/>
  <c r="I427" i="1"/>
  <c r="H427" i="1"/>
  <c r="L182" i="1"/>
  <c r="I182" i="1"/>
  <c r="H182" i="1"/>
  <c r="L338" i="1"/>
  <c r="I338" i="1"/>
  <c r="H338" i="1"/>
  <c r="H144" i="1"/>
  <c r="I144" i="1"/>
  <c r="L144" i="1"/>
  <c r="L416" i="1"/>
  <c r="I416" i="1"/>
  <c r="H416" i="1"/>
  <c r="L37" i="1"/>
  <c r="I37" i="1"/>
  <c r="H37" i="1"/>
  <c r="L69" i="1"/>
  <c r="I69" i="1"/>
  <c r="H69" i="1"/>
  <c r="L93" i="1"/>
  <c r="H93" i="1"/>
  <c r="I93" i="1"/>
  <c r="L903" i="1"/>
  <c r="I903" i="1"/>
  <c r="H903" i="1"/>
  <c r="I382" i="1"/>
  <c r="H382" i="1"/>
  <c r="L382" i="1"/>
  <c r="H293" i="1"/>
  <c r="I293" i="1"/>
  <c r="L293" i="1"/>
  <c r="L316" i="1"/>
  <c r="I316" i="1"/>
  <c r="H316" i="1"/>
  <c r="L853" i="1"/>
  <c r="I853" i="1"/>
  <c r="H853" i="1"/>
  <c r="I669" i="1"/>
  <c r="L669" i="1"/>
  <c r="H669" i="1"/>
  <c r="L805" i="1"/>
  <c r="H805" i="1"/>
  <c r="I805" i="1"/>
  <c r="L873" i="1"/>
  <c r="H873" i="1"/>
  <c r="I873" i="1"/>
  <c r="L1113" i="1"/>
  <c r="H1113" i="1"/>
  <c r="I1113" i="1"/>
  <c r="H517" i="1"/>
  <c r="L517" i="1"/>
  <c r="I517" i="1"/>
  <c r="I760" i="1"/>
  <c r="H760" i="1"/>
  <c r="L760" i="1"/>
  <c r="I1719" i="1"/>
  <c r="L1719" i="1"/>
  <c r="H1719" i="1"/>
  <c r="L1006" i="1"/>
  <c r="I1006" i="1"/>
  <c r="H1006" i="1"/>
  <c r="L894" i="1"/>
  <c r="I894" i="1"/>
  <c r="H894" i="1"/>
  <c r="L872" i="1"/>
  <c r="I872" i="1"/>
  <c r="H872" i="1"/>
  <c r="L961" i="1"/>
  <c r="H961" i="1"/>
  <c r="I961" i="1"/>
  <c r="I736" i="1"/>
  <c r="H736" i="1"/>
  <c r="L736" i="1"/>
  <c r="L1208" i="1"/>
  <c r="I1208" i="1"/>
  <c r="H1208" i="1"/>
  <c r="I687" i="1"/>
  <c r="L687" i="1"/>
  <c r="H687" i="1"/>
  <c r="H879" i="1"/>
  <c r="L879" i="1"/>
  <c r="I879" i="1"/>
  <c r="L1294" i="1"/>
  <c r="I1294" i="1"/>
  <c r="H1294" i="1"/>
  <c r="I1471" i="1"/>
  <c r="L1471" i="1"/>
  <c r="H1471" i="1"/>
  <c r="L1080" i="1"/>
  <c r="H1080" i="1"/>
  <c r="I1080" i="1"/>
  <c r="L1375" i="1"/>
  <c r="I1375" i="1"/>
  <c r="H1375" i="1"/>
  <c r="L1910" i="1"/>
  <c r="I1910" i="1"/>
  <c r="H1910" i="1"/>
  <c r="L1189" i="1"/>
  <c r="I1189" i="1"/>
  <c r="H1189" i="1"/>
  <c r="I1540" i="1"/>
  <c r="L1540" i="1"/>
  <c r="H1540" i="1"/>
  <c r="I1323" i="1"/>
  <c r="H1323" i="1"/>
  <c r="L1323" i="1"/>
  <c r="L1478" i="1"/>
  <c r="I1478" i="1"/>
  <c r="H1478" i="1"/>
  <c r="H1445" i="1"/>
  <c r="L1445" i="1"/>
  <c r="I1445" i="1"/>
  <c r="L1902" i="1"/>
  <c r="I1902" i="1"/>
  <c r="H1902" i="1"/>
  <c r="I2094" i="1"/>
  <c r="H2094" i="1"/>
  <c r="L2094" i="1"/>
  <c r="L149" i="1"/>
  <c r="I149" i="1"/>
  <c r="H149" i="1"/>
  <c r="L282" i="1"/>
  <c r="I282" i="1"/>
  <c r="H282" i="1"/>
  <c r="L1278" i="1"/>
  <c r="H1278" i="1"/>
  <c r="I1278" i="1"/>
  <c r="L360" i="1"/>
  <c r="I360" i="1"/>
  <c r="H360" i="1"/>
  <c r="H30" i="1"/>
  <c r="L30" i="1"/>
  <c r="I30" i="1"/>
  <c r="H62" i="1"/>
  <c r="L62" i="1"/>
  <c r="I62" i="1"/>
  <c r="H102" i="1"/>
  <c r="L102" i="1"/>
  <c r="I102" i="1"/>
  <c r="L967" i="1"/>
  <c r="I967" i="1"/>
  <c r="H967" i="1"/>
  <c r="I262" i="1"/>
  <c r="H262" i="1"/>
  <c r="L262" i="1"/>
  <c r="H558" i="1"/>
  <c r="I558" i="1"/>
  <c r="L558" i="1"/>
  <c r="L1461" i="1"/>
  <c r="I1461" i="1"/>
  <c r="H1461" i="1"/>
  <c r="L442" i="1"/>
  <c r="I442" i="1"/>
  <c r="H442" i="1"/>
  <c r="H953" i="1"/>
  <c r="L953" i="1"/>
  <c r="I953" i="1"/>
  <c r="L693" i="1"/>
  <c r="I693" i="1"/>
  <c r="H693" i="1"/>
  <c r="H1680" i="1"/>
  <c r="L1680" i="1"/>
  <c r="I1680" i="1"/>
  <c r="I575" i="1"/>
  <c r="L575" i="1"/>
  <c r="H575" i="1"/>
  <c r="I2209" i="1"/>
  <c r="H2209" i="1"/>
  <c r="L2209" i="1"/>
  <c r="I539" i="1"/>
  <c r="L539" i="1"/>
  <c r="H539" i="1"/>
  <c r="L589" i="1"/>
  <c r="I589" i="1"/>
  <c r="H589" i="1"/>
  <c r="L856" i="1"/>
  <c r="I856" i="1"/>
  <c r="H856" i="1"/>
  <c r="L702" i="1"/>
  <c r="H702" i="1"/>
  <c r="I702" i="1"/>
  <c r="L1203" i="1"/>
  <c r="I1203" i="1"/>
  <c r="H1203" i="1"/>
  <c r="I608" i="1"/>
  <c r="H608" i="1"/>
  <c r="L608" i="1"/>
  <c r="L793" i="1"/>
  <c r="I793" i="1"/>
  <c r="H793" i="1"/>
  <c r="L899" i="1"/>
  <c r="I899" i="1"/>
  <c r="H899" i="1"/>
  <c r="I671" i="1"/>
  <c r="H671" i="1"/>
  <c r="L671" i="1"/>
  <c r="I943" i="1"/>
  <c r="H943" i="1"/>
  <c r="L943" i="1"/>
  <c r="I984" i="1"/>
  <c r="H984" i="1"/>
  <c r="L984" i="1"/>
  <c r="H787" i="1"/>
  <c r="I787" i="1"/>
  <c r="L787" i="1"/>
  <c r="H933" i="1"/>
  <c r="L933" i="1"/>
  <c r="I933" i="1"/>
  <c r="H1492" i="1"/>
  <c r="L1492" i="1"/>
  <c r="I1492" i="1"/>
  <c r="I1559" i="1"/>
  <c r="L1559" i="1"/>
  <c r="H1559" i="1"/>
  <c r="L1084" i="1"/>
  <c r="H1084" i="1"/>
  <c r="I1084" i="1"/>
  <c r="L1317" i="1"/>
  <c r="I1317" i="1"/>
  <c r="H1317" i="1"/>
  <c r="H1246" i="1"/>
  <c r="L1246" i="1"/>
  <c r="I1246" i="1"/>
  <c r="L1135" i="1"/>
  <c r="H1135" i="1"/>
  <c r="I1135" i="1"/>
  <c r="L1723" i="1"/>
  <c r="I1723" i="1"/>
  <c r="H1723" i="1"/>
  <c r="H1295" i="1"/>
  <c r="I1295" i="1"/>
  <c r="L1295" i="1"/>
  <c r="L1611" i="1"/>
  <c r="I1611" i="1"/>
  <c r="H1611" i="1"/>
  <c r="I1349" i="1"/>
  <c r="H1349" i="1"/>
  <c r="L1349" i="1"/>
  <c r="H1476" i="1"/>
  <c r="L1476" i="1"/>
  <c r="I1476" i="1"/>
  <c r="H1449" i="1"/>
  <c r="L1449" i="1"/>
  <c r="I1449" i="1"/>
  <c r="I1663" i="1"/>
  <c r="H1663" i="1"/>
  <c r="L1663" i="1"/>
  <c r="L1489" i="1"/>
  <c r="I1489" i="1"/>
  <c r="H1489" i="1"/>
  <c r="L1681" i="1"/>
  <c r="I1681" i="1"/>
  <c r="H1681" i="1"/>
  <c r="H2008" i="1"/>
  <c r="L2008" i="1"/>
  <c r="I2008" i="1"/>
  <c r="L1886" i="1"/>
  <c r="I1886" i="1"/>
  <c r="H1886" i="1"/>
  <c r="L1951" i="1"/>
  <c r="I1951" i="1"/>
  <c r="H1951" i="1"/>
  <c r="L1915" i="1"/>
  <c r="I1915" i="1"/>
  <c r="H1915" i="1"/>
  <c r="I668" i="1"/>
  <c r="L668" i="1"/>
  <c r="H668" i="1"/>
  <c r="I1780" i="1"/>
  <c r="H1780" i="1"/>
  <c r="L1780" i="1"/>
  <c r="L1820" i="1"/>
  <c r="I1820" i="1"/>
  <c r="H1820" i="1"/>
  <c r="L1860" i="1"/>
  <c r="I1860" i="1"/>
  <c r="H1860" i="1"/>
  <c r="L2040" i="1"/>
  <c r="I2040" i="1"/>
  <c r="H2040" i="1"/>
  <c r="I1103" i="1"/>
  <c r="L1103" i="1"/>
  <c r="H1103" i="1"/>
  <c r="L2055" i="1"/>
  <c r="I2055" i="1"/>
  <c r="H2055" i="1"/>
  <c r="I2095" i="1"/>
  <c r="H2095" i="1"/>
  <c r="L2095" i="1"/>
  <c r="L2227" i="1"/>
  <c r="I2227" i="1"/>
  <c r="H2227" i="1"/>
  <c r="L401" i="2"/>
  <c r="I401" i="2"/>
  <c r="H401" i="2"/>
  <c r="L576" i="1"/>
  <c r="I576" i="1"/>
  <c r="H576" i="1"/>
  <c r="L495" i="1"/>
  <c r="I495" i="1"/>
  <c r="H495" i="1"/>
  <c r="L921" i="1"/>
  <c r="I921" i="1"/>
  <c r="H921" i="1"/>
  <c r="I527" i="1"/>
  <c r="L527" i="1"/>
  <c r="H527" i="1"/>
  <c r="H409" i="1"/>
  <c r="I409" i="1"/>
  <c r="L409" i="1"/>
  <c r="L966" i="1"/>
  <c r="I966" i="1"/>
  <c r="H966" i="1"/>
  <c r="I555" i="1"/>
  <c r="L555" i="1"/>
  <c r="H555" i="1"/>
  <c r="L605" i="1"/>
  <c r="I605" i="1"/>
  <c r="H605" i="1"/>
  <c r="L877" i="1"/>
  <c r="I877" i="1"/>
  <c r="H877" i="1"/>
  <c r="H602" i="1"/>
  <c r="L602" i="1"/>
  <c r="I602" i="1"/>
  <c r="L1884" i="1"/>
  <c r="H1884" i="1"/>
  <c r="I1884" i="1"/>
  <c r="L1237" i="1"/>
  <c r="I1237" i="1"/>
  <c r="H1237" i="1"/>
  <c r="I835" i="1"/>
  <c r="L835" i="1"/>
  <c r="H835" i="1"/>
  <c r="L1066" i="1"/>
  <c r="I1066" i="1"/>
  <c r="H1066" i="1"/>
  <c r="L979" i="1"/>
  <c r="I979" i="1"/>
  <c r="H979" i="1"/>
  <c r="I679" i="1"/>
  <c r="L679" i="1"/>
  <c r="H679" i="1"/>
  <c r="L1121" i="1"/>
  <c r="H1121" i="1"/>
  <c r="I1121" i="1"/>
  <c r="I1000" i="1"/>
  <c r="H1000" i="1"/>
  <c r="L1000" i="1"/>
  <c r="H731" i="1"/>
  <c r="L731" i="1"/>
  <c r="I731" i="1"/>
  <c r="H859" i="1"/>
  <c r="L859" i="1"/>
  <c r="I859" i="1"/>
  <c r="L1077" i="1"/>
  <c r="H1077" i="1"/>
  <c r="I1077" i="1"/>
  <c r="H1628" i="1"/>
  <c r="L1628" i="1"/>
  <c r="I1628" i="1"/>
  <c r="I1600" i="1"/>
  <c r="H1600" i="1"/>
  <c r="L1600" i="1"/>
  <c r="L1048" i="1"/>
  <c r="I1048" i="1"/>
  <c r="H1048" i="1"/>
  <c r="L1268" i="1"/>
  <c r="I1268" i="1"/>
  <c r="H1268" i="1"/>
  <c r="L1396" i="1"/>
  <c r="I1396" i="1"/>
  <c r="H1396" i="1"/>
  <c r="L1272" i="1"/>
  <c r="I1272" i="1"/>
  <c r="H1272" i="1"/>
  <c r="L1149" i="1"/>
  <c r="I1149" i="1"/>
  <c r="H1149" i="1"/>
  <c r="L1376" i="1"/>
  <c r="I1376" i="1"/>
  <c r="H1376" i="1"/>
  <c r="H1198" i="1"/>
  <c r="L1198" i="1"/>
  <c r="I1198" i="1"/>
  <c r="I1334" i="1"/>
  <c r="H1334" i="1"/>
  <c r="L1334" i="1"/>
  <c r="I1437" i="1"/>
  <c r="H1437" i="1"/>
  <c r="L1437" i="1"/>
  <c r="I1664" i="1"/>
  <c r="H1664" i="1"/>
  <c r="L1664" i="1"/>
  <c r="L1532" i="1"/>
  <c r="I1532" i="1"/>
  <c r="H1532" i="1"/>
  <c r="H985" i="1"/>
  <c r="L985" i="1"/>
  <c r="I985" i="1"/>
  <c r="L1590" i="1"/>
  <c r="H1590" i="1"/>
  <c r="I1590" i="1"/>
  <c r="L1718" i="1"/>
  <c r="H1718" i="1"/>
  <c r="I1718" i="1"/>
  <c r="H1505" i="1"/>
  <c r="L1505" i="1"/>
  <c r="I1505" i="1"/>
  <c r="H928" i="1"/>
  <c r="L928" i="1"/>
  <c r="I928" i="1"/>
  <c r="L1514" i="1"/>
  <c r="I1514" i="1"/>
  <c r="H1514" i="1"/>
  <c r="L1340" i="1"/>
  <c r="I1340" i="1"/>
  <c r="H1340" i="1"/>
  <c r="L1948" i="1"/>
  <c r="I1948" i="1"/>
  <c r="H1948" i="1"/>
  <c r="L1960" i="1"/>
  <c r="I1960" i="1"/>
  <c r="H1960" i="1"/>
  <c r="L2003" i="1"/>
  <c r="I2003" i="1"/>
  <c r="H2003" i="1"/>
  <c r="L1758" i="1"/>
  <c r="I1758" i="1"/>
  <c r="H1758" i="1"/>
  <c r="I1790" i="1"/>
  <c r="L1790" i="1"/>
  <c r="H1790" i="1"/>
  <c r="L1822" i="1"/>
  <c r="I1822" i="1"/>
  <c r="H1822" i="1"/>
  <c r="L1854" i="1"/>
  <c r="I1854" i="1"/>
  <c r="H1854" i="1"/>
  <c r="L1928" i="1"/>
  <c r="I1928" i="1"/>
  <c r="H1928" i="1"/>
  <c r="L2270" i="1"/>
  <c r="I2270" i="1"/>
  <c r="H2270" i="1"/>
  <c r="H1977" i="1"/>
  <c r="I1977" i="1"/>
  <c r="L1977" i="1"/>
  <c r="L469" i="1"/>
  <c r="I469" i="1"/>
  <c r="H469" i="1"/>
  <c r="I2138" i="1"/>
  <c r="L2138" i="1"/>
  <c r="H2138" i="1"/>
  <c r="I2140" i="1"/>
  <c r="L2140" i="1"/>
  <c r="H2140" i="1"/>
  <c r="I2105" i="1"/>
  <c r="H2105" i="1"/>
  <c r="L2105" i="1"/>
  <c r="I2151" i="1"/>
  <c r="H2151" i="1"/>
  <c r="L2151" i="1"/>
  <c r="L2225" i="1"/>
  <c r="I2225" i="1"/>
  <c r="H2225" i="1"/>
  <c r="L2259" i="1"/>
  <c r="I2259" i="1"/>
  <c r="H2259" i="1"/>
  <c r="H2183" i="1"/>
  <c r="L2183" i="1"/>
  <c r="I2183" i="1"/>
  <c r="I2207" i="1"/>
  <c r="L2207" i="1"/>
  <c r="H2207" i="1"/>
  <c r="L110" i="2"/>
  <c r="H110" i="2"/>
  <c r="I110" i="2"/>
  <c r="I174" i="2"/>
  <c r="L174" i="2"/>
  <c r="H174" i="2"/>
  <c r="L437" i="2"/>
  <c r="I437" i="2"/>
  <c r="H437" i="2"/>
  <c r="L314" i="2"/>
  <c r="I314" i="2"/>
  <c r="H314" i="2"/>
  <c r="L287" i="2"/>
  <c r="I287" i="2"/>
  <c r="H287" i="2"/>
  <c r="L212" i="2"/>
  <c r="I212" i="2"/>
  <c r="H212" i="2"/>
  <c r="L217" i="2"/>
  <c r="I217" i="2"/>
  <c r="H217" i="2"/>
  <c r="L52" i="2"/>
  <c r="H52" i="2"/>
  <c r="I52" i="2"/>
  <c r="M118" i="2"/>
  <c r="O118" i="2"/>
  <c r="N118" i="2"/>
  <c r="L331" i="1"/>
  <c r="I331" i="1"/>
  <c r="H331" i="1"/>
  <c r="L500" i="1"/>
  <c r="I500" i="1"/>
  <c r="H500" i="1"/>
  <c r="L158" i="1"/>
  <c r="I158" i="1"/>
  <c r="H158" i="1"/>
  <c r="H549" i="1"/>
  <c r="L549" i="1"/>
  <c r="I549" i="1"/>
  <c r="L713" i="1"/>
  <c r="I713" i="1"/>
  <c r="H713" i="1"/>
  <c r="L888" i="1"/>
  <c r="I888" i="1"/>
  <c r="H888" i="1"/>
  <c r="H1516" i="1"/>
  <c r="L1516" i="1"/>
  <c r="I1516" i="1"/>
  <c r="L734" i="1"/>
  <c r="H734" i="1"/>
  <c r="I734" i="1"/>
  <c r="L825" i="1"/>
  <c r="I825" i="1"/>
  <c r="H825" i="1"/>
  <c r="L974" i="1"/>
  <c r="I974" i="1"/>
  <c r="H974" i="1"/>
  <c r="L1241" i="1"/>
  <c r="I1241" i="1"/>
  <c r="H1241" i="1"/>
  <c r="L569" i="1"/>
  <c r="I569" i="1"/>
  <c r="H569" i="1"/>
  <c r="H451" i="1"/>
  <c r="L451" i="1"/>
  <c r="I451" i="1"/>
  <c r="L829" i="1"/>
  <c r="I829" i="1"/>
  <c r="H829" i="1"/>
  <c r="L1185" i="1"/>
  <c r="I1185" i="1"/>
  <c r="H1185" i="1"/>
  <c r="H850" i="1"/>
  <c r="L850" i="1"/>
  <c r="I850" i="1"/>
  <c r="L993" i="1"/>
  <c r="H993" i="1"/>
  <c r="I993" i="1"/>
  <c r="L1143" i="1"/>
  <c r="I1143" i="1"/>
  <c r="H1143" i="1"/>
  <c r="H644" i="1"/>
  <c r="L644" i="1"/>
  <c r="I644" i="1"/>
  <c r="I770" i="1"/>
  <c r="L770" i="1"/>
  <c r="H770" i="1"/>
  <c r="I991" i="1"/>
  <c r="H991" i="1"/>
  <c r="L991" i="1"/>
  <c r="L1367" i="1"/>
  <c r="I1367" i="1"/>
  <c r="H1367" i="1"/>
  <c r="I944" i="1"/>
  <c r="H944" i="1"/>
  <c r="L944" i="1"/>
  <c r="I1568" i="1"/>
  <c r="H1568" i="1"/>
  <c r="L1568" i="1"/>
  <c r="L703" i="1"/>
  <c r="H703" i="1"/>
  <c r="I703" i="1"/>
  <c r="L767" i="1"/>
  <c r="H767" i="1"/>
  <c r="I767" i="1"/>
  <c r="H831" i="1"/>
  <c r="I831" i="1"/>
  <c r="L831" i="1"/>
  <c r="H895" i="1"/>
  <c r="I895" i="1"/>
  <c r="L895" i="1"/>
  <c r="H957" i="1"/>
  <c r="I957" i="1"/>
  <c r="L957" i="1"/>
  <c r="L1082" i="1"/>
  <c r="H1082" i="1"/>
  <c r="I1082" i="1"/>
  <c r="L1351" i="1"/>
  <c r="I1351" i="1"/>
  <c r="H1351" i="1"/>
  <c r="L962" i="1"/>
  <c r="I962" i="1"/>
  <c r="H962" i="1"/>
  <c r="L2253" i="1"/>
  <c r="H2253" i="1"/>
  <c r="I2253" i="1"/>
  <c r="L1174" i="1"/>
  <c r="I1174" i="1"/>
  <c r="H1174" i="1"/>
  <c r="L1469" i="1"/>
  <c r="I1469" i="1"/>
  <c r="H1469" i="1"/>
  <c r="L1056" i="1"/>
  <c r="I1056" i="1"/>
  <c r="H1056" i="1"/>
  <c r="L1128" i="1"/>
  <c r="H1128" i="1"/>
  <c r="I1128" i="1"/>
  <c r="I1274" i="1"/>
  <c r="H1274" i="1"/>
  <c r="L1274" i="1"/>
  <c r="L1407" i="1"/>
  <c r="I1407" i="1"/>
  <c r="H1407" i="1"/>
  <c r="L798" i="1"/>
  <c r="H798" i="1"/>
  <c r="I798" i="1"/>
  <c r="H2256" i="1"/>
  <c r="L2256" i="1"/>
  <c r="I2256" i="1"/>
  <c r="L1083" i="1"/>
  <c r="H1083" i="1"/>
  <c r="I1083" i="1"/>
  <c r="L1157" i="1"/>
  <c r="I1157" i="1"/>
  <c r="H1157" i="1"/>
  <c r="L1244" i="1"/>
  <c r="I1244" i="1"/>
  <c r="H1244" i="1"/>
  <c r="L1387" i="1"/>
  <c r="I1387" i="1"/>
  <c r="H1387" i="1"/>
  <c r="L1563" i="1"/>
  <c r="I1563" i="1"/>
  <c r="H1563" i="1"/>
  <c r="H1548" i="1"/>
  <c r="L1548" i="1"/>
  <c r="I1548" i="1"/>
  <c r="H1243" i="1"/>
  <c r="L1243" i="1"/>
  <c r="I1243" i="1"/>
  <c r="H1307" i="1"/>
  <c r="L1307" i="1"/>
  <c r="I1307" i="1"/>
  <c r="I332" i="1"/>
  <c r="H332" i="1"/>
  <c r="L332" i="1"/>
  <c r="L1480" i="1"/>
  <c r="I1480" i="1"/>
  <c r="H1480" i="1"/>
  <c r="L1213" i="1"/>
  <c r="H1213" i="1"/>
  <c r="I1213" i="1"/>
  <c r="L1683" i="1"/>
  <c r="I1683" i="1"/>
  <c r="H1683" i="1"/>
  <c r="L1361" i="1"/>
  <c r="I1361" i="1"/>
  <c r="H1361" i="1"/>
  <c r="L1425" i="1"/>
  <c r="I1425" i="1"/>
  <c r="H1425" i="1"/>
  <c r="I1671" i="1"/>
  <c r="L1671" i="1"/>
  <c r="H1671" i="1"/>
  <c r="H1468" i="1"/>
  <c r="I1468" i="1"/>
  <c r="L1468" i="1"/>
  <c r="L1515" i="1"/>
  <c r="H1515" i="1"/>
  <c r="I1515" i="1"/>
  <c r="I1592" i="1"/>
  <c r="H1592" i="1"/>
  <c r="L1592" i="1"/>
  <c r="I1679" i="1"/>
  <c r="H1679" i="1"/>
  <c r="L1679" i="1"/>
  <c r="I1511" i="1"/>
  <c r="L1511" i="1"/>
  <c r="H1511" i="1"/>
  <c r="H1455" i="1"/>
  <c r="L1455" i="1"/>
  <c r="I1455" i="1"/>
  <c r="I1577" i="1"/>
  <c r="H1577" i="1"/>
  <c r="L1577" i="1"/>
  <c r="H1705" i="1"/>
  <c r="I1705" i="1"/>
  <c r="L1705" i="1"/>
  <c r="H1629" i="1"/>
  <c r="I1629" i="1"/>
  <c r="L1629" i="1"/>
  <c r="L1522" i="1"/>
  <c r="I1522" i="1"/>
  <c r="H1522" i="1"/>
  <c r="L1586" i="1"/>
  <c r="I1586" i="1"/>
  <c r="H1586" i="1"/>
  <c r="L1714" i="1"/>
  <c r="I1714" i="1"/>
  <c r="H1714" i="1"/>
  <c r="I1382" i="1"/>
  <c r="L1382" i="1"/>
  <c r="H1382" i="1"/>
  <c r="L1728" i="1"/>
  <c r="I1728" i="1"/>
  <c r="H1728" i="1"/>
  <c r="L1956" i="1"/>
  <c r="I1956" i="1"/>
  <c r="H1956" i="1"/>
  <c r="L698" i="1"/>
  <c r="I698" i="1"/>
  <c r="H698" i="1"/>
  <c r="L1968" i="1"/>
  <c r="I1968" i="1"/>
  <c r="H1968" i="1"/>
  <c r="L1947" i="1"/>
  <c r="I1947" i="1"/>
  <c r="H1947" i="1"/>
  <c r="L1735" i="1"/>
  <c r="I1735" i="1"/>
  <c r="H1735" i="1"/>
  <c r="I1751" i="1"/>
  <c r="L1751" i="1"/>
  <c r="H1751" i="1"/>
  <c r="H77" i="1"/>
  <c r="L77" i="1"/>
  <c r="I77" i="1"/>
  <c r="L1791" i="1"/>
  <c r="I1791" i="1"/>
  <c r="H1791" i="1"/>
  <c r="H1807" i="1"/>
  <c r="L1807" i="1"/>
  <c r="I1807" i="1"/>
  <c r="H1815" i="1"/>
  <c r="L1815" i="1"/>
  <c r="I1815" i="1"/>
  <c r="H1831" i="1"/>
  <c r="L1831" i="1"/>
  <c r="I1831" i="1"/>
  <c r="H1847" i="1"/>
  <c r="L1847" i="1"/>
  <c r="I1847" i="1"/>
  <c r="H1863" i="1"/>
  <c r="L1863" i="1"/>
  <c r="I1863" i="1"/>
  <c r="L1929" i="1"/>
  <c r="I1929" i="1"/>
  <c r="H1929" i="1"/>
  <c r="L2030" i="1"/>
  <c r="I2030" i="1"/>
  <c r="H2030" i="1"/>
  <c r="L2062" i="1"/>
  <c r="I2062" i="1"/>
  <c r="H2062" i="1"/>
  <c r="L1978" i="1"/>
  <c r="I1978" i="1"/>
  <c r="H1978" i="1"/>
  <c r="L2010" i="1"/>
  <c r="I2010" i="1"/>
  <c r="H2010" i="1"/>
  <c r="H1981" i="1"/>
  <c r="L1981" i="1"/>
  <c r="I1981" i="1"/>
  <c r="L191" i="1"/>
  <c r="I191" i="1"/>
  <c r="H191" i="1"/>
  <c r="L2061" i="1"/>
  <c r="I2061" i="1"/>
  <c r="H2061" i="1"/>
  <c r="I2188" i="1"/>
  <c r="L2188" i="1"/>
  <c r="H2188" i="1"/>
  <c r="I2133" i="1"/>
  <c r="L2133" i="1"/>
  <c r="H2133" i="1"/>
  <c r="I2144" i="1"/>
  <c r="L2144" i="1"/>
  <c r="H2144" i="1"/>
  <c r="I2090" i="1"/>
  <c r="H2090" i="1"/>
  <c r="L2090" i="1"/>
  <c r="I2106" i="1"/>
  <c r="H2106" i="1"/>
  <c r="L2106" i="1"/>
  <c r="L2283" i="1"/>
  <c r="H2283" i="1"/>
  <c r="I2283" i="1"/>
  <c r="L2174" i="1"/>
  <c r="H2174" i="1"/>
  <c r="I2174" i="1"/>
  <c r="L2229" i="1"/>
  <c r="I2229" i="1"/>
  <c r="H2229" i="1"/>
  <c r="L2245" i="1"/>
  <c r="I2245" i="1"/>
  <c r="H2245" i="1"/>
  <c r="L2277" i="1"/>
  <c r="I2277" i="1"/>
  <c r="H2277" i="1"/>
  <c r="L2298" i="1"/>
  <c r="H2298" i="1"/>
  <c r="I2298" i="1"/>
  <c r="L2192" i="1"/>
  <c r="I2192" i="1"/>
  <c r="H2192" i="1"/>
  <c r="L2208" i="1"/>
  <c r="I2208" i="1"/>
  <c r="H2208" i="1"/>
  <c r="L2293" i="1"/>
  <c r="H2293" i="1"/>
  <c r="I2293" i="1"/>
  <c r="O885" i="1"/>
  <c r="N885" i="1"/>
  <c r="M885" i="1"/>
  <c r="L210" i="2"/>
  <c r="I210" i="2"/>
  <c r="H210" i="2"/>
  <c r="L357" i="2"/>
  <c r="I357" i="2"/>
  <c r="H357" i="2"/>
  <c r="L317" i="2"/>
  <c r="I317" i="2"/>
  <c r="H317" i="2"/>
  <c r="L445" i="2"/>
  <c r="I445" i="2"/>
  <c r="H445" i="2"/>
  <c r="L573" i="2"/>
  <c r="I573" i="2"/>
  <c r="H573" i="2"/>
  <c r="L402" i="2"/>
  <c r="I402" i="2"/>
  <c r="H402" i="2"/>
  <c r="L514" i="2"/>
  <c r="I514" i="2"/>
  <c r="H514" i="2"/>
  <c r="L231" i="2"/>
  <c r="I231" i="2"/>
  <c r="H231" i="2"/>
  <c r="L423" i="2"/>
  <c r="I423" i="2"/>
  <c r="H423" i="2"/>
  <c r="L551" i="2"/>
  <c r="I551" i="2"/>
  <c r="H551" i="2"/>
  <c r="L498" i="2"/>
  <c r="I498" i="2"/>
  <c r="H498" i="2"/>
  <c r="L220" i="2"/>
  <c r="I220" i="2"/>
  <c r="H220" i="2"/>
  <c r="L348" i="2"/>
  <c r="I348" i="2"/>
  <c r="H348" i="2"/>
  <c r="L189" i="2"/>
  <c r="I189" i="2"/>
  <c r="H189" i="2"/>
  <c r="L540" i="2"/>
  <c r="I540" i="2"/>
  <c r="H540" i="2"/>
  <c r="N187" i="2"/>
  <c r="M187" i="2"/>
  <c r="O187" i="2"/>
  <c r="N312" i="2"/>
  <c r="O312" i="2"/>
  <c r="M312" i="2"/>
  <c r="M50" i="2"/>
  <c r="O50" i="2"/>
  <c r="N50" i="2"/>
  <c r="L505" i="2"/>
  <c r="I505" i="2"/>
  <c r="H505" i="2"/>
  <c r="L377" i="2"/>
  <c r="I377" i="2"/>
  <c r="H377" i="2"/>
  <c r="M297" i="2"/>
  <c r="O297" i="2"/>
  <c r="N297" i="2"/>
  <c r="L531" i="2"/>
  <c r="I531" i="2"/>
  <c r="H531" i="2"/>
  <c r="L499" i="2"/>
  <c r="I499" i="2"/>
  <c r="H499" i="2"/>
  <c r="L435" i="2"/>
  <c r="I435" i="2"/>
  <c r="H435" i="2"/>
  <c r="L371" i="2"/>
  <c r="I371" i="2"/>
  <c r="H371" i="2"/>
  <c r="L307" i="2"/>
  <c r="I307" i="2"/>
  <c r="H307" i="2"/>
  <c r="L243" i="2"/>
  <c r="I243" i="2"/>
  <c r="H243" i="2"/>
  <c r="L44" i="2"/>
  <c r="H44" i="2"/>
  <c r="I44" i="2"/>
  <c r="N512" i="2"/>
  <c r="O512" i="2"/>
  <c r="M512" i="2"/>
  <c r="N304" i="2"/>
  <c r="O304" i="2"/>
  <c r="M304" i="2"/>
  <c r="O206" i="2"/>
  <c r="N206" i="2"/>
  <c r="M206" i="2"/>
  <c r="M53" i="2"/>
  <c r="N53" i="2"/>
  <c r="O53" i="2"/>
  <c r="O166" i="1"/>
  <c r="N166" i="1"/>
  <c r="M166" i="1"/>
  <c r="L941" i="1"/>
  <c r="I941" i="1"/>
  <c r="H941" i="1"/>
  <c r="L251" i="1"/>
  <c r="I251" i="1"/>
  <c r="H251" i="1"/>
  <c r="L325" i="1"/>
  <c r="I325" i="1"/>
  <c r="H325" i="1"/>
  <c r="L224" i="1"/>
  <c r="I224" i="1"/>
  <c r="H224" i="1"/>
  <c r="L256" i="1"/>
  <c r="I256" i="1"/>
  <c r="H256" i="1"/>
  <c r="L378" i="1"/>
  <c r="I378" i="1"/>
  <c r="H378" i="1"/>
  <c r="I121" i="1"/>
  <c r="H121" i="1"/>
  <c r="L121" i="1"/>
  <c r="H1133" i="1"/>
  <c r="L1133" i="1"/>
  <c r="I1133" i="1"/>
  <c r="L264" i="1"/>
  <c r="I264" i="1"/>
  <c r="H264" i="1"/>
  <c r="L392" i="1"/>
  <c r="I392" i="1"/>
  <c r="H392" i="1"/>
  <c r="H18" i="1"/>
  <c r="I18" i="1"/>
  <c r="L18" i="1"/>
  <c r="H34" i="1"/>
  <c r="I34" i="1"/>
  <c r="L34" i="1"/>
  <c r="H2089" i="1"/>
  <c r="I2089" i="1"/>
  <c r="L2089" i="1"/>
  <c r="H66" i="1"/>
  <c r="L66" i="1"/>
  <c r="I66" i="1"/>
  <c r="H1108" i="1"/>
  <c r="I1108" i="1"/>
  <c r="L1108" i="1"/>
  <c r="H98" i="1"/>
  <c r="I98" i="1"/>
  <c r="L98" i="1"/>
  <c r="H114" i="1"/>
  <c r="L114" i="1"/>
  <c r="I114" i="1"/>
  <c r="L610" i="1"/>
  <c r="I610" i="1"/>
  <c r="H610" i="1"/>
  <c r="L335" i="1"/>
  <c r="I335" i="1"/>
  <c r="H335" i="1"/>
  <c r="L474" i="1"/>
  <c r="I474" i="1"/>
  <c r="H474" i="1"/>
  <c r="I294" i="1"/>
  <c r="H294" i="1"/>
  <c r="L294" i="1"/>
  <c r="I422" i="1"/>
  <c r="H422" i="1"/>
  <c r="L422" i="1"/>
  <c r="I641" i="1"/>
  <c r="H641" i="1"/>
  <c r="L641" i="1"/>
  <c r="H333" i="1"/>
  <c r="L333" i="1"/>
  <c r="I333" i="1"/>
  <c r="H397" i="1"/>
  <c r="L397" i="1"/>
  <c r="I397" i="1"/>
  <c r="I784" i="1"/>
  <c r="H784" i="1"/>
  <c r="L784" i="1"/>
  <c r="L356" i="1"/>
  <c r="I356" i="1"/>
  <c r="H356" i="1"/>
  <c r="L532" i="1"/>
  <c r="I532" i="1"/>
  <c r="H532" i="1"/>
  <c r="I740" i="1"/>
  <c r="H740" i="1"/>
  <c r="L740" i="1"/>
  <c r="H980" i="1"/>
  <c r="L980" i="1"/>
  <c r="I980" i="1"/>
  <c r="L145" i="1"/>
  <c r="I145" i="1"/>
  <c r="H145" i="1"/>
  <c r="L774" i="1"/>
  <c r="I774" i="1"/>
  <c r="H774" i="1"/>
  <c r="H518" i="1"/>
  <c r="L518" i="1"/>
  <c r="I518" i="1"/>
  <c r="L741" i="1"/>
  <c r="H741" i="1"/>
  <c r="I741" i="1"/>
  <c r="L1148" i="1"/>
  <c r="I1148" i="1"/>
  <c r="H1148" i="1"/>
  <c r="I543" i="1"/>
  <c r="L543" i="1"/>
  <c r="H543" i="1"/>
  <c r="H485" i="1"/>
  <c r="I485" i="1"/>
  <c r="L485" i="1"/>
  <c r="I716" i="1"/>
  <c r="H716" i="1"/>
  <c r="L716" i="1"/>
  <c r="L998" i="1"/>
  <c r="I998" i="1"/>
  <c r="H998" i="1"/>
  <c r="I371" i="1"/>
  <c r="L371" i="1"/>
  <c r="H371" i="1"/>
  <c r="L806" i="1"/>
  <c r="I806" i="1"/>
  <c r="H806" i="1"/>
  <c r="L557" i="1"/>
  <c r="I557" i="1"/>
  <c r="H557" i="1"/>
  <c r="I661" i="1"/>
  <c r="H661" i="1"/>
  <c r="L661" i="1"/>
  <c r="L809" i="1"/>
  <c r="H809" i="1"/>
  <c r="I809" i="1"/>
  <c r="L1162" i="1"/>
  <c r="I1162" i="1"/>
  <c r="H1162" i="1"/>
  <c r="L650" i="1"/>
  <c r="H650" i="1"/>
  <c r="I650" i="1"/>
  <c r="L836" i="1"/>
  <c r="I836" i="1"/>
  <c r="H836" i="1"/>
  <c r="L988" i="1"/>
  <c r="I988" i="1"/>
  <c r="H988" i="1"/>
  <c r="L1249" i="1"/>
  <c r="I1249" i="1"/>
  <c r="H1249" i="1"/>
  <c r="L577" i="1"/>
  <c r="H577" i="1"/>
  <c r="I577" i="1"/>
  <c r="I672" i="1"/>
  <c r="L672" i="1"/>
  <c r="H672" i="1"/>
  <c r="L840" i="1"/>
  <c r="I840" i="1"/>
  <c r="H840" i="1"/>
  <c r="I1222" i="1"/>
  <c r="H1222" i="1"/>
  <c r="L1222" i="1"/>
  <c r="L865" i="1"/>
  <c r="H865" i="1"/>
  <c r="I865" i="1"/>
  <c r="L995" i="1"/>
  <c r="I995" i="1"/>
  <c r="H995" i="1"/>
  <c r="I1498" i="1"/>
  <c r="L1498" i="1"/>
  <c r="H1498" i="1"/>
  <c r="L785" i="1"/>
  <c r="I785" i="1"/>
  <c r="H785" i="1"/>
  <c r="I1007" i="1"/>
  <c r="H1007" i="1"/>
  <c r="L1007" i="1"/>
  <c r="L1372" i="1"/>
  <c r="I1372" i="1"/>
  <c r="H1372" i="1"/>
  <c r="I1972" i="1"/>
  <c r="H1972" i="1"/>
  <c r="L1972" i="1"/>
  <c r="L1587" i="1"/>
  <c r="I1587" i="1"/>
  <c r="H1587" i="1"/>
  <c r="L739" i="1"/>
  <c r="H739" i="1"/>
  <c r="I739" i="1"/>
  <c r="L515" i="1"/>
  <c r="H515" i="1"/>
  <c r="I515" i="1"/>
  <c r="H1961" i="1"/>
  <c r="L1961" i="1"/>
  <c r="I1961" i="1"/>
  <c r="H901" i="1"/>
  <c r="L901" i="1"/>
  <c r="I901" i="1"/>
  <c r="H1029" i="1"/>
  <c r="L1029" i="1"/>
  <c r="I1029" i="1"/>
  <c r="L1230" i="1"/>
  <c r="I1230" i="1"/>
  <c r="H1230" i="1"/>
  <c r="I906" i="1"/>
  <c r="H906" i="1"/>
  <c r="L906" i="1"/>
  <c r="I1034" i="1"/>
  <c r="H1034" i="1"/>
  <c r="L1034" i="1"/>
  <c r="L1049" i="1"/>
  <c r="I1049" i="1"/>
  <c r="H1049" i="1"/>
  <c r="L1264" i="1"/>
  <c r="I1264" i="1"/>
  <c r="H1264" i="1"/>
  <c r="L1064" i="1"/>
  <c r="I1064" i="1"/>
  <c r="H1064" i="1"/>
  <c r="L1132" i="1"/>
  <c r="H1132" i="1"/>
  <c r="I1132" i="1"/>
  <c r="L1289" i="1"/>
  <c r="I1289" i="1"/>
  <c r="H1289" i="1"/>
  <c r="L1412" i="1"/>
  <c r="I1412" i="1"/>
  <c r="H1412" i="1"/>
  <c r="L1209" i="1"/>
  <c r="I1209" i="1"/>
  <c r="H1209" i="1"/>
  <c r="L1038" i="1"/>
  <c r="I1038" i="1"/>
  <c r="H1038" i="1"/>
  <c r="L1119" i="1"/>
  <c r="H1119" i="1"/>
  <c r="I1119" i="1"/>
  <c r="I1250" i="1"/>
  <c r="H1250" i="1"/>
  <c r="L1250" i="1"/>
  <c r="L1392" i="1"/>
  <c r="I1392" i="1"/>
  <c r="H1392" i="1"/>
  <c r="L1433" i="1"/>
  <c r="I1433" i="1"/>
  <c r="H1433" i="1"/>
  <c r="H1214" i="1"/>
  <c r="I1214" i="1"/>
  <c r="L1214" i="1"/>
  <c r="H1279" i="1"/>
  <c r="L1279" i="1"/>
  <c r="I1279" i="1"/>
  <c r="I1342" i="1"/>
  <c r="H1342" i="1"/>
  <c r="L1342" i="1"/>
  <c r="I1374" i="1"/>
  <c r="H1374" i="1"/>
  <c r="L1374" i="1"/>
  <c r="I1488" i="1"/>
  <c r="H1488" i="1"/>
  <c r="L1488" i="1"/>
  <c r="L1442" i="1"/>
  <c r="I1442" i="1"/>
  <c r="H1442" i="1"/>
  <c r="I1696" i="1"/>
  <c r="H1696" i="1"/>
  <c r="L1696" i="1"/>
  <c r="L896" i="1"/>
  <c r="I896" i="1"/>
  <c r="H896" i="1"/>
  <c r="L1429" i="1"/>
  <c r="I1429" i="1"/>
  <c r="H1429" i="1"/>
  <c r="I667" i="1"/>
  <c r="H667" i="1"/>
  <c r="L667" i="1"/>
  <c r="H1477" i="1"/>
  <c r="L1477" i="1"/>
  <c r="I1477" i="1"/>
  <c r="H1517" i="1"/>
  <c r="I1517" i="1"/>
  <c r="L1517" i="1"/>
  <c r="I1599" i="1"/>
  <c r="H1599" i="1"/>
  <c r="L1599" i="1"/>
  <c r="L1686" i="1"/>
  <c r="H1686" i="1"/>
  <c r="I1686" i="1"/>
  <c r="L1430" i="1"/>
  <c r="I1430" i="1"/>
  <c r="H1430" i="1"/>
  <c r="H1652" i="1"/>
  <c r="L1652" i="1"/>
  <c r="I1652" i="1"/>
  <c r="L1521" i="1"/>
  <c r="I1521" i="1"/>
  <c r="H1521" i="1"/>
  <c r="L1585" i="1"/>
  <c r="I1585" i="1"/>
  <c r="H1585" i="1"/>
  <c r="L1713" i="1"/>
  <c r="I1713" i="1"/>
  <c r="H1713" i="1"/>
  <c r="H1637" i="1"/>
  <c r="L1637" i="1"/>
  <c r="I1637" i="1"/>
  <c r="L1594" i="1"/>
  <c r="I1594" i="1"/>
  <c r="H1594" i="1"/>
  <c r="L1876" i="1"/>
  <c r="H1876" i="1"/>
  <c r="I1876" i="1"/>
  <c r="L2117" i="1"/>
  <c r="I2117" i="1"/>
  <c r="H2117" i="1"/>
  <c r="O179" i="1"/>
  <c r="N179" i="1"/>
  <c r="M179" i="1"/>
  <c r="M323" i="1"/>
  <c r="O323" i="1"/>
  <c r="N323" i="1"/>
  <c r="I135" i="2"/>
  <c r="H135" i="2"/>
  <c r="L135" i="2"/>
  <c r="L70" i="2"/>
  <c r="H70" i="2"/>
  <c r="I70" i="2"/>
  <c r="L38" i="2"/>
  <c r="H38" i="2"/>
  <c r="I38" i="2"/>
  <c r="L197" i="2"/>
  <c r="I197" i="2"/>
  <c r="H197" i="2"/>
  <c r="L308" i="2"/>
  <c r="I308" i="2"/>
  <c r="H308" i="2"/>
  <c r="L389" i="2"/>
  <c r="I389" i="2"/>
  <c r="H389" i="2"/>
  <c r="L517" i="2"/>
  <c r="I517" i="2"/>
  <c r="H517" i="2"/>
  <c r="L330" i="2"/>
  <c r="I330" i="2"/>
  <c r="H330" i="2"/>
  <c r="L311" i="2"/>
  <c r="I311" i="2"/>
  <c r="H311" i="2"/>
  <c r="I172" i="2"/>
  <c r="H172" i="2"/>
  <c r="L172" i="2"/>
  <c r="L303" i="2"/>
  <c r="I303" i="2"/>
  <c r="H303" i="2"/>
  <c r="L367" i="2"/>
  <c r="I367" i="2"/>
  <c r="H367" i="2"/>
  <c r="L559" i="2"/>
  <c r="I559" i="2"/>
  <c r="H559" i="2"/>
  <c r="L530" i="2"/>
  <c r="I530" i="2"/>
  <c r="H530" i="2"/>
  <c r="L228" i="2"/>
  <c r="I228" i="2"/>
  <c r="H228" i="2"/>
  <c r="L168" i="2"/>
  <c r="I168" i="2"/>
  <c r="H168" i="2"/>
  <c r="N352" i="2"/>
  <c r="O352" i="2"/>
  <c r="M352" i="2"/>
  <c r="M90" i="2"/>
  <c r="O90" i="2"/>
  <c r="N90" i="2"/>
  <c r="M101" i="2"/>
  <c r="O101" i="2"/>
  <c r="N101" i="2"/>
  <c r="L436" i="1"/>
  <c r="I436" i="1"/>
  <c r="H436" i="1"/>
  <c r="L369" i="1"/>
  <c r="I369" i="1"/>
  <c r="H369" i="1"/>
  <c r="L305" i="1"/>
  <c r="I305" i="1"/>
  <c r="H305" i="1"/>
  <c r="L235" i="1"/>
  <c r="I235" i="1"/>
  <c r="H235" i="1"/>
  <c r="L165" i="1"/>
  <c r="I165" i="1"/>
  <c r="H165" i="1"/>
  <c r="L178" i="1"/>
  <c r="I178" i="1"/>
  <c r="H178" i="1"/>
  <c r="L212" i="1"/>
  <c r="I212" i="1"/>
  <c r="H212" i="1"/>
  <c r="L228" i="1"/>
  <c r="I228" i="1"/>
  <c r="H228" i="1"/>
  <c r="L244" i="1"/>
  <c r="I244" i="1"/>
  <c r="H244" i="1"/>
  <c r="L266" i="1"/>
  <c r="I266" i="1"/>
  <c r="H266" i="1"/>
  <c r="L330" i="1"/>
  <c r="I330" i="1"/>
  <c r="H330" i="1"/>
  <c r="L394" i="1"/>
  <c r="I394" i="1"/>
  <c r="H394" i="1"/>
  <c r="L475" i="1"/>
  <c r="I475" i="1"/>
  <c r="H475" i="1"/>
  <c r="I2118" i="1"/>
  <c r="H2118" i="1"/>
  <c r="L2118" i="1"/>
  <c r="I818" i="1"/>
  <c r="H818" i="1"/>
  <c r="L818" i="1"/>
  <c r="H136" i="1"/>
  <c r="I136" i="1"/>
  <c r="L136" i="1"/>
  <c r="L185" i="1"/>
  <c r="H185" i="1"/>
  <c r="I185" i="1"/>
  <c r="L280" i="1"/>
  <c r="I280" i="1"/>
  <c r="H280" i="1"/>
  <c r="L344" i="1"/>
  <c r="I344" i="1"/>
  <c r="H344" i="1"/>
  <c r="L408" i="1"/>
  <c r="I408" i="1"/>
  <c r="H408" i="1"/>
  <c r="L12" i="1"/>
  <c r="I12" i="1"/>
  <c r="H12" i="1"/>
  <c r="L1881" i="1"/>
  <c r="I1881" i="1"/>
  <c r="H1881" i="1"/>
  <c r="L28" i="1"/>
  <c r="I28" i="1"/>
  <c r="H28" i="1"/>
  <c r="L36" i="1"/>
  <c r="I36" i="1"/>
  <c r="H36" i="1"/>
  <c r="L44" i="1"/>
  <c r="I44" i="1"/>
  <c r="H44" i="1"/>
  <c r="L52" i="1"/>
  <c r="I52" i="1"/>
  <c r="H52" i="1"/>
  <c r="L60" i="1"/>
  <c r="I60" i="1"/>
  <c r="H60" i="1"/>
  <c r="L636" i="1"/>
  <c r="I636" i="1"/>
  <c r="H636" i="1"/>
  <c r="L194" i="1"/>
  <c r="I194" i="1"/>
  <c r="H194" i="1"/>
  <c r="L84" i="1"/>
  <c r="I84" i="1"/>
  <c r="H84" i="1"/>
  <c r="L92" i="1"/>
  <c r="I92" i="1"/>
  <c r="H92" i="1"/>
  <c r="L100" i="1"/>
  <c r="I100" i="1"/>
  <c r="H100" i="1"/>
  <c r="L108" i="1"/>
  <c r="I108" i="1"/>
  <c r="H108" i="1"/>
  <c r="L116" i="1"/>
  <c r="I116" i="1"/>
  <c r="H116" i="1"/>
  <c r="L159" i="1"/>
  <c r="I159" i="1"/>
  <c r="H159" i="1"/>
  <c r="L849" i="1"/>
  <c r="I849" i="1"/>
  <c r="H849" i="1"/>
  <c r="L287" i="1"/>
  <c r="I287" i="1"/>
  <c r="H287" i="1"/>
  <c r="L351" i="1"/>
  <c r="I351" i="1"/>
  <c r="H351" i="1"/>
  <c r="L415" i="1"/>
  <c r="I415" i="1"/>
  <c r="H415" i="1"/>
  <c r="L490" i="1"/>
  <c r="I490" i="1"/>
  <c r="H490" i="1"/>
  <c r="L1110" i="1"/>
  <c r="H1110" i="1"/>
  <c r="I1110" i="1"/>
  <c r="I310" i="1"/>
  <c r="H310" i="1"/>
  <c r="L310" i="1"/>
  <c r="I374" i="1"/>
  <c r="H374" i="1"/>
  <c r="L374" i="1"/>
  <c r="I434" i="1"/>
  <c r="H434" i="1"/>
  <c r="L434" i="1"/>
  <c r="H542" i="1"/>
  <c r="I542" i="1"/>
  <c r="L542" i="1"/>
  <c r="I756" i="1"/>
  <c r="H756" i="1"/>
  <c r="L756" i="1"/>
  <c r="H285" i="1"/>
  <c r="L285" i="1"/>
  <c r="I285" i="1"/>
  <c r="H349" i="1"/>
  <c r="L349" i="1"/>
  <c r="I349" i="1"/>
  <c r="H413" i="1"/>
  <c r="L413" i="1"/>
  <c r="I413" i="1"/>
  <c r="L488" i="1"/>
  <c r="I488" i="1"/>
  <c r="H488" i="1"/>
  <c r="L828" i="1"/>
  <c r="I828" i="1"/>
  <c r="H828" i="1"/>
  <c r="L308" i="1"/>
  <c r="I308" i="1"/>
  <c r="H308" i="1"/>
  <c r="L372" i="1"/>
  <c r="I372" i="1"/>
  <c r="H372" i="1"/>
  <c r="I433" i="1"/>
  <c r="H433" i="1"/>
  <c r="L433" i="1"/>
  <c r="I692" i="1"/>
  <c r="H692" i="1"/>
  <c r="L692" i="1"/>
  <c r="I567" i="1"/>
  <c r="L567" i="1"/>
  <c r="H567" i="1"/>
  <c r="I804" i="1"/>
  <c r="H804" i="1"/>
  <c r="L804" i="1"/>
  <c r="H932" i="1"/>
  <c r="L932" i="1"/>
  <c r="I932" i="1"/>
  <c r="H996" i="1"/>
  <c r="L996" i="1"/>
  <c r="I996" i="1"/>
  <c r="L1151" i="1"/>
  <c r="I1151" i="1"/>
  <c r="H1151" i="1"/>
  <c r="L68" i="1"/>
  <c r="I68" i="1"/>
  <c r="H68" i="1"/>
  <c r="I632" i="1"/>
  <c r="H632" i="1"/>
  <c r="L632" i="1"/>
  <c r="L832" i="1"/>
  <c r="I832" i="1"/>
  <c r="H832" i="1"/>
  <c r="L464" i="1"/>
  <c r="I464" i="1"/>
  <c r="H464" i="1"/>
  <c r="H550" i="1"/>
  <c r="L550" i="1"/>
  <c r="I550" i="1"/>
  <c r="L646" i="1"/>
  <c r="I646" i="1"/>
  <c r="H646" i="1"/>
  <c r="I788" i="1"/>
  <c r="H788" i="1"/>
  <c r="L788" i="1"/>
  <c r="L1419" i="1"/>
  <c r="I1419" i="1"/>
  <c r="H1419" i="1"/>
  <c r="L1228" i="1"/>
  <c r="I1228" i="1"/>
  <c r="H1228" i="1"/>
  <c r="I502" i="1"/>
  <c r="H502" i="1"/>
  <c r="L502" i="1"/>
  <c r="I559" i="1"/>
  <c r="L559" i="1"/>
  <c r="H559" i="1"/>
  <c r="L925" i="1"/>
  <c r="H925" i="1"/>
  <c r="I925" i="1"/>
  <c r="H501" i="1"/>
  <c r="I501" i="1"/>
  <c r="L501" i="1"/>
  <c r="L614" i="1"/>
  <c r="I614" i="1"/>
  <c r="H614" i="1"/>
  <c r="I752" i="1"/>
  <c r="H752" i="1"/>
  <c r="L752" i="1"/>
  <c r="L902" i="1"/>
  <c r="I902" i="1"/>
  <c r="H902" i="1"/>
  <c r="L1030" i="1"/>
  <c r="I1030" i="1"/>
  <c r="H1030" i="1"/>
  <c r="L461" i="1"/>
  <c r="I461" i="1"/>
  <c r="H461" i="1"/>
  <c r="I523" i="1"/>
  <c r="L523" i="1"/>
  <c r="H523" i="1"/>
  <c r="L604" i="1"/>
  <c r="I604" i="1"/>
  <c r="H604" i="1"/>
  <c r="L834" i="1"/>
  <c r="I834" i="1"/>
  <c r="H834" i="1"/>
  <c r="L509" i="1"/>
  <c r="I509" i="1"/>
  <c r="H509" i="1"/>
  <c r="L573" i="1"/>
  <c r="I573" i="1"/>
  <c r="H573" i="1"/>
  <c r="I648" i="1"/>
  <c r="H648" i="1"/>
  <c r="L648" i="1"/>
  <c r="L670" i="1"/>
  <c r="I670" i="1"/>
  <c r="H670" i="1"/>
  <c r="L745" i="1"/>
  <c r="H745" i="1"/>
  <c r="I745" i="1"/>
  <c r="L1417" i="1"/>
  <c r="I1417" i="1"/>
  <c r="H1417" i="1"/>
  <c r="L1073" i="1"/>
  <c r="H1073" i="1"/>
  <c r="I1073" i="1"/>
  <c r="L1216" i="1"/>
  <c r="I1216" i="1"/>
  <c r="H1216" i="1"/>
  <c r="L1678" i="1"/>
  <c r="I1678" i="1"/>
  <c r="H1678" i="1"/>
  <c r="L685" i="1"/>
  <c r="H685" i="1"/>
  <c r="I685" i="1"/>
  <c r="L766" i="1"/>
  <c r="H766" i="1"/>
  <c r="I766" i="1"/>
  <c r="L857" i="1"/>
  <c r="I857" i="1"/>
  <c r="H857" i="1"/>
  <c r="L940" i="1"/>
  <c r="I940" i="1"/>
  <c r="H940" i="1"/>
  <c r="L1004" i="1"/>
  <c r="I1004" i="1"/>
  <c r="H1004" i="1"/>
  <c r="L1167" i="1"/>
  <c r="I1167" i="1"/>
  <c r="H1167" i="1"/>
  <c r="L1292" i="1"/>
  <c r="I1292" i="1"/>
  <c r="H1292" i="1"/>
  <c r="L529" i="1"/>
  <c r="I529" i="1"/>
  <c r="H529" i="1"/>
  <c r="L593" i="1"/>
  <c r="I593" i="1"/>
  <c r="H593" i="1"/>
  <c r="I1240" i="1"/>
  <c r="H1240" i="1"/>
  <c r="L1240" i="1"/>
  <c r="I682" i="1"/>
  <c r="L682" i="1"/>
  <c r="H682" i="1"/>
  <c r="I776" i="1"/>
  <c r="H776" i="1"/>
  <c r="L776" i="1"/>
  <c r="L861" i="1"/>
  <c r="I861" i="1"/>
  <c r="H861" i="1"/>
  <c r="L1117" i="1"/>
  <c r="H1117" i="1"/>
  <c r="I1117" i="1"/>
  <c r="L1281" i="1"/>
  <c r="I1281" i="1"/>
  <c r="H1281" i="1"/>
  <c r="I1591" i="1"/>
  <c r="L1591" i="1"/>
  <c r="H1591" i="1"/>
  <c r="H882" i="1"/>
  <c r="L882" i="1"/>
  <c r="I882" i="1"/>
  <c r="L947" i="1"/>
  <c r="I947" i="1"/>
  <c r="H947" i="1"/>
  <c r="L797" i="1"/>
  <c r="I797" i="1"/>
  <c r="H797" i="1"/>
  <c r="L1226" i="1"/>
  <c r="I1226" i="1"/>
  <c r="H1226" i="1"/>
  <c r="I2070" i="1"/>
  <c r="L2070" i="1"/>
  <c r="H2070" i="1"/>
  <c r="I657" i="1"/>
  <c r="L657" i="1"/>
  <c r="H657" i="1"/>
  <c r="L721" i="1"/>
  <c r="I721" i="1"/>
  <c r="H721" i="1"/>
  <c r="I802" i="1"/>
  <c r="L802" i="1"/>
  <c r="H802" i="1"/>
  <c r="I911" i="1"/>
  <c r="H911" i="1"/>
  <c r="L911" i="1"/>
  <c r="L1050" i="1"/>
  <c r="I1050" i="1"/>
  <c r="H1050" i="1"/>
  <c r="L1186" i="1"/>
  <c r="I1186" i="1"/>
  <c r="H1186" i="1"/>
  <c r="L619" i="1"/>
  <c r="I619" i="1"/>
  <c r="H619" i="1"/>
  <c r="I904" i="1"/>
  <c r="H904" i="1"/>
  <c r="L904" i="1"/>
  <c r="I968" i="1"/>
  <c r="H968" i="1"/>
  <c r="L968" i="1"/>
  <c r="I1032" i="1"/>
  <c r="H1032" i="1"/>
  <c r="L1032" i="1"/>
  <c r="L683" i="1"/>
  <c r="I683" i="1"/>
  <c r="H683" i="1"/>
  <c r="L715" i="1"/>
  <c r="I715" i="1"/>
  <c r="H715" i="1"/>
  <c r="L747" i="1"/>
  <c r="I747" i="1"/>
  <c r="H747" i="1"/>
  <c r="L779" i="1"/>
  <c r="I779" i="1"/>
  <c r="H779" i="1"/>
  <c r="L811" i="1"/>
  <c r="I811" i="1"/>
  <c r="H811" i="1"/>
  <c r="H843" i="1"/>
  <c r="L843" i="1"/>
  <c r="I843" i="1"/>
  <c r="H504" i="1"/>
  <c r="L504" i="1"/>
  <c r="I504" i="1"/>
  <c r="H917" i="1"/>
  <c r="L917" i="1"/>
  <c r="I917" i="1"/>
  <c r="H981" i="1"/>
  <c r="L981" i="1"/>
  <c r="I981" i="1"/>
  <c r="L1045" i="1"/>
  <c r="H1045" i="1"/>
  <c r="I1045" i="1"/>
  <c r="L958" i="1"/>
  <c r="H958" i="1"/>
  <c r="I958" i="1"/>
  <c r="L1273" i="1"/>
  <c r="H1273" i="1"/>
  <c r="I1273" i="1"/>
  <c r="L1411" i="1"/>
  <c r="I1411" i="1"/>
  <c r="H1411" i="1"/>
  <c r="I1692" i="1"/>
  <c r="H1692" i="1"/>
  <c r="L1692" i="1"/>
  <c r="I986" i="1"/>
  <c r="H986" i="1"/>
  <c r="L986" i="1"/>
  <c r="L1051" i="1"/>
  <c r="I1051" i="1"/>
  <c r="H1051" i="1"/>
  <c r="L1446" i="1"/>
  <c r="I1446" i="1"/>
  <c r="H1446" i="1"/>
  <c r="L1065" i="1"/>
  <c r="I1065" i="1"/>
  <c r="H1065" i="1"/>
  <c r="L1200" i="1"/>
  <c r="I1200" i="1"/>
  <c r="H1200" i="1"/>
  <c r="L1285" i="1"/>
  <c r="I1285" i="1"/>
  <c r="H1285" i="1"/>
  <c r="I1584" i="1"/>
  <c r="H1584" i="1"/>
  <c r="L1584" i="1"/>
  <c r="L1076" i="1"/>
  <c r="H1076" i="1"/>
  <c r="I1076" i="1"/>
  <c r="L2086" i="1"/>
  <c r="H2086" i="1"/>
  <c r="I2086" i="1"/>
  <c r="L1139" i="1"/>
  <c r="I1139" i="1"/>
  <c r="H1139" i="1"/>
  <c r="L1225" i="1"/>
  <c r="I1225" i="1"/>
  <c r="H1225" i="1"/>
  <c r="I1306" i="1"/>
  <c r="H1306" i="1"/>
  <c r="L1306" i="1"/>
  <c r="L537" i="1"/>
  <c r="I537" i="1"/>
  <c r="H537" i="1"/>
  <c r="L1428" i="1"/>
  <c r="I1428" i="1"/>
  <c r="H1428" i="1"/>
  <c r="I1607" i="1"/>
  <c r="L1607" i="1"/>
  <c r="H1607" i="1"/>
  <c r="L2137" i="1"/>
  <c r="I2137" i="1"/>
  <c r="H2137" i="1"/>
  <c r="L1229" i="1"/>
  <c r="H1229" i="1"/>
  <c r="I1229" i="1"/>
  <c r="L1474" i="1"/>
  <c r="H1474" i="1"/>
  <c r="I1474" i="1"/>
  <c r="L1054" i="1"/>
  <c r="H1054" i="1"/>
  <c r="I1054" i="1"/>
  <c r="L1095" i="1"/>
  <c r="H1095" i="1"/>
  <c r="I1095" i="1"/>
  <c r="L1127" i="1"/>
  <c r="H1127" i="1"/>
  <c r="I1127" i="1"/>
  <c r="L1181" i="1"/>
  <c r="I1181" i="1"/>
  <c r="H1181" i="1"/>
  <c r="L1276" i="1"/>
  <c r="I1276" i="1"/>
  <c r="H1276" i="1"/>
  <c r="L1344" i="1"/>
  <c r="I1344" i="1"/>
  <c r="H1344" i="1"/>
  <c r="L1408" i="1"/>
  <c r="I1408" i="1"/>
  <c r="H1408" i="1"/>
  <c r="L1662" i="1"/>
  <c r="H1662" i="1"/>
  <c r="I1662" i="1"/>
  <c r="L1453" i="1"/>
  <c r="I1453" i="1"/>
  <c r="H1453" i="1"/>
  <c r="I1623" i="1"/>
  <c r="L1623" i="1"/>
  <c r="H1623" i="1"/>
  <c r="H1223" i="1"/>
  <c r="L1223" i="1"/>
  <c r="I1223" i="1"/>
  <c r="H975" i="1"/>
  <c r="L975" i="1"/>
  <c r="I975" i="1"/>
  <c r="H1287" i="1"/>
  <c r="L1287" i="1"/>
  <c r="I1287" i="1"/>
  <c r="I1319" i="1"/>
  <c r="H1319" i="1"/>
  <c r="L1319" i="1"/>
  <c r="I1350" i="1"/>
  <c r="H1350" i="1"/>
  <c r="L1350" i="1"/>
  <c r="I76" i="1"/>
  <c r="H76" i="1"/>
  <c r="L76" i="1"/>
  <c r="I1414" i="1"/>
  <c r="H1414" i="1"/>
  <c r="L1414" i="1"/>
  <c r="L1539" i="1"/>
  <c r="I1539" i="1"/>
  <c r="H1539" i="1"/>
  <c r="I2267" i="1"/>
  <c r="L2267" i="1"/>
  <c r="H2267" i="1"/>
  <c r="H1454" i="1"/>
  <c r="L1454" i="1"/>
  <c r="I1454" i="1"/>
  <c r="H1580" i="1"/>
  <c r="L1580" i="1"/>
  <c r="I1580" i="1"/>
  <c r="L1310" i="1"/>
  <c r="I1310" i="1"/>
  <c r="H1310" i="1"/>
  <c r="L1341" i="1"/>
  <c r="I1341" i="1"/>
  <c r="H1341" i="1"/>
  <c r="L1373" i="1"/>
  <c r="I1373" i="1"/>
  <c r="H1373" i="1"/>
  <c r="L1405" i="1"/>
  <c r="I1405" i="1"/>
  <c r="H1405" i="1"/>
  <c r="I1456" i="1"/>
  <c r="L1456" i="1"/>
  <c r="H1456" i="1"/>
  <c r="I1703" i="1"/>
  <c r="H1703" i="1"/>
  <c r="L1703" i="1"/>
  <c r="L1102" i="1"/>
  <c r="I1102" i="1"/>
  <c r="H1102" i="1"/>
  <c r="H1439" i="1"/>
  <c r="I1439" i="1"/>
  <c r="L1439" i="1"/>
  <c r="H1493" i="1"/>
  <c r="I1493" i="1"/>
  <c r="L1493" i="1"/>
  <c r="L1526" i="1"/>
  <c r="H1526" i="1"/>
  <c r="I1526" i="1"/>
  <c r="I1567" i="1"/>
  <c r="H1567" i="1"/>
  <c r="L1567" i="1"/>
  <c r="I1608" i="1"/>
  <c r="H1608" i="1"/>
  <c r="L1608" i="1"/>
  <c r="L1654" i="1"/>
  <c r="H1654" i="1"/>
  <c r="I1654" i="1"/>
  <c r="I1695" i="1"/>
  <c r="H1695" i="1"/>
  <c r="L1695" i="1"/>
  <c r="I1921" i="1"/>
  <c r="L1921" i="1"/>
  <c r="H1921" i="1"/>
  <c r="H1556" i="1"/>
  <c r="L1556" i="1"/>
  <c r="I1556" i="1"/>
  <c r="H1684" i="1"/>
  <c r="L1684" i="1"/>
  <c r="I1684" i="1"/>
  <c r="L1473" i="1"/>
  <c r="I1473" i="1"/>
  <c r="H1473" i="1"/>
  <c r="L1537" i="1"/>
  <c r="I1537" i="1"/>
  <c r="H1537" i="1"/>
  <c r="L1601" i="1"/>
  <c r="I1601" i="1"/>
  <c r="H1601" i="1"/>
  <c r="L1665" i="1"/>
  <c r="I1665" i="1"/>
  <c r="H1665" i="1"/>
  <c r="H1525" i="1"/>
  <c r="L1525" i="1"/>
  <c r="I1525" i="1"/>
  <c r="H1589" i="1"/>
  <c r="L1589" i="1"/>
  <c r="I1589" i="1"/>
  <c r="H1653" i="1"/>
  <c r="I1653" i="1"/>
  <c r="L1653" i="1"/>
  <c r="H1717" i="1"/>
  <c r="L1717" i="1"/>
  <c r="I1717" i="1"/>
  <c r="L1546" i="1"/>
  <c r="I1546" i="1"/>
  <c r="H1546" i="1"/>
  <c r="L1610" i="1"/>
  <c r="I1610" i="1"/>
  <c r="H1610" i="1"/>
  <c r="L1674" i="1"/>
  <c r="I1674" i="1"/>
  <c r="H1674" i="1"/>
  <c r="L1898" i="1"/>
  <c r="I1898" i="1"/>
  <c r="H1898" i="1"/>
  <c r="L1908" i="1"/>
  <c r="I1908" i="1"/>
  <c r="H1908" i="1"/>
  <c r="L2187" i="1"/>
  <c r="I2187" i="1"/>
  <c r="H2187" i="1"/>
  <c r="L1894" i="1"/>
  <c r="I1894" i="1"/>
  <c r="H1894" i="1"/>
  <c r="L1999" i="1"/>
  <c r="I1999" i="1"/>
  <c r="H1999" i="1"/>
  <c r="L1980" i="1"/>
  <c r="I1980" i="1"/>
  <c r="H1980" i="1"/>
  <c r="L1941" i="1"/>
  <c r="I1941" i="1"/>
  <c r="H1941" i="1"/>
  <c r="L1895" i="1"/>
  <c r="I1895" i="1"/>
  <c r="H1895" i="1"/>
  <c r="L1911" i="1"/>
  <c r="I1911" i="1"/>
  <c r="H1911" i="1"/>
  <c r="L1992" i="1"/>
  <c r="I1992" i="1"/>
  <c r="H1992" i="1"/>
  <c r="L1647" i="1"/>
  <c r="I1647" i="1"/>
  <c r="H1647" i="1"/>
  <c r="L1971" i="1"/>
  <c r="I1971" i="1"/>
  <c r="H1971" i="1"/>
  <c r="I1730" i="1"/>
  <c r="L1730" i="1"/>
  <c r="H1730" i="1"/>
  <c r="I1738" i="1"/>
  <c r="L1738" i="1"/>
  <c r="H1738" i="1"/>
  <c r="I1746" i="1"/>
  <c r="H1746" i="1"/>
  <c r="L1746" i="1"/>
  <c r="H1933" i="1"/>
  <c r="L1933" i="1"/>
  <c r="I1933" i="1"/>
  <c r="H1762" i="1"/>
  <c r="I1762" i="1"/>
  <c r="L1762" i="1"/>
  <c r="I1770" i="1"/>
  <c r="H1770" i="1"/>
  <c r="L1770" i="1"/>
  <c r="I1778" i="1"/>
  <c r="H1778" i="1"/>
  <c r="L1778" i="1"/>
  <c r="I1786" i="1"/>
  <c r="H1786" i="1"/>
  <c r="L1786" i="1"/>
  <c r="I1794" i="1"/>
  <c r="H1794" i="1"/>
  <c r="L1794" i="1"/>
  <c r="I1802" i="1"/>
  <c r="L1802" i="1"/>
  <c r="H1802" i="1"/>
  <c r="L1810" i="1"/>
  <c r="I1810" i="1"/>
  <c r="H1810" i="1"/>
  <c r="L1818" i="1"/>
  <c r="I1818" i="1"/>
  <c r="H1818" i="1"/>
  <c r="L1826" i="1"/>
  <c r="I1826" i="1"/>
  <c r="H1826" i="1"/>
  <c r="L1834" i="1"/>
  <c r="I1834" i="1"/>
  <c r="H1834" i="1"/>
  <c r="L1842" i="1"/>
  <c r="I1842" i="1"/>
  <c r="H1842" i="1"/>
  <c r="L1850" i="1"/>
  <c r="I1850" i="1"/>
  <c r="H1850" i="1"/>
  <c r="L1858" i="1"/>
  <c r="I1858" i="1"/>
  <c r="H1858" i="1"/>
  <c r="L1882" i="1"/>
  <c r="H1882" i="1"/>
  <c r="I1882" i="1"/>
  <c r="L1924" i="1"/>
  <c r="I1924" i="1"/>
  <c r="H1924" i="1"/>
  <c r="L1932" i="1"/>
  <c r="I1932" i="1"/>
  <c r="H1932" i="1"/>
  <c r="L1940" i="1"/>
  <c r="I1940" i="1"/>
  <c r="H1940" i="1"/>
  <c r="L2036" i="1"/>
  <c r="I2036" i="1"/>
  <c r="H2036" i="1"/>
  <c r="L2052" i="1"/>
  <c r="I2052" i="1"/>
  <c r="H2052" i="1"/>
  <c r="L2068" i="1"/>
  <c r="I2068" i="1"/>
  <c r="H2068" i="1"/>
  <c r="L1958" i="1"/>
  <c r="I1958" i="1"/>
  <c r="H1958" i="1"/>
  <c r="L1990" i="1"/>
  <c r="I1990" i="1"/>
  <c r="H1990" i="1"/>
  <c r="L2013" i="1"/>
  <c r="I2013" i="1"/>
  <c r="H2013" i="1"/>
  <c r="H704" i="1"/>
  <c r="I704" i="1"/>
  <c r="L704" i="1"/>
  <c r="H1993" i="1"/>
  <c r="I1993" i="1"/>
  <c r="L1993" i="1"/>
  <c r="L1944" i="1"/>
  <c r="I1944" i="1"/>
  <c r="H1944" i="1"/>
  <c r="L2035" i="1"/>
  <c r="I2035" i="1"/>
  <c r="H2035" i="1"/>
  <c r="L2051" i="1"/>
  <c r="I2051" i="1"/>
  <c r="H2051" i="1"/>
  <c r="L2067" i="1"/>
  <c r="I2067" i="1"/>
  <c r="H2067" i="1"/>
  <c r="I1829" i="1"/>
  <c r="L1829" i="1"/>
  <c r="H1829" i="1"/>
  <c r="L2258" i="1"/>
  <c r="I2258" i="1"/>
  <c r="H2258" i="1"/>
  <c r="I2077" i="1"/>
  <c r="H2077" i="1"/>
  <c r="L2077" i="1"/>
  <c r="I2157" i="1"/>
  <c r="L2157" i="1"/>
  <c r="H2157" i="1"/>
  <c r="I2121" i="1"/>
  <c r="L2121" i="1"/>
  <c r="H2121" i="1"/>
  <c r="I2156" i="1"/>
  <c r="L2156" i="1"/>
  <c r="H2156" i="1"/>
  <c r="L1421" i="1"/>
  <c r="H1421" i="1"/>
  <c r="I1421" i="1"/>
  <c r="I2093" i="1"/>
  <c r="H2093" i="1"/>
  <c r="L2093" i="1"/>
  <c r="I2101" i="1"/>
  <c r="H2101" i="1"/>
  <c r="L2101" i="1"/>
  <c r="I2109" i="1"/>
  <c r="H2109" i="1"/>
  <c r="L2109" i="1"/>
  <c r="I1386" i="1"/>
  <c r="H1386" i="1"/>
  <c r="L1386" i="1"/>
  <c r="I2135" i="1"/>
  <c r="H2135" i="1"/>
  <c r="L2135" i="1"/>
  <c r="L2262" i="1"/>
  <c r="I2262" i="1"/>
  <c r="H2262" i="1"/>
  <c r="L2288" i="1"/>
  <c r="H2288" i="1"/>
  <c r="I2288" i="1"/>
  <c r="L2252" i="1"/>
  <c r="I2252" i="1"/>
  <c r="H2252" i="1"/>
  <c r="I2176" i="1"/>
  <c r="L2176" i="1"/>
  <c r="H2176" i="1"/>
  <c r="L2289" i="1"/>
  <c r="H2289" i="1"/>
  <c r="I2289" i="1"/>
  <c r="L2228" i="1"/>
  <c r="I2228" i="1"/>
  <c r="H2228" i="1"/>
  <c r="L2251" i="1"/>
  <c r="I2251" i="1"/>
  <c r="H2251" i="1"/>
  <c r="L56" i="1"/>
  <c r="I56" i="1"/>
  <c r="H56" i="1"/>
  <c r="L2295" i="1"/>
  <c r="H2295" i="1"/>
  <c r="I2295" i="1"/>
  <c r="L2179" i="1"/>
  <c r="H2179" i="1"/>
  <c r="I2179" i="1"/>
  <c r="L822" i="1"/>
  <c r="I822" i="1"/>
  <c r="H822" i="1"/>
  <c r="L2195" i="1"/>
  <c r="I2195" i="1"/>
  <c r="H2195" i="1"/>
  <c r="I2203" i="1"/>
  <c r="L2203" i="1"/>
  <c r="H2203" i="1"/>
  <c r="I1390" i="1"/>
  <c r="L1390" i="1"/>
  <c r="H1390" i="1"/>
  <c r="L2219" i="1"/>
  <c r="I2219" i="1"/>
  <c r="H2219" i="1"/>
  <c r="L241" i="1"/>
  <c r="H241" i="1"/>
  <c r="I241" i="1"/>
  <c r="L1336" i="1"/>
  <c r="I1336" i="1"/>
  <c r="H1336" i="1"/>
  <c r="O437" i="1"/>
  <c r="O838" i="1"/>
  <c r="N838" i="1"/>
  <c r="M838" i="1"/>
  <c r="M425" i="1"/>
  <c r="O425" i="1"/>
  <c r="N425" i="1"/>
  <c r="M387" i="1"/>
  <c r="O387" i="1"/>
  <c r="N387" i="1"/>
  <c r="L460" i="2"/>
  <c r="I460" i="2"/>
  <c r="H460" i="2"/>
  <c r="L125" i="2"/>
  <c r="H125" i="2"/>
  <c r="I125" i="2"/>
  <c r="L94" i="2"/>
  <c r="H94" i="2"/>
  <c r="I94" i="2"/>
  <c r="L62" i="2"/>
  <c r="H62" i="2"/>
  <c r="I62" i="2"/>
  <c r="L30" i="2"/>
  <c r="H30" i="2"/>
  <c r="I30" i="2"/>
  <c r="I142" i="2"/>
  <c r="L142" i="2"/>
  <c r="H142" i="2"/>
  <c r="L213" i="2"/>
  <c r="I213" i="2"/>
  <c r="H213" i="2"/>
  <c r="L277" i="2"/>
  <c r="I277" i="2"/>
  <c r="H277" i="2"/>
  <c r="L241" i="2"/>
  <c r="I241" i="2"/>
  <c r="H241" i="2"/>
  <c r="L139" i="2"/>
  <c r="I139" i="2"/>
  <c r="H139" i="2"/>
  <c r="L252" i="2"/>
  <c r="I252" i="2"/>
  <c r="H252" i="2"/>
  <c r="L533" i="2"/>
  <c r="I533" i="2"/>
  <c r="H533" i="2"/>
  <c r="L274" i="2"/>
  <c r="I274" i="2"/>
  <c r="H274" i="2"/>
  <c r="L346" i="2"/>
  <c r="I346" i="2"/>
  <c r="H346" i="2"/>
  <c r="L458" i="2"/>
  <c r="I458" i="2"/>
  <c r="H458" i="2"/>
  <c r="L570" i="2"/>
  <c r="I570" i="2"/>
  <c r="H570" i="2"/>
  <c r="L191" i="2"/>
  <c r="I191" i="2"/>
  <c r="H191" i="2"/>
  <c r="L255" i="2"/>
  <c r="I255" i="2"/>
  <c r="H255" i="2"/>
  <c r="L319" i="2"/>
  <c r="I319" i="2"/>
  <c r="H319" i="2"/>
  <c r="L383" i="2"/>
  <c r="I383" i="2"/>
  <c r="H383" i="2"/>
  <c r="L447" i="2"/>
  <c r="I447" i="2"/>
  <c r="H447" i="2"/>
  <c r="L511" i="2"/>
  <c r="I511" i="2"/>
  <c r="H511" i="2"/>
  <c r="L575" i="2"/>
  <c r="I575" i="2"/>
  <c r="H575" i="2"/>
  <c r="L418" i="2"/>
  <c r="I418" i="2"/>
  <c r="H418" i="2"/>
  <c r="L554" i="2"/>
  <c r="I554" i="2"/>
  <c r="H554" i="2"/>
  <c r="I179" i="2"/>
  <c r="H179" i="2"/>
  <c r="L179" i="2"/>
  <c r="L244" i="2"/>
  <c r="I244" i="2"/>
  <c r="H244" i="2"/>
  <c r="L548" i="2"/>
  <c r="I548" i="2"/>
  <c r="H548" i="2"/>
  <c r="L372" i="2"/>
  <c r="I372" i="2"/>
  <c r="H372" i="2"/>
  <c r="L436" i="2"/>
  <c r="I436" i="2"/>
  <c r="H436" i="2"/>
  <c r="L192" i="2"/>
  <c r="I192" i="2"/>
  <c r="H192" i="2"/>
  <c r="L522" i="2"/>
  <c r="I522" i="2"/>
  <c r="H522" i="2"/>
  <c r="M133" i="2"/>
  <c r="N133" i="2"/>
  <c r="O133" i="2"/>
  <c r="O288" i="2"/>
  <c r="N288" i="2"/>
  <c r="M288" i="2"/>
  <c r="M87" i="2"/>
  <c r="O87" i="2"/>
  <c r="N87" i="2"/>
  <c r="O134" i="1"/>
  <c r="N134" i="1"/>
  <c r="M134" i="1"/>
  <c r="O129" i="2"/>
  <c r="M129" i="2"/>
  <c r="N129" i="2"/>
  <c r="O1020" i="1"/>
  <c r="N1020" i="1"/>
  <c r="M1020" i="1"/>
  <c r="M107" i="2"/>
  <c r="N107" i="2"/>
  <c r="O107" i="2"/>
  <c r="M19" i="2"/>
  <c r="O19" i="2"/>
  <c r="N19" i="2"/>
  <c r="L545" i="2"/>
  <c r="I545" i="2"/>
  <c r="H545" i="2"/>
  <c r="L481" i="2"/>
  <c r="I481" i="2"/>
  <c r="H481" i="2"/>
  <c r="L373" i="2"/>
  <c r="I373" i="2"/>
  <c r="H373" i="2"/>
  <c r="L353" i="2"/>
  <c r="I353" i="2"/>
  <c r="H353" i="2"/>
  <c r="M289" i="2"/>
  <c r="N289" i="2"/>
  <c r="O289" i="2"/>
  <c r="M185" i="2"/>
  <c r="N185" i="2"/>
  <c r="O185" i="2"/>
  <c r="N405" i="2"/>
  <c r="O405" i="2"/>
  <c r="M198" i="2"/>
  <c r="O198" i="2"/>
  <c r="N198" i="2"/>
  <c r="N256" i="2"/>
  <c r="O256" i="2"/>
  <c r="M256" i="2"/>
  <c r="M55" i="2"/>
  <c r="O55" i="2"/>
  <c r="N55" i="2"/>
  <c r="L550" i="2"/>
  <c r="I550" i="2"/>
  <c r="H550" i="2"/>
  <c r="L518" i="2"/>
  <c r="I518" i="2"/>
  <c r="H518" i="2"/>
  <c r="L486" i="2"/>
  <c r="I486" i="2"/>
  <c r="H486" i="2"/>
  <c r="L454" i="2"/>
  <c r="I454" i="2"/>
  <c r="H454" i="2"/>
  <c r="L422" i="2"/>
  <c r="I422" i="2"/>
  <c r="H422" i="2"/>
  <c r="L390" i="2"/>
  <c r="I390" i="2"/>
  <c r="H390" i="2"/>
  <c r="L358" i="2"/>
  <c r="I358" i="2"/>
  <c r="H358" i="2"/>
  <c r="L326" i="2"/>
  <c r="I326" i="2"/>
  <c r="H326" i="2"/>
  <c r="L294" i="2"/>
  <c r="I294" i="2"/>
  <c r="H294" i="2"/>
  <c r="L262" i="2"/>
  <c r="I262" i="2"/>
  <c r="H262" i="2"/>
  <c r="L230" i="2"/>
  <c r="I230" i="2"/>
  <c r="H230" i="2"/>
  <c r="L76" i="2"/>
  <c r="H76" i="2"/>
  <c r="I76" i="2"/>
  <c r="L28" i="2"/>
  <c r="H28" i="2"/>
  <c r="I28" i="2"/>
  <c r="O496" i="2"/>
  <c r="N496" i="2"/>
  <c r="M496" i="2"/>
  <c r="O264" i="2"/>
  <c r="N264" i="2"/>
  <c r="M264" i="2"/>
  <c r="M42" i="2"/>
  <c r="O42" i="2"/>
  <c r="N42" i="2"/>
  <c r="O789" i="1"/>
  <c r="O172" i="1"/>
  <c r="N172" i="1"/>
  <c r="M172" i="1"/>
  <c r="O440" i="2"/>
  <c r="N440" i="2"/>
  <c r="M440" i="2"/>
  <c r="M355" i="2"/>
  <c r="O355" i="2"/>
  <c r="N355" i="2"/>
  <c r="O203" i="1"/>
  <c r="N203" i="1"/>
  <c r="M203" i="1"/>
  <c r="M85" i="2"/>
  <c r="O85" i="2"/>
  <c r="N85" i="2"/>
  <c r="M11" i="2"/>
  <c r="O11" i="2"/>
  <c r="N11" i="2"/>
  <c r="O144" i="2"/>
  <c r="N144" i="2"/>
  <c r="M144" i="2"/>
  <c r="M88" i="2"/>
  <c r="O88" i="2"/>
  <c r="N88" i="2"/>
  <c r="M56" i="2"/>
  <c r="N56" i="2"/>
  <c r="O56" i="2"/>
  <c r="O99" i="2"/>
  <c r="M392" i="2" l="1"/>
  <c r="M146" i="2"/>
  <c r="O146" i="2"/>
  <c r="N355" i="1"/>
  <c r="O355" i="1"/>
  <c r="O466" i="1"/>
  <c r="M466" i="1"/>
  <c r="M243" i="1"/>
  <c r="O737" i="1"/>
  <c r="N393" i="1"/>
  <c r="M780" i="1"/>
  <c r="O148" i="1"/>
  <c r="N640" i="1"/>
  <c r="O640" i="1"/>
  <c r="M737" i="1"/>
  <c r="N307" i="1"/>
  <c r="N437" i="1"/>
  <c r="N684" i="1"/>
  <c r="O32" i="2"/>
  <c r="N119" i="2"/>
  <c r="N138" i="2"/>
  <c r="O280" i="2"/>
  <c r="M520" i="2"/>
  <c r="M170" i="2"/>
  <c r="O45" i="2"/>
  <c r="O520" i="2"/>
  <c r="N45" i="2"/>
  <c r="O93" i="2"/>
  <c r="M98" i="2"/>
  <c r="O130" i="2"/>
  <c r="M552" i="2"/>
  <c r="M23" i="2"/>
  <c r="O95" i="2"/>
  <c r="O138" i="2"/>
  <c r="O392" i="2"/>
  <c r="N500" i="2"/>
  <c r="N95" i="2"/>
  <c r="N99" i="2"/>
  <c r="M130" i="2"/>
  <c r="N237" i="2"/>
  <c r="N93" i="2"/>
  <c r="M376" i="2"/>
  <c r="N23" i="2"/>
  <c r="N376" i="2"/>
  <c r="N98" i="2"/>
  <c r="N419" i="1"/>
  <c r="N403" i="1"/>
  <c r="O419" i="1"/>
  <c r="N440" i="1"/>
  <c r="O403" i="1"/>
  <c r="N526" i="1"/>
  <c r="O440" i="1"/>
  <c r="M789" i="1"/>
  <c r="O526" i="1"/>
  <c r="M210" i="1"/>
  <c r="O195" i="1"/>
  <c r="M217" i="1"/>
  <c r="O219" i="1"/>
  <c r="M4" i="1"/>
  <c r="M219" i="1"/>
  <c r="N506" i="1"/>
  <c r="M188" i="1"/>
  <c r="N217" i="1"/>
  <c r="N210" i="1"/>
  <c r="N4" i="1"/>
  <c r="M195" i="1"/>
  <c r="N150" i="1"/>
  <c r="O506" i="1"/>
  <c r="N188" i="1"/>
  <c r="M150" i="1"/>
  <c r="O684" i="1"/>
  <c r="N148" i="1"/>
  <c r="O187" i="1"/>
  <c r="N313" i="1"/>
  <c r="O307" i="1"/>
  <c r="M935" i="1"/>
  <c r="N935" i="1"/>
  <c r="M164" i="1"/>
  <c r="N164" i="1"/>
  <c r="O313" i="1"/>
  <c r="N156" i="1"/>
  <c r="N505" i="1"/>
  <c r="M163" i="1"/>
  <c r="O156" i="1"/>
  <c r="O505" i="1"/>
  <c r="M1180" i="1"/>
  <c r="N281" i="1"/>
  <c r="O163" i="1"/>
  <c r="N132" i="1"/>
  <c r="O281" i="1"/>
  <c r="N199" i="1"/>
  <c r="M171" i="1"/>
  <c r="M132" i="1"/>
  <c r="O199" i="1"/>
  <c r="M890" i="1"/>
  <c r="N171" i="1"/>
  <c r="N1180" i="1"/>
  <c r="M187" i="1"/>
  <c r="N431" i="1"/>
  <c r="N890" i="1"/>
  <c r="M2149" i="1"/>
  <c r="O2149" i="1"/>
  <c r="N2149" i="1"/>
  <c r="N1953" i="1"/>
  <c r="N155" i="1"/>
  <c r="M1953" i="1"/>
  <c r="M155" i="1"/>
  <c r="M450" i="1"/>
  <c r="O450" i="1"/>
  <c r="N450" i="1"/>
  <c r="O1404" i="1"/>
  <c r="N1404" i="1"/>
  <c r="M1404" i="1"/>
  <c r="N290" i="2"/>
  <c r="M290" i="2"/>
  <c r="O290" i="2"/>
  <c r="N1743" i="1"/>
  <c r="O1743" i="1"/>
  <c r="M1743" i="1"/>
  <c r="O1343" i="1"/>
  <c r="N1343" i="1"/>
  <c r="M1343" i="1"/>
  <c r="O438" i="2"/>
  <c r="N438" i="2"/>
  <c r="M438" i="2"/>
  <c r="M1088" i="1"/>
  <c r="O1088" i="1"/>
  <c r="N1088" i="1"/>
  <c r="O837" i="1"/>
  <c r="N837" i="1"/>
  <c r="M837" i="1"/>
  <c r="O1962" i="1"/>
  <c r="M1962" i="1"/>
  <c r="N1962" i="1"/>
  <c r="O1627" i="1"/>
  <c r="N1627" i="1"/>
  <c r="M1627" i="1"/>
  <c r="O781" i="1"/>
  <c r="N781" i="1"/>
  <c r="M781" i="1"/>
  <c r="O1853" i="1"/>
  <c r="N1853" i="1"/>
  <c r="M1853" i="1"/>
  <c r="O695" i="1"/>
  <c r="N695" i="1"/>
  <c r="M695" i="1"/>
  <c r="O647" i="1"/>
  <c r="M647" i="1"/>
  <c r="N647" i="1"/>
  <c r="O549" i="2"/>
  <c r="N549" i="2"/>
  <c r="M549" i="2"/>
  <c r="O1796" i="1"/>
  <c r="N1796" i="1"/>
  <c r="M1796" i="1"/>
  <c r="O2028" i="1"/>
  <c r="N2028" i="1"/>
  <c r="M2028" i="1"/>
  <c r="O1503" i="1"/>
  <c r="N1503" i="1"/>
  <c r="M1503" i="1"/>
  <c r="O1561" i="1"/>
  <c r="N1561" i="1"/>
  <c r="M1561" i="1"/>
  <c r="M533" i="1"/>
  <c r="N533" i="1"/>
  <c r="O533" i="1"/>
  <c r="O47" i="1"/>
  <c r="N47" i="1"/>
  <c r="M47" i="1"/>
  <c r="O2057" i="1"/>
  <c r="N2057" i="1"/>
  <c r="M2057" i="1"/>
  <c r="O1422" i="1"/>
  <c r="N1422" i="1"/>
  <c r="M1422" i="1"/>
  <c r="O139" i="2"/>
  <c r="N139" i="2"/>
  <c r="M139" i="2"/>
  <c r="M1829" i="1"/>
  <c r="O1829" i="1"/>
  <c r="N1829" i="1"/>
  <c r="M1911" i="1"/>
  <c r="O1911" i="1"/>
  <c r="N1911" i="1"/>
  <c r="O1665" i="1"/>
  <c r="N1665" i="1"/>
  <c r="M1665" i="1"/>
  <c r="O1045" i="1"/>
  <c r="N1045" i="1"/>
  <c r="M1045" i="1"/>
  <c r="M593" i="1"/>
  <c r="N593" i="1"/>
  <c r="O593" i="1"/>
  <c r="O828" i="1"/>
  <c r="N828" i="1"/>
  <c r="M828" i="1"/>
  <c r="O1392" i="1"/>
  <c r="N1392" i="1"/>
  <c r="M1392" i="1"/>
  <c r="O1978" i="1"/>
  <c r="M1978" i="1"/>
  <c r="N1978" i="1"/>
  <c r="O1956" i="1"/>
  <c r="M1956" i="1"/>
  <c r="N1956" i="1"/>
  <c r="O2105" i="1"/>
  <c r="N2105" i="1"/>
  <c r="M2105" i="1"/>
  <c r="O2055" i="1"/>
  <c r="N2055" i="1"/>
  <c r="M2055" i="1"/>
  <c r="O30" i="1"/>
  <c r="N30" i="1"/>
  <c r="M30" i="1"/>
  <c r="M1893" i="1"/>
  <c r="O1893" i="1"/>
  <c r="N1893" i="1"/>
  <c r="O1023" i="1"/>
  <c r="N1023" i="1"/>
  <c r="M1023" i="1"/>
  <c r="M476" i="2"/>
  <c r="O476" i="2"/>
  <c r="N476" i="2"/>
  <c r="O2048" i="1"/>
  <c r="N2048" i="1"/>
  <c r="M2048" i="1"/>
  <c r="O620" i="1"/>
  <c r="N620" i="1"/>
  <c r="M620" i="1"/>
  <c r="O563" i="2"/>
  <c r="N563" i="2"/>
  <c r="M563" i="2"/>
  <c r="O137" i="2"/>
  <c r="M137" i="2"/>
  <c r="N137" i="2"/>
  <c r="M1905" i="1"/>
  <c r="O1905" i="1"/>
  <c r="N1905" i="1"/>
  <c r="O1329" i="1"/>
  <c r="N1329" i="1"/>
  <c r="M1329" i="1"/>
  <c r="O735" i="1"/>
  <c r="N735" i="1"/>
  <c r="M735" i="1"/>
  <c r="M1460" i="1"/>
  <c r="O1460" i="1"/>
  <c r="N1460" i="1"/>
  <c r="M477" i="1"/>
  <c r="O477" i="1"/>
  <c r="N477" i="1"/>
  <c r="M478" i="1"/>
  <c r="O478" i="1"/>
  <c r="N478" i="1"/>
  <c r="O937" i="1"/>
  <c r="N937" i="1"/>
  <c r="M937" i="1"/>
  <c r="O1035" i="1"/>
  <c r="N1035" i="1"/>
  <c r="M1035" i="1"/>
  <c r="M284" i="1"/>
  <c r="O284" i="1"/>
  <c r="N284" i="1"/>
  <c r="M603" i="1"/>
  <c r="O603" i="1"/>
  <c r="N603" i="1"/>
  <c r="O81" i="1"/>
  <c r="N81" i="1"/>
  <c r="M81" i="1"/>
  <c r="O17" i="1"/>
  <c r="N17" i="1"/>
  <c r="M17" i="1"/>
  <c r="M384" i="1"/>
  <c r="N384" i="1"/>
  <c r="O384" i="1"/>
  <c r="M5" i="1"/>
  <c r="O5" i="1"/>
  <c r="N5" i="1"/>
  <c r="M370" i="1"/>
  <c r="O370" i="1"/>
  <c r="N370" i="1"/>
  <c r="M267" i="1"/>
  <c r="O267" i="1"/>
  <c r="N267" i="1"/>
  <c r="N143" i="2"/>
  <c r="M143" i="2"/>
  <c r="O143" i="2"/>
  <c r="O278" i="2"/>
  <c r="N278" i="2"/>
  <c r="M278" i="2"/>
  <c r="O534" i="2"/>
  <c r="N534" i="2"/>
  <c r="M534" i="2"/>
  <c r="M183" i="2"/>
  <c r="O183" i="2"/>
  <c r="N183" i="2"/>
  <c r="O565" i="2"/>
  <c r="M565" i="2"/>
  <c r="N565" i="2"/>
  <c r="O152" i="2"/>
  <c r="N152" i="2"/>
  <c r="M152" i="2"/>
  <c r="O2275" i="1"/>
  <c r="N2275" i="1"/>
  <c r="M2275" i="1"/>
  <c r="N2159" i="1"/>
  <c r="M2159" i="1"/>
  <c r="O2159" i="1"/>
  <c r="M1877" i="1"/>
  <c r="O1877" i="1"/>
  <c r="N1877" i="1"/>
  <c r="N1207" i="1"/>
  <c r="M1207" i="1"/>
  <c r="O1207" i="1"/>
  <c r="O1079" i="1"/>
  <c r="N1079" i="1"/>
  <c r="M1079" i="1"/>
  <c r="O1547" i="1"/>
  <c r="N1547" i="1"/>
  <c r="M1547" i="1"/>
  <c r="O639" i="1"/>
  <c r="M639" i="1"/>
  <c r="N639" i="1"/>
  <c r="O972" i="1"/>
  <c r="N972" i="1"/>
  <c r="M972" i="1"/>
  <c r="O750" i="1"/>
  <c r="N750" i="1"/>
  <c r="M750" i="1"/>
  <c r="M383" i="1"/>
  <c r="O383" i="1"/>
  <c r="N383" i="1"/>
  <c r="O469" i="2"/>
  <c r="N469" i="2"/>
  <c r="M469" i="2"/>
  <c r="M2130" i="1"/>
  <c r="O2130" i="1"/>
  <c r="N2130" i="1"/>
  <c r="O1689" i="1"/>
  <c r="N1689" i="1"/>
  <c r="M1689" i="1"/>
  <c r="O1069" i="1"/>
  <c r="N1069" i="1"/>
  <c r="M1069" i="1"/>
  <c r="O893" i="1"/>
  <c r="N893" i="1"/>
  <c r="M893" i="1"/>
  <c r="M592" i="1"/>
  <c r="O592" i="1"/>
  <c r="N592" i="1"/>
  <c r="M373" i="1"/>
  <c r="O373" i="1"/>
  <c r="N373" i="1"/>
  <c r="M290" i="1"/>
  <c r="O290" i="1"/>
  <c r="N290" i="1"/>
  <c r="O300" i="2"/>
  <c r="N300" i="2"/>
  <c r="M300" i="2"/>
  <c r="N434" i="2"/>
  <c r="M434" i="2"/>
  <c r="O434" i="2"/>
  <c r="O2271" i="1"/>
  <c r="N2271" i="1"/>
  <c r="M2271" i="1"/>
  <c r="O1836" i="1"/>
  <c r="N1836" i="1"/>
  <c r="M1836" i="1"/>
  <c r="O1622" i="1"/>
  <c r="N1622" i="1"/>
  <c r="M1622" i="1"/>
  <c r="O755" i="1"/>
  <c r="N755" i="1"/>
  <c r="M755" i="1"/>
  <c r="O1070" i="1"/>
  <c r="N1070" i="1"/>
  <c r="M1070" i="1"/>
  <c r="O186" i="1"/>
  <c r="M186" i="1"/>
  <c r="N186" i="1"/>
  <c r="M409" i="2"/>
  <c r="O409" i="2"/>
  <c r="N409" i="2"/>
  <c r="M327" i="2"/>
  <c r="O327" i="2"/>
  <c r="N327" i="2"/>
  <c r="O2278" i="1"/>
  <c r="N2278" i="1"/>
  <c r="M2278" i="1"/>
  <c r="O1673" i="1"/>
  <c r="N1673" i="1"/>
  <c r="M1673" i="1"/>
  <c r="O1913" i="1"/>
  <c r="N1913" i="1"/>
  <c r="M1913" i="1"/>
  <c r="O1355" i="1"/>
  <c r="N1355" i="1"/>
  <c r="M1355" i="1"/>
  <c r="O1660" i="1"/>
  <c r="N1660" i="1"/>
  <c r="M1660" i="1"/>
  <c r="O1081" i="1"/>
  <c r="N1081" i="1"/>
  <c r="M1081" i="1"/>
  <c r="O918" i="1"/>
  <c r="N918" i="1"/>
  <c r="M918" i="1"/>
  <c r="M547" i="1"/>
  <c r="O547" i="1"/>
  <c r="N547" i="1"/>
  <c r="M498" i="1"/>
  <c r="O498" i="1"/>
  <c r="N498" i="1"/>
  <c r="M1370" i="1"/>
  <c r="O1370" i="1"/>
  <c r="N1370" i="1"/>
  <c r="M1757" i="1"/>
  <c r="N1757" i="1"/>
  <c r="O1757" i="1"/>
  <c r="O1130" i="1"/>
  <c r="N1130" i="1"/>
  <c r="M1130" i="1"/>
  <c r="O1153" i="1"/>
  <c r="N1153" i="1"/>
  <c r="M1153" i="1"/>
  <c r="M510" i="1"/>
  <c r="O510" i="1"/>
  <c r="N510" i="1"/>
  <c r="M139" i="1"/>
  <c r="O139" i="1"/>
  <c r="N139" i="1"/>
  <c r="M117" i="2"/>
  <c r="O117" i="2"/>
  <c r="N117" i="2"/>
  <c r="O2056" i="1"/>
  <c r="N2056" i="1"/>
  <c r="M2056" i="1"/>
  <c r="O1596" i="1"/>
  <c r="N1596" i="1"/>
  <c r="M1596" i="1"/>
  <c r="M1176" i="1"/>
  <c r="O1176" i="1"/>
  <c r="N1176" i="1"/>
  <c r="O1305" i="1"/>
  <c r="N1305" i="1"/>
  <c r="M1305" i="1"/>
  <c r="O860" i="1"/>
  <c r="N860" i="1"/>
  <c r="M860" i="1"/>
  <c r="M598" i="1"/>
  <c r="O598" i="1"/>
  <c r="N598" i="1"/>
  <c r="O38" i="1"/>
  <c r="N38" i="1"/>
  <c r="M38" i="1"/>
  <c r="M491" i="1"/>
  <c r="O491" i="1"/>
  <c r="N491" i="1"/>
  <c r="O291" i="2"/>
  <c r="N291" i="2"/>
  <c r="M291" i="2"/>
  <c r="O1545" i="1"/>
  <c r="N1545" i="1"/>
  <c r="M1545" i="1"/>
  <c r="O1291" i="1"/>
  <c r="N1291" i="1"/>
  <c r="M1291" i="1"/>
  <c r="O426" i="1"/>
  <c r="N426" i="1"/>
  <c r="M426" i="1"/>
  <c r="O817" i="1"/>
  <c r="N817" i="1"/>
  <c r="M817" i="1"/>
  <c r="M359" i="1"/>
  <c r="O359" i="1"/>
  <c r="N359" i="1"/>
  <c r="M479" i="2"/>
  <c r="O479" i="2"/>
  <c r="N479" i="2"/>
  <c r="O1099" i="1"/>
  <c r="N1099" i="1"/>
  <c r="M1099" i="1"/>
  <c r="O248" i="1"/>
  <c r="N248" i="1"/>
  <c r="M248" i="1"/>
  <c r="M470" i="1"/>
  <c r="O470" i="1"/>
  <c r="N470" i="1"/>
  <c r="M463" i="1"/>
  <c r="N463" i="1"/>
  <c r="O463" i="1"/>
  <c r="M460" i="1"/>
  <c r="N460" i="1"/>
  <c r="O460" i="1"/>
  <c r="M329" i="2"/>
  <c r="N329" i="2"/>
  <c r="O329" i="2"/>
  <c r="O524" i="2"/>
  <c r="M524" i="2"/>
  <c r="N524" i="2"/>
  <c r="N148" i="2"/>
  <c r="M148" i="2"/>
  <c r="O148" i="2"/>
  <c r="O557" i="2"/>
  <c r="M557" i="2"/>
  <c r="N557" i="2"/>
  <c r="O2198" i="1"/>
  <c r="N2198" i="1"/>
  <c r="M2198" i="1"/>
  <c r="O2025" i="1"/>
  <c r="N2025" i="1"/>
  <c r="M2025" i="1"/>
  <c r="O2020" i="1"/>
  <c r="M2020" i="1"/>
  <c r="N2020" i="1"/>
  <c r="O1466" i="1"/>
  <c r="N1466" i="1"/>
  <c r="M1466" i="1"/>
  <c r="O2211" i="1"/>
  <c r="N2211" i="1"/>
  <c r="M2211" i="1"/>
  <c r="O1447" i="1"/>
  <c r="N1447" i="1"/>
  <c r="M1447" i="1"/>
  <c r="O727" i="1"/>
  <c r="N727" i="1"/>
  <c r="M727" i="1"/>
  <c r="O1118" i="1"/>
  <c r="N1118" i="1"/>
  <c r="M1118" i="1"/>
  <c r="O812" i="1"/>
  <c r="N812" i="1"/>
  <c r="M812" i="1"/>
  <c r="M418" i="1"/>
  <c r="O418" i="1"/>
  <c r="N418" i="1"/>
  <c r="O574" i="2"/>
  <c r="N574" i="2"/>
  <c r="M574" i="2"/>
  <c r="N474" i="2"/>
  <c r="M474" i="2"/>
  <c r="O474" i="2"/>
  <c r="O1812" i="1"/>
  <c r="N1812" i="1"/>
  <c r="M1812" i="1"/>
  <c r="N1155" i="1"/>
  <c r="M1155" i="1"/>
  <c r="O1155" i="1"/>
  <c r="O963" i="1"/>
  <c r="N963" i="1"/>
  <c r="M963" i="1"/>
  <c r="M583" i="1"/>
  <c r="O583" i="1"/>
  <c r="N583" i="1"/>
  <c r="M326" i="1"/>
  <c r="N326" i="1"/>
  <c r="O326" i="1"/>
  <c r="O477" i="2"/>
  <c r="M477" i="2"/>
  <c r="N477" i="2"/>
  <c r="M2139" i="1"/>
  <c r="O2139" i="1"/>
  <c r="N2139" i="1"/>
  <c r="M1763" i="1"/>
  <c r="N1763" i="1"/>
  <c r="O1763" i="1"/>
  <c r="O1236" i="1"/>
  <c r="N1236" i="1"/>
  <c r="M1236" i="1"/>
  <c r="O897" i="1"/>
  <c r="N897" i="1"/>
  <c r="M897" i="1"/>
  <c r="M288" i="1"/>
  <c r="N288" i="1"/>
  <c r="O288" i="1"/>
  <c r="O2012" i="1"/>
  <c r="M2012" i="1"/>
  <c r="N2012" i="1"/>
  <c r="O1475" i="1"/>
  <c r="N1475" i="1"/>
  <c r="M1475" i="1"/>
  <c r="O1166" i="1"/>
  <c r="N1166" i="1"/>
  <c r="M1166" i="1"/>
  <c r="O827" i="1"/>
  <c r="N827" i="1"/>
  <c r="M827" i="1"/>
  <c r="O768" i="1"/>
  <c r="N768" i="1"/>
  <c r="M768" i="1"/>
  <c r="O1384" i="1"/>
  <c r="N1384" i="1"/>
  <c r="M1384" i="1"/>
  <c r="O718" i="1"/>
  <c r="N718" i="1"/>
  <c r="M718" i="1"/>
  <c r="O88" i="1"/>
  <c r="N88" i="1"/>
  <c r="M88" i="1"/>
  <c r="O154" i="1"/>
  <c r="N154" i="1"/>
  <c r="M154" i="1"/>
  <c r="O576" i="2"/>
  <c r="N576" i="2"/>
  <c r="M576" i="2"/>
  <c r="M343" i="2"/>
  <c r="O343" i="2"/>
  <c r="N343" i="2"/>
  <c r="O2112" i="1"/>
  <c r="N2112" i="1"/>
  <c r="M2112" i="1"/>
  <c r="O1613" i="1"/>
  <c r="N1613" i="1"/>
  <c r="M1613" i="1"/>
  <c r="O1299" i="1"/>
  <c r="N1299" i="1"/>
  <c r="M1299" i="1"/>
  <c r="O1805" i="1"/>
  <c r="N1805" i="1"/>
  <c r="M1805" i="1"/>
  <c r="O1122" i="1"/>
  <c r="N1122" i="1"/>
  <c r="M1122" i="1"/>
  <c r="O551" i="1"/>
  <c r="N551" i="1"/>
  <c r="M551" i="1"/>
  <c r="M570" i="1"/>
  <c r="O570" i="1"/>
  <c r="N570" i="1"/>
  <c r="O39" i="1"/>
  <c r="N39" i="1"/>
  <c r="M39" i="1"/>
  <c r="O254" i="2"/>
  <c r="N254" i="2"/>
  <c r="M254" i="2"/>
  <c r="N196" i="2"/>
  <c r="M196" i="2"/>
  <c r="O196" i="2"/>
  <c r="N167" i="2"/>
  <c r="M167" i="2"/>
  <c r="O167" i="2"/>
  <c r="M489" i="1"/>
  <c r="O489" i="1"/>
  <c r="N489" i="1"/>
  <c r="M1732" i="1"/>
  <c r="O1732" i="1"/>
  <c r="N1732" i="1"/>
  <c r="M1890" i="1"/>
  <c r="O1890" i="1"/>
  <c r="N1890" i="1"/>
  <c r="O938" i="1"/>
  <c r="N938" i="1"/>
  <c r="M938" i="1"/>
  <c r="O738" i="1"/>
  <c r="N738" i="1"/>
  <c r="M738" i="1"/>
  <c r="O762" i="1"/>
  <c r="N762" i="1"/>
  <c r="M762" i="1"/>
  <c r="O111" i="1"/>
  <c r="N111" i="1"/>
  <c r="M111" i="1"/>
  <c r="O259" i="2"/>
  <c r="N259" i="2"/>
  <c r="M259" i="2"/>
  <c r="N426" i="2"/>
  <c r="M426" i="2"/>
  <c r="O426" i="2"/>
  <c r="O169" i="2"/>
  <c r="M169" i="2"/>
  <c r="N169" i="2"/>
  <c r="O20" i="1"/>
  <c r="M20" i="1"/>
  <c r="N20" i="1"/>
  <c r="O1843" i="1"/>
  <c r="N1843" i="1"/>
  <c r="M1843" i="1"/>
  <c r="O2007" i="1"/>
  <c r="M2007" i="1"/>
  <c r="N2007" i="1"/>
  <c r="O1432" i="1"/>
  <c r="N1432" i="1"/>
  <c r="M1432" i="1"/>
  <c r="O1710" i="1"/>
  <c r="N1710" i="1"/>
  <c r="M1710" i="1"/>
  <c r="O1415" i="1"/>
  <c r="N1415" i="1"/>
  <c r="M1415" i="1"/>
  <c r="O942" i="1"/>
  <c r="N942" i="1"/>
  <c r="M942" i="1"/>
  <c r="O1284" i="1"/>
  <c r="N1284" i="1"/>
  <c r="M1284" i="1"/>
  <c r="O522" i="2"/>
  <c r="M522" i="2"/>
  <c r="N522" i="2"/>
  <c r="M1941" i="1"/>
  <c r="O1941" i="1"/>
  <c r="N1941" i="1"/>
  <c r="O1292" i="1"/>
  <c r="N1292" i="1"/>
  <c r="M1292" i="1"/>
  <c r="M367" i="2"/>
  <c r="O367" i="2"/>
  <c r="N367" i="2"/>
  <c r="O1594" i="1"/>
  <c r="N1594" i="1"/>
  <c r="M1594" i="1"/>
  <c r="O1696" i="1"/>
  <c r="N1696" i="1"/>
  <c r="M1696" i="1"/>
  <c r="O739" i="1"/>
  <c r="N739" i="1"/>
  <c r="M739" i="1"/>
  <c r="M378" i="1"/>
  <c r="O378" i="1"/>
  <c r="N378" i="1"/>
  <c r="O2030" i="1"/>
  <c r="N2030" i="1"/>
  <c r="M2030" i="1"/>
  <c r="O1683" i="1"/>
  <c r="N1683" i="1"/>
  <c r="M1683" i="1"/>
  <c r="O1960" i="1"/>
  <c r="M1960" i="1"/>
  <c r="N1960" i="1"/>
  <c r="M409" i="1"/>
  <c r="O409" i="1"/>
  <c r="N409" i="1"/>
  <c r="O1540" i="1"/>
  <c r="N1540" i="1"/>
  <c r="M1540" i="1"/>
  <c r="O1171" i="1"/>
  <c r="N1171" i="1"/>
  <c r="M1171" i="1"/>
  <c r="M584" i="1"/>
  <c r="O584" i="1"/>
  <c r="N584" i="1"/>
  <c r="O623" i="1"/>
  <c r="M623" i="1"/>
  <c r="N623" i="1"/>
  <c r="M564" i="1"/>
  <c r="O564" i="1"/>
  <c r="N564" i="1"/>
  <c r="M538" i="1"/>
  <c r="O538" i="1"/>
  <c r="N538" i="1"/>
  <c r="O2039" i="1"/>
  <c r="M2039" i="1"/>
  <c r="N2039" i="1"/>
  <c r="O2263" i="1"/>
  <c r="N2263" i="1"/>
  <c r="M2263" i="1"/>
  <c r="O1800" i="1"/>
  <c r="N1800" i="1"/>
  <c r="M1800" i="1"/>
  <c r="O1531" i="1"/>
  <c r="N1531" i="1"/>
  <c r="M1531" i="1"/>
  <c r="O1154" i="1"/>
  <c r="N1154" i="1"/>
  <c r="M1154" i="1"/>
  <c r="M2155" i="1"/>
  <c r="O2155" i="1"/>
  <c r="N2155" i="1"/>
  <c r="O1946" i="1"/>
  <c r="M1946" i="1"/>
  <c r="N1946" i="1"/>
  <c r="O907" i="1"/>
  <c r="N907" i="1"/>
  <c r="M907" i="1"/>
  <c r="M465" i="1"/>
  <c r="N465" i="1"/>
  <c r="O465" i="1"/>
  <c r="M513" i="2"/>
  <c r="N513" i="2"/>
  <c r="O513" i="2"/>
  <c r="O1789" i="1"/>
  <c r="N1789" i="1"/>
  <c r="M1789" i="1"/>
  <c r="O446" i="2"/>
  <c r="N446" i="2"/>
  <c r="M446" i="2"/>
  <c r="O483" i="2"/>
  <c r="N483" i="2"/>
  <c r="M483" i="2"/>
  <c r="O2180" i="1"/>
  <c r="N2180" i="1"/>
  <c r="M2180" i="1"/>
  <c r="O1574" i="1"/>
  <c r="N1574" i="1"/>
  <c r="M1574" i="1"/>
  <c r="M532" i="2"/>
  <c r="O532" i="2"/>
  <c r="N532" i="2"/>
  <c r="O1502" i="1"/>
  <c r="N1502" i="1"/>
  <c r="M1502" i="1"/>
  <c r="O936" i="1"/>
  <c r="N936" i="1"/>
  <c r="M936" i="1"/>
  <c r="O365" i="2"/>
  <c r="M365" i="2"/>
  <c r="N365" i="2"/>
  <c r="M1906" i="1"/>
  <c r="O1906" i="1"/>
  <c r="N1906" i="1"/>
  <c r="O1309" i="1"/>
  <c r="N1309" i="1"/>
  <c r="M1309" i="1"/>
  <c r="M309" i="1"/>
  <c r="O309" i="1"/>
  <c r="N309" i="1"/>
  <c r="O146" i="1"/>
  <c r="N146" i="1"/>
  <c r="M146" i="1"/>
  <c r="O691" i="1"/>
  <c r="N691" i="1"/>
  <c r="M691" i="1"/>
  <c r="O1256" i="1"/>
  <c r="N1256" i="1"/>
  <c r="M1256" i="1"/>
  <c r="O2085" i="1"/>
  <c r="N2085" i="1"/>
  <c r="M2085" i="1"/>
  <c r="O1528" i="1"/>
  <c r="N1528" i="1"/>
  <c r="M1528" i="1"/>
  <c r="O1059" i="1"/>
  <c r="N1059" i="1"/>
  <c r="M1059" i="1"/>
  <c r="O686" i="1"/>
  <c r="N686" i="1"/>
  <c r="M686" i="1"/>
  <c r="O1945" i="1"/>
  <c r="M1945" i="1"/>
  <c r="N1945" i="1"/>
  <c r="O407" i="2"/>
  <c r="N407" i="2"/>
  <c r="M407" i="2"/>
  <c r="O510" i="2"/>
  <c r="N510" i="2"/>
  <c r="M510" i="2"/>
  <c r="M271" i="2"/>
  <c r="O271" i="2"/>
  <c r="N271" i="2"/>
  <c r="O2001" i="1"/>
  <c r="M2001" i="1"/>
  <c r="N2001" i="1"/>
  <c r="O1381" i="1"/>
  <c r="N1381" i="1"/>
  <c r="M1381" i="1"/>
  <c r="O1774" i="1"/>
  <c r="N1774" i="1"/>
  <c r="M1774" i="1"/>
  <c r="O46" i="1"/>
  <c r="N46" i="1"/>
  <c r="M46" i="1"/>
  <c r="M417" i="1"/>
  <c r="O417" i="1"/>
  <c r="N417" i="1"/>
  <c r="O515" i="2"/>
  <c r="N515" i="2"/>
  <c r="M515" i="2"/>
  <c r="M150" i="2"/>
  <c r="N150" i="2"/>
  <c r="O150" i="2"/>
  <c r="M2128" i="1"/>
  <c r="N2128" i="1"/>
  <c r="O2128" i="1"/>
  <c r="O294" i="2"/>
  <c r="N294" i="2"/>
  <c r="M294" i="2"/>
  <c r="O550" i="2"/>
  <c r="N550" i="2"/>
  <c r="M550" i="2"/>
  <c r="M447" i="2"/>
  <c r="O447" i="2"/>
  <c r="N447" i="2"/>
  <c r="O1421" i="1"/>
  <c r="N1421" i="1"/>
  <c r="M1421" i="1"/>
  <c r="O1623" i="1"/>
  <c r="N1623" i="1"/>
  <c r="M1623" i="1"/>
  <c r="O619" i="1"/>
  <c r="N619" i="1"/>
  <c r="M619" i="1"/>
  <c r="O84" i="1"/>
  <c r="N84" i="1"/>
  <c r="M84" i="1"/>
  <c r="O1517" i="1"/>
  <c r="N1517" i="1"/>
  <c r="M1517" i="1"/>
  <c r="M485" i="1"/>
  <c r="O485" i="1"/>
  <c r="N485" i="1"/>
  <c r="M356" i="1"/>
  <c r="O356" i="1"/>
  <c r="N356" i="1"/>
  <c r="O2174" i="1"/>
  <c r="N2174" i="1"/>
  <c r="M2174" i="1"/>
  <c r="O1174" i="1"/>
  <c r="N1174" i="1"/>
  <c r="M1174" i="1"/>
  <c r="O1516" i="1"/>
  <c r="N1516" i="1"/>
  <c r="M1516" i="1"/>
  <c r="O437" i="2"/>
  <c r="M437" i="2"/>
  <c r="N437" i="2"/>
  <c r="O1514" i="1"/>
  <c r="N1514" i="1"/>
  <c r="M1514" i="1"/>
  <c r="O1559" i="1"/>
  <c r="N1559" i="1"/>
  <c r="M1559" i="1"/>
  <c r="M338" i="1"/>
  <c r="O338" i="1"/>
  <c r="N338" i="1"/>
  <c r="M375" i="2"/>
  <c r="O375" i="2"/>
  <c r="N375" i="2"/>
  <c r="O2092" i="1"/>
  <c r="N2092" i="1"/>
  <c r="M2092" i="1"/>
  <c r="O1957" i="1"/>
  <c r="M1957" i="1"/>
  <c r="N1957" i="1"/>
  <c r="O1709" i="1"/>
  <c r="N1709" i="1"/>
  <c r="M1709" i="1"/>
  <c r="O1699" i="1"/>
  <c r="N1699" i="1"/>
  <c r="M1699" i="1"/>
  <c r="O1315" i="1"/>
  <c r="N1315" i="1"/>
  <c r="M1315" i="1"/>
  <c r="M364" i="1"/>
  <c r="O364" i="1"/>
  <c r="N364" i="1"/>
  <c r="O75" i="1"/>
  <c r="M75" i="1"/>
  <c r="N75" i="1"/>
  <c r="O11" i="1"/>
  <c r="N11" i="1"/>
  <c r="M11" i="1"/>
  <c r="M483" i="1"/>
  <c r="O483" i="1"/>
  <c r="N483" i="1"/>
  <c r="M102" i="2"/>
  <c r="O102" i="2"/>
  <c r="N102" i="2"/>
  <c r="N2235" i="1"/>
  <c r="M2235" i="1"/>
  <c r="O2235" i="1"/>
  <c r="M1752" i="1"/>
  <c r="O1752" i="1"/>
  <c r="N1752" i="1"/>
  <c r="O1333" i="1"/>
  <c r="N1333" i="1"/>
  <c r="M1333" i="1"/>
  <c r="O916" i="1"/>
  <c r="N916" i="1"/>
  <c r="M916" i="1"/>
  <c r="O219" i="2"/>
  <c r="N219" i="2"/>
  <c r="M219" i="2"/>
  <c r="O689" i="1"/>
  <c r="N689" i="1"/>
  <c r="M689" i="1"/>
  <c r="O1044" i="1"/>
  <c r="N1044" i="1"/>
  <c r="M1044" i="1"/>
  <c r="M473" i="1"/>
  <c r="O473" i="1"/>
  <c r="N473" i="1"/>
  <c r="O1178" i="1"/>
  <c r="N1178" i="1"/>
  <c r="M1178" i="1"/>
  <c r="O16" i="1"/>
  <c r="N16" i="1"/>
  <c r="M16" i="1"/>
  <c r="M597" i="1"/>
  <c r="N597" i="1"/>
  <c r="O597" i="1"/>
  <c r="M54" i="2"/>
  <c r="O54" i="2"/>
  <c r="N54" i="2"/>
  <c r="O2023" i="1"/>
  <c r="N2023" i="1"/>
  <c r="M2023" i="1"/>
  <c r="O175" i="1"/>
  <c r="N175" i="1"/>
  <c r="M175" i="1"/>
  <c r="O848" i="1"/>
  <c r="N848" i="1"/>
  <c r="M848" i="1"/>
  <c r="O726" i="1"/>
  <c r="M726" i="1"/>
  <c r="N726" i="1"/>
  <c r="M345" i="2"/>
  <c r="N345" i="2"/>
  <c r="O345" i="2"/>
  <c r="M79" i="1"/>
  <c r="N79" i="1"/>
  <c r="O79" i="1"/>
  <c r="O2290" i="1"/>
  <c r="N2290" i="1"/>
  <c r="M2290" i="1"/>
  <c r="O1426" i="1"/>
  <c r="N1426" i="1"/>
  <c r="M1426" i="1"/>
  <c r="O2072" i="1"/>
  <c r="N2072" i="1"/>
  <c r="M2072" i="1"/>
  <c r="O681" i="1"/>
  <c r="N681" i="1"/>
  <c r="M681" i="1"/>
  <c r="M455" i="2"/>
  <c r="O455" i="2"/>
  <c r="N455" i="2"/>
  <c r="O1512" i="1"/>
  <c r="N1512" i="1"/>
  <c r="M1512" i="1"/>
  <c r="N1192" i="1"/>
  <c r="M1192" i="1"/>
  <c r="O1192" i="1"/>
  <c r="O1298" i="1"/>
  <c r="N1298" i="1"/>
  <c r="M1298" i="1"/>
  <c r="O637" i="1"/>
  <c r="N637" i="1"/>
  <c r="M637" i="1"/>
  <c r="M319" i="1"/>
  <c r="O319" i="1"/>
  <c r="N319" i="1"/>
  <c r="O301" i="2"/>
  <c r="M301" i="2"/>
  <c r="N301" i="2"/>
  <c r="M1765" i="1"/>
  <c r="N1765" i="1"/>
  <c r="O1765" i="1"/>
  <c r="O1704" i="1"/>
  <c r="N1704" i="1"/>
  <c r="M1704" i="1"/>
  <c r="O1231" i="1"/>
  <c r="N1231" i="1"/>
  <c r="M1231" i="1"/>
  <c r="O1221" i="1"/>
  <c r="N1221" i="1"/>
  <c r="M1221" i="1"/>
  <c r="M365" i="1"/>
  <c r="O365" i="1"/>
  <c r="N365" i="1"/>
  <c r="O1234" i="1"/>
  <c r="N1234" i="1"/>
  <c r="M1234" i="1"/>
  <c r="O13" i="1"/>
  <c r="N13" i="1"/>
  <c r="M13" i="1"/>
  <c r="O241" i="1"/>
  <c r="N241" i="1"/>
  <c r="M241" i="1"/>
  <c r="O1826" i="1"/>
  <c r="N1826" i="1"/>
  <c r="M1826" i="1"/>
  <c r="M573" i="1"/>
  <c r="N573" i="1"/>
  <c r="O573" i="1"/>
  <c r="M542" i="1"/>
  <c r="O542" i="1"/>
  <c r="N542" i="1"/>
  <c r="O774" i="1"/>
  <c r="N774" i="1"/>
  <c r="M774" i="1"/>
  <c r="O784" i="1"/>
  <c r="N784" i="1"/>
  <c r="M784" i="1"/>
  <c r="O243" i="2"/>
  <c r="N243" i="2"/>
  <c r="M243" i="2"/>
  <c r="M505" i="2"/>
  <c r="N505" i="2"/>
  <c r="O505" i="2"/>
  <c r="O317" i="2"/>
  <c r="M317" i="2"/>
  <c r="N317" i="2"/>
  <c r="M1751" i="1"/>
  <c r="O1751" i="1"/>
  <c r="N1751" i="1"/>
  <c r="O1351" i="1"/>
  <c r="N1351" i="1"/>
  <c r="M1351" i="1"/>
  <c r="O1718" i="1"/>
  <c r="N1718" i="1"/>
  <c r="M1718" i="1"/>
  <c r="O1077" i="1"/>
  <c r="N1077" i="1"/>
  <c r="M1077" i="1"/>
  <c r="O671" i="1"/>
  <c r="M671" i="1"/>
  <c r="N671" i="1"/>
  <c r="M558" i="1"/>
  <c r="O558" i="1"/>
  <c r="N558" i="1"/>
  <c r="O93" i="1"/>
  <c r="N93" i="1"/>
  <c r="M93" i="1"/>
  <c r="M84" i="2"/>
  <c r="N84" i="2"/>
  <c r="O84" i="2"/>
  <c r="O333" i="2"/>
  <c r="N333" i="2"/>
  <c r="M333" i="2"/>
  <c r="O1688" i="1"/>
  <c r="N1688" i="1"/>
  <c r="M1688" i="1"/>
  <c r="O764" i="1"/>
  <c r="N764" i="1"/>
  <c r="M764" i="1"/>
  <c r="O484" i="2"/>
  <c r="N484" i="2"/>
  <c r="M484" i="2"/>
  <c r="O253" i="1"/>
  <c r="N253" i="1"/>
  <c r="M253" i="1"/>
  <c r="O2286" i="1"/>
  <c r="N2286" i="1"/>
  <c r="M2286" i="1"/>
  <c r="O1701" i="1"/>
  <c r="N1701" i="1"/>
  <c r="M1701" i="1"/>
  <c r="M2156" i="1"/>
  <c r="N2156" i="1"/>
  <c r="O2156" i="1"/>
  <c r="O1990" i="1"/>
  <c r="M1990" i="1"/>
  <c r="N1990" i="1"/>
  <c r="O1589" i="1"/>
  <c r="N1589" i="1"/>
  <c r="M1589" i="1"/>
  <c r="O1526" i="1"/>
  <c r="N1526" i="1"/>
  <c r="M1526" i="1"/>
  <c r="O975" i="1"/>
  <c r="N975" i="1"/>
  <c r="M975" i="1"/>
  <c r="O1229" i="1"/>
  <c r="N1229" i="1"/>
  <c r="M1229" i="1"/>
  <c r="O1167" i="1"/>
  <c r="N1167" i="1"/>
  <c r="M1167" i="1"/>
  <c r="O925" i="1"/>
  <c r="N925" i="1"/>
  <c r="M925" i="1"/>
  <c r="M38" i="2"/>
  <c r="O38" i="2"/>
  <c r="N38" i="2"/>
  <c r="O1250" i="1"/>
  <c r="N1250" i="1"/>
  <c r="M1250" i="1"/>
  <c r="O1831" i="1"/>
  <c r="N1831" i="1"/>
  <c r="M1831" i="1"/>
  <c r="O1714" i="1"/>
  <c r="N1714" i="1"/>
  <c r="M1714" i="1"/>
  <c r="O2256" i="1"/>
  <c r="N2256" i="1"/>
  <c r="M2256" i="1"/>
  <c r="M174" i="2"/>
  <c r="O174" i="2"/>
  <c r="N174" i="2"/>
  <c r="O2270" i="1"/>
  <c r="N2270" i="1"/>
  <c r="M2270" i="1"/>
  <c r="O1948" i="1"/>
  <c r="M1948" i="1"/>
  <c r="N1948" i="1"/>
  <c r="O1681" i="1"/>
  <c r="N1681" i="1"/>
  <c r="M1681" i="1"/>
  <c r="O702" i="1"/>
  <c r="N702" i="1"/>
  <c r="M702" i="1"/>
  <c r="O853" i="1"/>
  <c r="N853" i="1"/>
  <c r="M853" i="1"/>
  <c r="M361" i="2"/>
  <c r="N361" i="2"/>
  <c r="O361" i="2"/>
  <c r="O428" i="2"/>
  <c r="M428" i="2"/>
  <c r="N428" i="2"/>
  <c r="M347" i="2"/>
  <c r="O347" i="2"/>
  <c r="N347" i="2"/>
  <c r="O2280" i="1"/>
  <c r="N2280" i="1"/>
  <c r="M2280" i="1"/>
  <c r="O2108" i="1"/>
  <c r="N2108" i="1"/>
  <c r="M2108" i="1"/>
  <c r="N2165" i="1"/>
  <c r="M2165" i="1"/>
  <c r="O2165" i="1"/>
  <c r="O875" i="1"/>
  <c r="N875" i="1"/>
  <c r="M875" i="1"/>
  <c r="O1833" i="1"/>
  <c r="N1833" i="1"/>
  <c r="M1833" i="1"/>
  <c r="O1793" i="1"/>
  <c r="N1793" i="1"/>
  <c r="M1793" i="1"/>
  <c r="O1991" i="1"/>
  <c r="M1991" i="1"/>
  <c r="N1991" i="1"/>
  <c r="O851" i="1"/>
  <c r="N851" i="1"/>
  <c r="M851" i="1"/>
  <c r="M1152" i="1"/>
  <c r="O1152" i="1"/>
  <c r="N1152" i="1"/>
  <c r="O914" i="1"/>
  <c r="N914" i="1"/>
  <c r="M914" i="1"/>
  <c r="O909" i="1"/>
  <c r="N909" i="1"/>
  <c r="M909" i="1"/>
  <c r="O743" i="1"/>
  <c r="N743" i="1"/>
  <c r="M743" i="1"/>
  <c r="O1955" i="1"/>
  <c r="N1955" i="1"/>
  <c r="M1955" i="1"/>
  <c r="O990" i="1"/>
  <c r="N990" i="1"/>
  <c r="M990" i="1"/>
  <c r="O824" i="1"/>
  <c r="N824" i="1"/>
  <c r="M824" i="1"/>
  <c r="M520" i="1"/>
  <c r="O520" i="1"/>
  <c r="N520" i="1"/>
  <c r="M438" i="1"/>
  <c r="O438" i="1"/>
  <c r="N438" i="1"/>
  <c r="M405" i="1"/>
  <c r="O405" i="1"/>
  <c r="N405" i="1"/>
  <c r="M430" i="1"/>
  <c r="N430" i="1"/>
  <c r="O430" i="1"/>
  <c r="M407" i="1"/>
  <c r="O407" i="1"/>
  <c r="N407" i="1"/>
  <c r="O634" i="1"/>
  <c r="N634" i="1"/>
  <c r="M634" i="1"/>
  <c r="O91" i="1"/>
  <c r="M91" i="1"/>
  <c r="N91" i="1"/>
  <c r="O27" i="1"/>
  <c r="M27" i="1"/>
  <c r="N27" i="1"/>
  <c r="O206" i="1"/>
  <c r="M206" i="1"/>
  <c r="N206" i="1"/>
  <c r="O238" i="2"/>
  <c r="N238" i="2"/>
  <c r="M238" i="2"/>
  <c r="O494" i="2"/>
  <c r="N494" i="2"/>
  <c r="M494" i="2"/>
  <c r="O292" i="2"/>
  <c r="M292" i="2"/>
  <c r="N292" i="2"/>
  <c r="O453" i="2"/>
  <c r="N453" i="2"/>
  <c r="M453" i="2"/>
  <c r="O2193" i="1"/>
  <c r="N2193" i="1"/>
  <c r="M2193" i="1"/>
  <c r="O2247" i="1"/>
  <c r="N2247" i="1"/>
  <c r="M2247" i="1"/>
  <c r="N2164" i="1"/>
  <c r="M2164" i="1"/>
  <c r="O2164" i="1"/>
  <c r="M1930" i="1"/>
  <c r="O1930" i="1"/>
  <c r="N1930" i="1"/>
  <c r="O2276" i="1"/>
  <c r="N2276" i="1"/>
  <c r="M2276" i="1"/>
  <c r="O1792" i="1"/>
  <c r="N1792" i="1"/>
  <c r="M1792" i="1"/>
  <c r="O1875" i="1"/>
  <c r="N1875" i="1"/>
  <c r="M1875" i="1"/>
  <c r="O1870" i="1"/>
  <c r="N1870" i="1"/>
  <c r="M1870" i="1"/>
  <c r="O1700" i="1"/>
  <c r="N1700" i="1"/>
  <c r="M1700" i="1"/>
  <c r="O1311" i="1"/>
  <c r="N1311" i="1"/>
  <c r="M1311" i="1"/>
  <c r="O1595" i="1"/>
  <c r="N1595" i="1"/>
  <c r="M1595" i="1"/>
  <c r="O616" i="1"/>
  <c r="N616" i="1"/>
  <c r="M616" i="1"/>
  <c r="O1575" i="1"/>
  <c r="N1575" i="1"/>
  <c r="M1575" i="1"/>
  <c r="O970" i="1"/>
  <c r="N970" i="1"/>
  <c r="M970" i="1"/>
  <c r="O1093" i="1"/>
  <c r="N1093" i="1"/>
  <c r="M1093" i="1"/>
  <c r="O880" i="1"/>
  <c r="N880" i="1"/>
  <c r="M880" i="1"/>
  <c r="O1974" i="1"/>
  <c r="N1974" i="1"/>
  <c r="M1974" i="1"/>
  <c r="M292" i="1"/>
  <c r="O292" i="1"/>
  <c r="N292" i="1"/>
  <c r="M519" i="1"/>
  <c r="O519" i="1"/>
  <c r="N519" i="1"/>
  <c r="O74" i="1"/>
  <c r="M74" i="1"/>
  <c r="N74" i="1"/>
  <c r="M328" i="1"/>
  <c r="N328" i="1"/>
  <c r="O328" i="1"/>
  <c r="O284" i="2"/>
  <c r="M284" i="2"/>
  <c r="N284" i="2"/>
  <c r="M164" i="2"/>
  <c r="O164" i="2"/>
  <c r="N164" i="2"/>
  <c r="O509" i="2"/>
  <c r="N509" i="2"/>
  <c r="M509" i="2"/>
  <c r="O2184" i="1"/>
  <c r="N2184" i="1"/>
  <c r="M2184" i="1"/>
  <c r="O2114" i="1"/>
  <c r="N2114" i="1"/>
  <c r="M2114" i="1"/>
  <c r="O2173" i="1"/>
  <c r="N2173" i="1"/>
  <c r="M2173" i="1"/>
  <c r="N2158" i="1"/>
  <c r="M2158" i="1"/>
  <c r="O2158" i="1"/>
  <c r="O2046" i="1"/>
  <c r="N2046" i="1"/>
  <c r="M2046" i="1"/>
  <c r="O1855" i="1"/>
  <c r="N1855" i="1"/>
  <c r="M1855" i="1"/>
  <c r="O1775" i="1"/>
  <c r="N1775" i="1"/>
  <c r="M1775" i="1"/>
  <c r="O1638" i="1"/>
  <c r="N1638" i="1"/>
  <c r="M1638" i="1"/>
  <c r="O1527" i="1"/>
  <c r="N1527" i="1"/>
  <c r="M1527" i="1"/>
  <c r="N844" i="1"/>
  <c r="O844" i="1"/>
  <c r="M844" i="1"/>
  <c r="N1194" i="1"/>
  <c r="O1194" i="1"/>
  <c r="M1194" i="1"/>
  <c r="O898" i="1"/>
  <c r="N898" i="1"/>
  <c r="M898" i="1"/>
  <c r="O1008" i="1"/>
  <c r="N1008" i="1"/>
  <c r="M1008" i="1"/>
  <c r="O1994" i="1"/>
  <c r="N1994" i="1"/>
  <c r="M1994" i="1"/>
  <c r="O622" i="1"/>
  <c r="N622" i="1"/>
  <c r="M622" i="1"/>
  <c r="O615" i="1"/>
  <c r="M615" i="1"/>
  <c r="N615" i="1"/>
  <c r="O724" i="1"/>
  <c r="N724" i="1"/>
  <c r="M724" i="1"/>
  <c r="M503" i="1"/>
  <c r="O503" i="1"/>
  <c r="N503" i="1"/>
  <c r="M579" i="1"/>
  <c r="O579" i="1"/>
  <c r="N579" i="1"/>
  <c r="O701" i="1"/>
  <c r="N701" i="1"/>
  <c r="M701" i="1"/>
  <c r="M591" i="1"/>
  <c r="O591" i="1"/>
  <c r="N591" i="1"/>
  <c r="M350" i="1"/>
  <c r="N350" i="1"/>
  <c r="O350" i="1"/>
  <c r="O951" i="1"/>
  <c r="N951" i="1"/>
  <c r="M951" i="1"/>
  <c r="O57" i="1"/>
  <c r="N57" i="1"/>
  <c r="M57" i="1"/>
  <c r="O173" i="1"/>
  <c r="M173" i="1"/>
  <c r="N173" i="1"/>
  <c r="O238" i="1"/>
  <c r="N238" i="1"/>
  <c r="M238" i="1"/>
  <c r="O374" i="2"/>
  <c r="N374" i="2"/>
  <c r="M374" i="2"/>
  <c r="O2215" i="1"/>
  <c r="N2215" i="1"/>
  <c r="M2215" i="1"/>
  <c r="O2084" i="1"/>
  <c r="N2084" i="1"/>
  <c r="M2084" i="1"/>
  <c r="M1920" i="1"/>
  <c r="O1920" i="1"/>
  <c r="N1920" i="1"/>
  <c r="O1552" i="1"/>
  <c r="N1552" i="1"/>
  <c r="M1552" i="1"/>
  <c r="O1642" i="1"/>
  <c r="N1642" i="1"/>
  <c r="M1642" i="1"/>
  <c r="O1620" i="1"/>
  <c r="N1620" i="1"/>
  <c r="M1620" i="1"/>
  <c r="N1205" i="1"/>
  <c r="O1205" i="1"/>
  <c r="M1205" i="1"/>
  <c r="O1238" i="1"/>
  <c r="N1238" i="1"/>
  <c r="M1238" i="1"/>
  <c r="O891" i="1"/>
  <c r="N891" i="1"/>
  <c r="M891" i="1"/>
  <c r="O64" i="1"/>
  <c r="N64" i="1"/>
  <c r="M64" i="1"/>
  <c r="O709" i="1"/>
  <c r="N709" i="1"/>
  <c r="M709" i="1"/>
  <c r="O2096" i="1"/>
  <c r="N2096" i="1"/>
  <c r="M2096" i="1"/>
  <c r="N1749" i="1"/>
  <c r="O1749" i="1"/>
  <c r="M1749" i="1"/>
  <c r="O1507" i="1"/>
  <c r="N1507" i="1"/>
  <c r="M1507" i="1"/>
  <c r="M1184" i="1"/>
  <c r="O1184" i="1"/>
  <c r="N1184" i="1"/>
  <c r="O1266" i="1"/>
  <c r="N1266" i="1"/>
  <c r="M1266" i="1"/>
  <c r="O717" i="1"/>
  <c r="N717" i="1"/>
  <c r="M717" i="1"/>
  <c r="O170" i="1"/>
  <c r="N170" i="1"/>
  <c r="M170" i="1"/>
  <c r="O87" i="1"/>
  <c r="N87" i="1"/>
  <c r="M87" i="1"/>
  <c r="O538" i="2"/>
  <c r="N538" i="2"/>
  <c r="M538" i="2"/>
  <c r="N97" i="2"/>
  <c r="M97" i="2"/>
  <c r="O97" i="2"/>
  <c r="O618" i="1"/>
  <c r="N618" i="1"/>
  <c r="M618" i="1"/>
  <c r="O1541" i="1"/>
  <c r="N1541" i="1"/>
  <c r="M1541" i="1"/>
  <c r="O1440" i="1"/>
  <c r="M1440" i="1"/>
  <c r="N1440" i="1"/>
  <c r="O1632" i="1"/>
  <c r="N1632" i="1"/>
  <c r="M1632" i="1"/>
  <c r="M476" i="1"/>
  <c r="O476" i="1"/>
  <c r="N476" i="1"/>
  <c r="M390" i="1"/>
  <c r="N390" i="1"/>
  <c r="O390" i="1"/>
  <c r="O152" i="1"/>
  <c r="M152" i="1"/>
  <c r="N152" i="1"/>
  <c r="O227" i="2"/>
  <c r="N227" i="2"/>
  <c r="M227" i="2"/>
  <c r="N2102" i="1"/>
  <c r="M2102" i="1"/>
  <c r="O2102" i="1"/>
  <c r="O2069" i="1"/>
  <c r="N2069" i="1"/>
  <c r="M2069" i="1"/>
  <c r="O1731" i="1"/>
  <c r="N1731" i="1"/>
  <c r="M1731" i="1"/>
  <c r="O1869" i="1"/>
  <c r="N1869" i="1"/>
  <c r="M1869" i="1"/>
  <c r="O1499" i="1"/>
  <c r="N1499" i="1"/>
  <c r="M1499" i="1"/>
  <c r="O815" i="1"/>
  <c r="N815" i="1"/>
  <c r="M815" i="1"/>
  <c r="O697" i="1"/>
  <c r="N697" i="1"/>
  <c r="M697" i="1"/>
  <c r="M421" i="1"/>
  <c r="O421" i="1"/>
  <c r="N421" i="1"/>
  <c r="O53" i="1"/>
  <c r="N53" i="1"/>
  <c r="M53" i="1"/>
  <c r="N2169" i="1"/>
  <c r="M2169" i="1"/>
  <c r="O2169" i="1"/>
  <c r="O590" i="1"/>
  <c r="N590" i="1"/>
  <c r="M590" i="1"/>
  <c r="O1005" i="1"/>
  <c r="N1005" i="1"/>
  <c r="M1005" i="1"/>
  <c r="O676" i="1"/>
  <c r="N676" i="1"/>
  <c r="M676" i="1"/>
  <c r="O1889" i="1"/>
  <c r="N1889" i="1"/>
  <c r="M1889" i="1"/>
  <c r="O710" i="1"/>
  <c r="N710" i="1"/>
  <c r="M710" i="1"/>
  <c r="O103" i="1"/>
  <c r="N103" i="1"/>
  <c r="M103" i="1"/>
  <c r="O999" i="1"/>
  <c r="N999" i="1"/>
  <c r="M999" i="1"/>
  <c r="M399" i="2"/>
  <c r="O399" i="2"/>
  <c r="N399" i="2"/>
  <c r="O2260" i="1"/>
  <c r="N2260" i="1"/>
  <c r="M2260" i="1"/>
  <c r="O2125" i="1"/>
  <c r="N2125" i="1"/>
  <c r="M2125" i="1"/>
  <c r="O1242" i="1"/>
  <c r="N1242" i="1"/>
  <c r="M1242" i="1"/>
  <c r="O1316" i="1"/>
  <c r="N1316" i="1"/>
  <c r="M1316" i="1"/>
  <c r="O1097" i="1"/>
  <c r="N1097" i="1"/>
  <c r="M1097" i="1"/>
  <c r="O2037" i="1"/>
  <c r="N2037" i="1"/>
  <c r="M2037" i="1"/>
  <c r="O2017" i="1"/>
  <c r="M2017" i="1"/>
  <c r="N2017" i="1"/>
  <c r="O1571" i="1"/>
  <c r="N1571" i="1"/>
  <c r="M1571" i="1"/>
  <c r="N1202" i="1"/>
  <c r="O1202" i="1"/>
  <c r="M1202" i="1"/>
  <c r="O157" i="1"/>
  <c r="N157" i="1"/>
  <c r="M157" i="1"/>
  <c r="M601" i="1"/>
  <c r="N601" i="1"/>
  <c r="O601" i="1"/>
  <c r="O1220" i="1"/>
  <c r="N1220" i="1"/>
  <c r="M1220" i="1"/>
  <c r="O45" i="1"/>
  <c r="N45" i="1"/>
  <c r="M45" i="1"/>
  <c r="O468" i="2"/>
  <c r="M468" i="2"/>
  <c r="N468" i="2"/>
  <c r="N394" i="2"/>
  <c r="M394" i="2"/>
  <c r="O394" i="2"/>
  <c r="O2285" i="1"/>
  <c r="N2285" i="1"/>
  <c r="M2285" i="1"/>
  <c r="O1565" i="1"/>
  <c r="N1565" i="1"/>
  <c r="M1565" i="1"/>
  <c r="O2027" i="1"/>
  <c r="N2027" i="1"/>
  <c r="M2027" i="1"/>
  <c r="M1903" i="1"/>
  <c r="O1903" i="1"/>
  <c r="N1903" i="1"/>
  <c r="O1685" i="1"/>
  <c r="N1685" i="1"/>
  <c r="M1685" i="1"/>
  <c r="O1544" i="1"/>
  <c r="N1544" i="1"/>
  <c r="M1544" i="1"/>
  <c r="O1325" i="1"/>
  <c r="N1325" i="1"/>
  <c r="M1325" i="1"/>
  <c r="O1464" i="1"/>
  <c r="N1464" i="1"/>
  <c r="M1464" i="1"/>
  <c r="O949" i="1"/>
  <c r="N949" i="1"/>
  <c r="M949" i="1"/>
  <c r="O1899" i="1"/>
  <c r="N1899" i="1"/>
  <c r="M1899" i="1"/>
  <c r="O528" i="1"/>
  <c r="N528" i="1"/>
  <c r="M528" i="1"/>
  <c r="O664" i="1"/>
  <c r="N664" i="1"/>
  <c r="M664" i="1"/>
  <c r="M276" i="1"/>
  <c r="O276" i="1"/>
  <c r="N276" i="1"/>
  <c r="O96" i="1"/>
  <c r="N96" i="1"/>
  <c r="M96" i="1"/>
  <c r="O673" i="1"/>
  <c r="M673" i="1"/>
  <c r="N673" i="1"/>
  <c r="O1669" i="1"/>
  <c r="M1669" i="1"/>
  <c r="N1669" i="1"/>
  <c r="O507" i="2"/>
  <c r="N507" i="2"/>
  <c r="M507" i="2"/>
  <c r="N442" i="2"/>
  <c r="M442" i="2"/>
  <c r="O442" i="2"/>
  <c r="O497" i="2"/>
  <c r="N497" i="2"/>
  <c r="M497" i="2"/>
  <c r="M2230" i="1"/>
  <c r="O2230" i="1"/>
  <c r="N2230" i="1"/>
  <c r="M2136" i="1"/>
  <c r="N2136" i="1"/>
  <c r="O2136" i="1"/>
  <c r="M1919" i="1"/>
  <c r="O1919" i="1"/>
  <c r="N1919" i="1"/>
  <c r="O1634" i="1"/>
  <c r="N1634" i="1"/>
  <c r="M1634" i="1"/>
  <c r="O1495" i="1"/>
  <c r="N1495" i="1"/>
  <c r="M1495" i="1"/>
  <c r="O1290" i="1"/>
  <c r="N1290" i="1"/>
  <c r="M1290" i="1"/>
  <c r="M594" i="1"/>
  <c r="O594" i="1"/>
  <c r="N594" i="1"/>
  <c r="M524" i="1"/>
  <c r="O524" i="1"/>
  <c r="N524" i="1"/>
  <c r="M334" i="1"/>
  <c r="N334" i="1"/>
  <c r="O334" i="1"/>
  <c r="O1754" i="1"/>
  <c r="N1754" i="1"/>
  <c r="M1754" i="1"/>
  <c r="M411" i="1"/>
  <c r="O411" i="1"/>
  <c r="N411" i="1"/>
  <c r="M86" i="2"/>
  <c r="O86" i="2"/>
  <c r="N86" i="2"/>
  <c r="O546" i="1"/>
  <c r="N546" i="1"/>
  <c r="M546" i="1"/>
  <c r="O2071" i="1"/>
  <c r="N2071" i="1"/>
  <c r="M2071" i="1"/>
  <c r="O1772" i="1"/>
  <c r="N1772" i="1"/>
  <c r="M1772" i="1"/>
  <c r="M125" i="1"/>
  <c r="O125" i="1"/>
  <c r="N125" i="1"/>
  <c r="O1413" i="1"/>
  <c r="N1413" i="1"/>
  <c r="M1413" i="1"/>
  <c r="O1612" i="1"/>
  <c r="N1612" i="1"/>
  <c r="M1612" i="1"/>
  <c r="O1061" i="1"/>
  <c r="N1061" i="1"/>
  <c r="M1061" i="1"/>
  <c r="O956" i="1"/>
  <c r="N956" i="1"/>
  <c r="M956" i="1"/>
  <c r="O193" i="1"/>
  <c r="M193" i="1"/>
  <c r="N193" i="1"/>
  <c r="O419" i="2"/>
  <c r="N419" i="2"/>
  <c r="M419" i="2"/>
  <c r="M316" i="2"/>
  <c r="O316" i="2"/>
  <c r="N316" i="2"/>
  <c r="O2204" i="1"/>
  <c r="N2204" i="1"/>
  <c r="M2204" i="1"/>
  <c r="O728" i="1"/>
  <c r="N728" i="1"/>
  <c r="M728" i="1"/>
  <c r="O1827" i="1"/>
  <c r="N1827" i="1"/>
  <c r="M1827" i="1"/>
  <c r="M1916" i="1"/>
  <c r="O1916" i="1"/>
  <c r="N1916" i="1"/>
  <c r="O1481" i="1"/>
  <c r="N1481" i="1"/>
  <c r="M1481" i="1"/>
  <c r="O1114" i="1"/>
  <c r="N1114" i="1"/>
  <c r="M1114" i="1"/>
  <c r="O758" i="1"/>
  <c r="N758" i="1"/>
  <c r="M758" i="1"/>
  <c r="M363" i="1"/>
  <c r="O363" i="1"/>
  <c r="N363" i="1"/>
  <c r="O1846" i="1"/>
  <c r="N1846" i="1"/>
  <c r="M1846" i="1"/>
  <c r="O299" i="1"/>
  <c r="N299" i="1"/>
  <c r="M299" i="1"/>
  <c r="O1398" i="1"/>
  <c r="N1398" i="1"/>
  <c r="M1398" i="1"/>
  <c r="O544" i="1"/>
  <c r="N544" i="1"/>
  <c r="M544" i="1"/>
  <c r="O954" i="1"/>
  <c r="N954" i="1"/>
  <c r="M954" i="1"/>
  <c r="M535" i="1"/>
  <c r="O535" i="1"/>
  <c r="N535" i="1"/>
  <c r="M60" i="2"/>
  <c r="N60" i="2"/>
  <c r="O60" i="2"/>
  <c r="O41" i="2"/>
  <c r="M41" i="2"/>
  <c r="N41" i="2"/>
  <c r="N306" i="2"/>
  <c r="M306" i="2"/>
  <c r="O306" i="2"/>
  <c r="M166" i="2"/>
  <c r="N166" i="2"/>
  <c r="O166" i="2"/>
  <c r="O2241" i="1"/>
  <c r="N2241" i="1"/>
  <c r="M2241" i="1"/>
  <c r="O2002" i="1"/>
  <c r="M2002" i="1"/>
  <c r="N2002" i="1"/>
  <c r="O1554" i="1"/>
  <c r="N1554" i="1"/>
  <c r="M1554" i="1"/>
  <c r="M1885" i="1"/>
  <c r="O1885" i="1"/>
  <c r="N1885" i="1"/>
  <c r="N1518" i="1"/>
  <c r="M1518" i="1"/>
  <c r="O1518" i="1"/>
  <c r="O1508" i="1"/>
  <c r="N1508" i="1"/>
  <c r="M1508" i="1"/>
  <c r="O1694" i="1"/>
  <c r="N1694" i="1"/>
  <c r="M1694" i="1"/>
  <c r="O1335" i="1"/>
  <c r="N1335" i="1"/>
  <c r="M1335" i="1"/>
  <c r="O696" i="1"/>
  <c r="N696" i="1"/>
  <c r="M696" i="1"/>
  <c r="M484" i="1"/>
  <c r="O484" i="1"/>
  <c r="N484" i="1"/>
  <c r="M446" i="1"/>
  <c r="O446" i="1"/>
  <c r="N446" i="1"/>
  <c r="M497" i="1"/>
  <c r="O497" i="1"/>
  <c r="N497" i="1"/>
  <c r="N370" i="2"/>
  <c r="M370" i="2"/>
  <c r="O370" i="2"/>
  <c r="O2213" i="1"/>
  <c r="N2213" i="1"/>
  <c r="M2213" i="1"/>
  <c r="O2239" i="1"/>
  <c r="N2239" i="1"/>
  <c r="M2239" i="1"/>
  <c r="M2132" i="1"/>
  <c r="N2132" i="1"/>
  <c r="O2132" i="1"/>
  <c r="O1844" i="1"/>
  <c r="N1844" i="1"/>
  <c r="M1844" i="1"/>
  <c r="O1496" i="1"/>
  <c r="N1496" i="1"/>
  <c r="M1496" i="1"/>
  <c r="M1047" i="1"/>
  <c r="O1047" i="1"/>
  <c r="N1047" i="1"/>
  <c r="O1138" i="1"/>
  <c r="N1138" i="1"/>
  <c r="M1138" i="1"/>
  <c r="O948" i="1"/>
  <c r="N948" i="1"/>
  <c r="M948" i="1"/>
  <c r="M443" i="1"/>
  <c r="O443" i="1"/>
  <c r="N443" i="1"/>
  <c r="O211" i="1"/>
  <c r="N211" i="1"/>
  <c r="M211" i="1"/>
  <c r="N282" i="2"/>
  <c r="M282" i="2"/>
  <c r="O282" i="2"/>
  <c r="N2236" i="1"/>
  <c r="M2236" i="1"/>
  <c r="O2236" i="1"/>
  <c r="M1838" i="1"/>
  <c r="O1838" i="1"/>
  <c r="N1838" i="1"/>
  <c r="O922" i="1"/>
  <c r="N922" i="1"/>
  <c r="M922" i="1"/>
  <c r="O1354" i="1"/>
  <c r="N1354" i="1"/>
  <c r="M1354" i="1"/>
  <c r="O989" i="1"/>
  <c r="N989" i="1"/>
  <c r="M989" i="1"/>
  <c r="M1218" i="1"/>
  <c r="O1218" i="1"/>
  <c r="N1218" i="1"/>
  <c r="O858" i="1"/>
  <c r="N858" i="1"/>
  <c r="M858" i="1"/>
  <c r="O109" i="1"/>
  <c r="N109" i="1"/>
  <c r="M109" i="1"/>
  <c r="O454" i="2"/>
  <c r="N454" i="2"/>
  <c r="M454" i="2"/>
  <c r="N570" i="2"/>
  <c r="M570" i="2"/>
  <c r="O570" i="2"/>
  <c r="M2135" i="1"/>
  <c r="O2135" i="1"/>
  <c r="N2135" i="1"/>
  <c r="O1610" i="1"/>
  <c r="N1610" i="1"/>
  <c r="M1610" i="1"/>
  <c r="O1580" i="1"/>
  <c r="N1580" i="1"/>
  <c r="M1580" i="1"/>
  <c r="O1662" i="1"/>
  <c r="N1662" i="1"/>
  <c r="M1662" i="1"/>
  <c r="O1306" i="1"/>
  <c r="N1306" i="1"/>
  <c r="M1306" i="1"/>
  <c r="O1051" i="1"/>
  <c r="N1051" i="1"/>
  <c r="M1051" i="1"/>
  <c r="O1281" i="1"/>
  <c r="N1281" i="1"/>
  <c r="M1281" i="1"/>
  <c r="O752" i="1"/>
  <c r="N752" i="1"/>
  <c r="M752" i="1"/>
  <c r="M374" i="1"/>
  <c r="N374" i="1"/>
  <c r="O374" i="1"/>
  <c r="O197" i="2"/>
  <c r="N197" i="2"/>
  <c r="M197" i="2"/>
  <c r="O1279" i="1"/>
  <c r="N1279" i="1"/>
  <c r="M1279" i="1"/>
  <c r="M1049" i="1"/>
  <c r="O1049" i="1"/>
  <c r="N1049" i="1"/>
  <c r="O672" i="1"/>
  <c r="N672" i="1"/>
  <c r="M672" i="1"/>
  <c r="O98" i="1"/>
  <c r="N98" i="1"/>
  <c r="M98" i="1"/>
  <c r="O371" i="2"/>
  <c r="N371" i="2"/>
  <c r="M371" i="2"/>
  <c r="O2090" i="1"/>
  <c r="N2090" i="1"/>
  <c r="M2090" i="1"/>
  <c r="O1847" i="1"/>
  <c r="N1847" i="1"/>
  <c r="M1847" i="1"/>
  <c r="O713" i="1"/>
  <c r="N713" i="1"/>
  <c r="M713" i="1"/>
  <c r="O1272" i="1"/>
  <c r="N1272" i="1"/>
  <c r="M1272" i="1"/>
  <c r="O679" i="1"/>
  <c r="N679" i="1"/>
  <c r="M679" i="1"/>
  <c r="O921" i="1"/>
  <c r="N921" i="1"/>
  <c r="M921" i="1"/>
  <c r="O1246" i="1"/>
  <c r="N1246" i="1"/>
  <c r="M1246" i="1"/>
  <c r="O459" i="2"/>
  <c r="N459" i="2"/>
  <c r="M459" i="2"/>
  <c r="N450" i="2"/>
  <c r="M450" i="2"/>
  <c r="O450" i="2"/>
  <c r="O22" i="1"/>
  <c r="N22" i="1"/>
  <c r="M22" i="1"/>
  <c r="O1465" i="1"/>
  <c r="N1465" i="1"/>
  <c r="M1465" i="1"/>
  <c r="O1251" i="1"/>
  <c r="N1251" i="1"/>
  <c r="M1251" i="1"/>
  <c r="O978" i="1"/>
  <c r="N978" i="1"/>
  <c r="M978" i="1"/>
  <c r="O35" i="1"/>
  <c r="M35" i="1"/>
  <c r="N35" i="1"/>
  <c r="O226" i="1"/>
  <c r="N226" i="1"/>
  <c r="M226" i="1"/>
  <c r="N234" i="2"/>
  <c r="M234" i="2"/>
  <c r="O234" i="2"/>
  <c r="O1840" i="1"/>
  <c r="M1840" i="1"/>
  <c r="N1840" i="1"/>
  <c r="O1864" i="1"/>
  <c r="N1864" i="1"/>
  <c r="M1864" i="1"/>
  <c r="O1379" i="1"/>
  <c r="N1379" i="1"/>
  <c r="M1379" i="1"/>
  <c r="M587" i="1"/>
  <c r="O587" i="1"/>
  <c r="N587" i="1"/>
  <c r="M269" i="1"/>
  <c r="O269" i="1"/>
  <c r="N269" i="1"/>
  <c r="O220" i="1"/>
  <c r="N220" i="1"/>
  <c r="M220" i="1"/>
  <c r="M50" i="1"/>
  <c r="O50" i="1"/>
  <c r="N50" i="1"/>
  <c r="O1781" i="1"/>
  <c r="N1781" i="1"/>
  <c r="M1781" i="1"/>
  <c r="O1022" i="1"/>
  <c r="N1022" i="1"/>
  <c r="M1022" i="1"/>
  <c r="O382" i="2"/>
  <c r="N382" i="2"/>
  <c r="M382" i="2"/>
  <c r="O1312" i="1"/>
  <c r="N1312" i="1"/>
  <c r="M1312" i="1"/>
  <c r="O101" i="1"/>
  <c r="N101" i="1"/>
  <c r="M101" i="1"/>
  <c r="O1353" i="1"/>
  <c r="N1353" i="1"/>
  <c r="M1353" i="1"/>
  <c r="O823" i="1"/>
  <c r="N823" i="1"/>
  <c r="M823" i="1"/>
  <c r="O674" i="1"/>
  <c r="N674" i="1"/>
  <c r="M674" i="1"/>
  <c r="O1150" i="1"/>
  <c r="N1150" i="1"/>
  <c r="M1150" i="1"/>
  <c r="N1747" i="1"/>
  <c r="M1747" i="1"/>
  <c r="O1747" i="1"/>
  <c r="O1564" i="1"/>
  <c r="N1564" i="1"/>
  <c r="M1564" i="1"/>
  <c r="O1348" i="1"/>
  <c r="N1348" i="1"/>
  <c r="M1348" i="1"/>
  <c r="O1734" i="1"/>
  <c r="N1734" i="1"/>
  <c r="M1734" i="1"/>
  <c r="O1487" i="1"/>
  <c r="N1487" i="1"/>
  <c r="M1487" i="1"/>
  <c r="M317" i="1"/>
  <c r="O317" i="1"/>
  <c r="N317" i="1"/>
  <c r="O252" i="1"/>
  <c r="N252" i="1"/>
  <c r="M252" i="1"/>
  <c r="O2284" i="1"/>
  <c r="N2284" i="1"/>
  <c r="M2284" i="1"/>
  <c r="O1797" i="1"/>
  <c r="N1797" i="1"/>
  <c r="M1797" i="1"/>
  <c r="O1040" i="1"/>
  <c r="N1040" i="1"/>
  <c r="M1040" i="1"/>
  <c r="M375" i="1"/>
  <c r="O375" i="1"/>
  <c r="N375" i="1"/>
  <c r="O1535" i="1"/>
  <c r="N1535" i="1"/>
  <c r="M1535" i="1"/>
  <c r="O167" i="1"/>
  <c r="N167" i="1"/>
  <c r="M167" i="1"/>
  <c r="O1782" i="1"/>
  <c r="N1782" i="1"/>
  <c r="M1782" i="1"/>
  <c r="O900" i="1"/>
  <c r="N900" i="1"/>
  <c r="M900" i="1"/>
  <c r="O32" i="1"/>
  <c r="N32" i="1"/>
  <c r="M32" i="1"/>
  <c r="N490" i="2"/>
  <c r="M490" i="2"/>
  <c r="O490" i="2"/>
  <c r="O2182" i="1"/>
  <c r="N2182" i="1"/>
  <c r="M2182" i="1"/>
  <c r="O1952" i="1"/>
  <c r="M1952" i="1"/>
  <c r="N1952" i="1"/>
  <c r="O1711" i="1"/>
  <c r="N1711" i="1"/>
  <c r="M1711" i="1"/>
  <c r="O759" i="1"/>
  <c r="N759" i="1"/>
  <c r="M759" i="1"/>
  <c r="M1764" i="1"/>
  <c r="O1764" i="1"/>
  <c r="N1764" i="1"/>
  <c r="M444" i="1"/>
  <c r="N444" i="1"/>
  <c r="O444" i="1"/>
  <c r="M199" i="2"/>
  <c r="O199" i="2"/>
  <c r="N199" i="2"/>
  <c r="M1925" i="1"/>
  <c r="O1925" i="1"/>
  <c r="N1925" i="1"/>
  <c r="O372" i="2"/>
  <c r="N372" i="2"/>
  <c r="M372" i="2"/>
  <c r="O822" i="1"/>
  <c r="N822" i="1"/>
  <c r="M822" i="1"/>
  <c r="O2101" i="1"/>
  <c r="N2101" i="1"/>
  <c r="M2101" i="1"/>
  <c r="O1850" i="1"/>
  <c r="N1850" i="1"/>
  <c r="M1850" i="1"/>
  <c r="O1971" i="1"/>
  <c r="M1971" i="1"/>
  <c r="N1971" i="1"/>
  <c r="O1350" i="1"/>
  <c r="N1350" i="1"/>
  <c r="M1350" i="1"/>
  <c r="O882" i="1"/>
  <c r="N882" i="1"/>
  <c r="M882" i="1"/>
  <c r="O940" i="1"/>
  <c r="N940" i="1"/>
  <c r="M940" i="1"/>
  <c r="M351" i="1"/>
  <c r="O351" i="1"/>
  <c r="N351" i="1"/>
  <c r="O178" i="1"/>
  <c r="M178" i="1"/>
  <c r="N178" i="1"/>
  <c r="O1374" i="1"/>
  <c r="N1374" i="1"/>
  <c r="M1374" i="1"/>
  <c r="O1412" i="1"/>
  <c r="N1412" i="1"/>
  <c r="M1412" i="1"/>
  <c r="O1961" i="1"/>
  <c r="N1961" i="1"/>
  <c r="M1961" i="1"/>
  <c r="M371" i="1"/>
  <c r="O371" i="1"/>
  <c r="N371" i="1"/>
  <c r="M333" i="1"/>
  <c r="O333" i="1"/>
  <c r="N333" i="1"/>
  <c r="O189" i="2"/>
  <c r="M189" i="2"/>
  <c r="N189" i="2"/>
  <c r="O1947" i="1"/>
  <c r="M1947" i="1"/>
  <c r="N1947" i="1"/>
  <c r="O1522" i="1"/>
  <c r="N1522" i="1"/>
  <c r="M1522" i="1"/>
  <c r="O1083" i="1"/>
  <c r="N1083" i="1"/>
  <c r="M1083" i="1"/>
  <c r="O895" i="1"/>
  <c r="N895" i="1"/>
  <c r="M895" i="1"/>
  <c r="O974" i="1"/>
  <c r="N974" i="1"/>
  <c r="M974" i="1"/>
  <c r="M500" i="1"/>
  <c r="O500" i="1"/>
  <c r="N500" i="1"/>
  <c r="M605" i="1"/>
  <c r="N605" i="1"/>
  <c r="O605" i="1"/>
  <c r="M589" i="1"/>
  <c r="N589" i="1"/>
  <c r="O589" i="1"/>
  <c r="O299" i="2"/>
  <c r="N299" i="2"/>
  <c r="M299" i="2"/>
  <c r="O67" i="2"/>
  <c r="M67" i="2"/>
  <c r="N67" i="2"/>
  <c r="O2050" i="1"/>
  <c r="N2050" i="1"/>
  <c r="M2050" i="1"/>
  <c r="O1668" i="1"/>
  <c r="N1668" i="1"/>
  <c r="M1668" i="1"/>
  <c r="O1173" i="1"/>
  <c r="N1173" i="1"/>
  <c r="M1173" i="1"/>
  <c r="O1270" i="1"/>
  <c r="N1270" i="1"/>
  <c r="M1270" i="1"/>
  <c r="O839" i="1"/>
  <c r="N839" i="1"/>
  <c r="M839" i="1"/>
  <c r="O1161" i="1"/>
  <c r="N1161" i="1"/>
  <c r="M1161" i="1"/>
  <c r="O302" i="2"/>
  <c r="N302" i="2"/>
  <c r="M302" i="2"/>
  <c r="N2168" i="1"/>
  <c r="M2168" i="1"/>
  <c r="O2168" i="1"/>
  <c r="O1776" i="1"/>
  <c r="N1776" i="1"/>
  <c r="M1776" i="1"/>
  <c r="O1649" i="1"/>
  <c r="N1649" i="1"/>
  <c r="M1649" i="1"/>
  <c r="O1328" i="1"/>
  <c r="N1328" i="1"/>
  <c r="M1328" i="1"/>
  <c r="O1420" i="1"/>
  <c r="N1420" i="1"/>
  <c r="M1420" i="1"/>
  <c r="O253" i="2"/>
  <c r="M253" i="2"/>
  <c r="N253" i="2"/>
  <c r="O1402" i="1"/>
  <c r="N1402" i="1"/>
  <c r="M1402" i="1"/>
  <c r="M540" i="1"/>
  <c r="O540" i="1"/>
  <c r="N540" i="1"/>
  <c r="O105" i="1"/>
  <c r="N105" i="1"/>
  <c r="M105" i="1"/>
  <c r="O198" i="1"/>
  <c r="M198" i="1"/>
  <c r="N198" i="1"/>
  <c r="O1569" i="1"/>
  <c r="N1569" i="1"/>
  <c r="M1569" i="1"/>
  <c r="N1201" i="1"/>
  <c r="M1201" i="1"/>
  <c r="O1201" i="1"/>
  <c r="O2190" i="1"/>
  <c r="N2190" i="1"/>
  <c r="M2190" i="1"/>
  <c r="O1845" i="1"/>
  <c r="N1845" i="1"/>
  <c r="M1845" i="1"/>
  <c r="O1676" i="1"/>
  <c r="N1676" i="1"/>
  <c r="M1676" i="1"/>
  <c r="M2202" i="1"/>
  <c r="O2202" i="1"/>
  <c r="N2202" i="1"/>
  <c r="O1424" i="1"/>
  <c r="N1424" i="1"/>
  <c r="M1424" i="1"/>
  <c r="M429" i="1"/>
  <c r="O429" i="1"/>
  <c r="N429" i="1"/>
  <c r="O189" i="1"/>
  <c r="N189" i="1"/>
  <c r="M189" i="1"/>
  <c r="M1120" i="1"/>
  <c r="O1120" i="1"/>
  <c r="N1120" i="1"/>
  <c r="N2167" i="1"/>
  <c r="M2167" i="1"/>
  <c r="O2167" i="1"/>
  <c r="M496" i="1"/>
  <c r="N496" i="1"/>
  <c r="O496" i="1"/>
  <c r="O182" i="2"/>
  <c r="N182" i="2"/>
  <c r="M182" i="2"/>
  <c r="O1706" i="1"/>
  <c r="N1706" i="1"/>
  <c r="M1706" i="1"/>
  <c r="O964" i="1"/>
  <c r="N964" i="1"/>
  <c r="M964" i="1"/>
  <c r="O48" i="1"/>
  <c r="N48" i="1"/>
  <c r="M48" i="1"/>
  <c r="M279" i="2"/>
  <c r="O279" i="2"/>
  <c r="N279" i="2"/>
  <c r="O1280" i="1"/>
  <c r="N1280" i="1"/>
  <c r="M1280" i="1"/>
  <c r="O1418" i="1"/>
  <c r="N1418" i="1"/>
  <c r="M1418" i="1"/>
  <c r="O720" i="1"/>
  <c r="N720" i="1"/>
  <c r="M720" i="1"/>
  <c r="O1385" i="1"/>
  <c r="N1385" i="1"/>
  <c r="M1385" i="1"/>
  <c r="O654" i="1"/>
  <c r="N654" i="1"/>
  <c r="M654" i="1"/>
  <c r="M22" i="2"/>
  <c r="O22" i="2"/>
  <c r="N22" i="2"/>
  <c r="O819" i="1"/>
  <c r="N819" i="1"/>
  <c r="M819" i="1"/>
  <c r="O1052" i="1"/>
  <c r="N1052" i="1"/>
  <c r="M1052" i="1"/>
  <c r="O1771" i="1"/>
  <c r="N1771" i="1"/>
  <c r="M1771" i="1"/>
  <c r="O1282" i="1"/>
  <c r="N1282" i="1"/>
  <c r="M1282" i="1"/>
  <c r="O976" i="1"/>
  <c r="N976" i="1"/>
  <c r="M976" i="1"/>
  <c r="O1001" i="1"/>
  <c r="N1001" i="1"/>
  <c r="M1001" i="1"/>
  <c r="O2203" i="1"/>
  <c r="N2203" i="1"/>
  <c r="M2203" i="1"/>
  <c r="O1738" i="1"/>
  <c r="N1738" i="1"/>
  <c r="M1738" i="1"/>
  <c r="O1539" i="1"/>
  <c r="N1539" i="1"/>
  <c r="M1539" i="1"/>
  <c r="O685" i="1"/>
  <c r="N685" i="1"/>
  <c r="M685" i="1"/>
  <c r="M567" i="1"/>
  <c r="O567" i="1"/>
  <c r="N567" i="1"/>
  <c r="N498" i="2"/>
  <c r="M498" i="2"/>
  <c r="O498" i="2"/>
  <c r="M2188" i="1"/>
  <c r="N2188" i="1"/>
  <c r="O2188" i="1"/>
  <c r="O1629" i="1"/>
  <c r="N1629" i="1"/>
  <c r="M1629" i="1"/>
  <c r="O1425" i="1"/>
  <c r="N1425" i="1"/>
  <c r="M1425" i="1"/>
  <c r="O770" i="1"/>
  <c r="N770" i="1"/>
  <c r="M770" i="1"/>
  <c r="M1758" i="1"/>
  <c r="N1758" i="1"/>
  <c r="O1758" i="1"/>
  <c r="O1600" i="1"/>
  <c r="N1600" i="1"/>
  <c r="M1600" i="1"/>
  <c r="O953" i="1"/>
  <c r="N953" i="1"/>
  <c r="M953" i="1"/>
  <c r="O961" i="1"/>
  <c r="N961" i="1"/>
  <c r="M961" i="1"/>
  <c r="O873" i="1"/>
  <c r="N873" i="1"/>
  <c r="M873" i="1"/>
  <c r="M1931" i="1"/>
  <c r="O1931" i="1"/>
  <c r="N1931" i="1"/>
  <c r="N1729" i="1"/>
  <c r="M1729" i="1"/>
  <c r="O1729" i="1"/>
  <c r="O1691" i="1"/>
  <c r="N1691" i="1"/>
  <c r="M1691" i="1"/>
  <c r="M258" i="1"/>
  <c r="O258" i="1"/>
  <c r="N258" i="1"/>
  <c r="M92" i="2"/>
  <c r="N92" i="2"/>
  <c r="O92" i="2"/>
  <c r="M1019" i="1"/>
  <c r="O1019" i="1"/>
  <c r="N1019" i="1"/>
  <c r="O1012" i="1"/>
  <c r="N1012" i="1"/>
  <c r="M1012" i="1"/>
  <c r="O1288" i="1"/>
  <c r="N1288" i="1"/>
  <c r="M1288" i="1"/>
  <c r="O143" i="1"/>
  <c r="N143" i="1"/>
  <c r="M143" i="1"/>
  <c r="M952" i="1"/>
  <c r="O952" i="1"/>
  <c r="N952" i="1"/>
  <c r="O486" i="2"/>
  <c r="N486" i="2"/>
  <c r="M486" i="2"/>
  <c r="O213" i="2"/>
  <c r="N213" i="2"/>
  <c r="M213" i="2"/>
  <c r="O1386" i="1"/>
  <c r="N1386" i="1"/>
  <c r="M1386" i="1"/>
  <c r="O1921" i="1"/>
  <c r="N1921" i="1"/>
  <c r="M1921" i="1"/>
  <c r="O1341" i="1"/>
  <c r="N1341" i="1"/>
  <c r="M1341" i="1"/>
  <c r="M490" i="1"/>
  <c r="O490" i="1"/>
  <c r="N490" i="1"/>
  <c r="O36" i="1"/>
  <c r="N36" i="1"/>
  <c r="M36" i="1"/>
  <c r="O1244" i="1"/>
  <c r="N1244" i="1"/>
  <c r="M1244" i="1"/>
  <c r="M287" i="2"/>
  <c r="O287" i="2"/>
  <c r="N287" i="2"/>
  <c r="O928" i="1"/>
  <c r="N928" i="1"/>
  <c r="M928" i="1"/>
  <c r="O1860" i="1"/>
  <c r="N1860" i="1"/>
  <c r="M1860" i="1"/>
  <c r="O1449" i="1"/>
  <c r="N1449" i="1"/>
  <c r="M1449" i="1"/>
  <c r="O608" i="1"/>
  <c r="N608" i="1"/>
  <c r="M608" i="1"/>
  <c r="M517" i="1"/>
  <c r="N517" i="1"/>
  <c r="O517" i="1"/>
  <c r="M416" i="1"/>
  <c r="N416" i="1"/>
  <c r="O416" i="1"/>
  <c r="O491" i="2"/>
  <c r="N491" i="2"/>
  <c r="M491" i="2"/>
  <c r="N338" i="2"/>
  <c r="M338" i="2"/>
  <c r="O338" i="2"/>
  <c r="O2123" i="1"/>
  <c r="N2123" i="1"/>
  <c r="M2123" i="1"/>
  <c r="O1954" i="1"/>
  <c r="M1954" i="1"/>
  <c r="N1954" i="1"/>
  <c r="O1560" i="1"/>
  <c r="N1560" i="1"/>
  <c r="M1560" i="1"/>
  <c r="O1543" i="1"/>
  <c r="N1543" i="1"/>
  <c r="M1543" i="1"/>
  <c r="O1707" i="1"/>
  <c r="N1707" i="1"/>
  <c r="M1707" i="1"/>
  <c r="O1378" i="1"/>
  <c r="N1378" i="1"/>
  <c r="M1378" i="1"/>
  <c r="O1219" i="1"/>
  <c r="N1219" i="1"/>
  <c r="M1219" i="1"/>
  <c r="O1339" i="1"/>
  <c r="N1339" i="1"/>
  <c r="M1339" i="1"/>
  <c r="M1072" i="1"/>
  <c r="O1072" i="1"/>
  <c r="N1072" i="1"/>
  <c r="O1024" i="1"/>
  <c r="N1024" i="1"/>
  <c r="M1024" i="1"/>
  <c r="O326" i="2"/>
  <c r="N326" i="2"/>
  <c r="M326" i="2"/>
  <c r="M481" i="2"/>
  <c r="N481" i="2"/>
  <c r="O481" i="2"/>
  <c r="O548" i="2"/>
  <c r="M548" i="2"/>
  <c r="N548" i="2"/>
  <c r="M383" i="2"/>
  <c r="O383" i="2"/>
  <c r="N383" i="2"/>
  <c r="O533" i="2"/>
  <c r="M533" i="2"/>
  <c r="N533" i="2"/>
  <c r="M62" i="2"/>
  <c r="O62" i="2"/>
  <c r="N62" i="2"/>
  <c r="O2179" i="1"/>
  <c r="N2179" i="1"/>
  <c r="M2179" i="1"/>
  <c r="O2288" i="1"/>
  <c r="N2288" i="1"/>
  <c r="M2288" i="1"/>
  <c r="O2093" i="1"/>
  <c r="N2093" i="1"/>
  <c r="M2093" i="1"/>
  <c r="O2035" i="1"/>
  <c r="N2035" i="1"/>
  <c r="M2035" i="1"/>
  <c r="O2052" i="1"/>
  <c r="N2052" i="1"/>
  <c r="M2052" i="1"/>
  <c r="O1842" i="1"/>
  <c r="N1842" i="1"/>
  <c r="M1842" i="1"/>
  <c r="O1794" i="1"/>
  <c r="N1794" i="1"/>
  <c r="M1794" i="1"/>
  <c r="M1933" i="1"/>
  <c r="N1933" i="1"/>
  <c r="O1933" i="1"/>
  <c r="M1647" i="1"/>
  <c r="O1647" i="1"/>
  <c r="N1647" i="1"/>
  <c r="M2187" i="1"/>
  <c r="O2187" i="1"/>
  <c r="N2187" i="1"/>
  <c r="O1493" i="1"/>
  <c r="N1493" i="1"/>
  <c r="M1493" i="1"/>
  <c r="O1102" i="1"/>
  <c r="N1102" i="1"/>
  <c r="M1102" i="1"/>
  <c r="O1319" i="1"/>
  <c r="N1319" i="1"/>
  <c r="M1319" i="1"/>
  <c r="O1181" i="1"/>
  <c r="N1181" i="1"/>
  <c r="M1181" i="1"/>
  <c r="O1428" i="1"/>
  <c r="N1428" i="1"/>
  <c r="M1428" i="1"/>
  <c r="O1285" i="1"/>
  <c r="N1285" i="1"/>
  <c r="M1285" i="1"/>
  <c r="O1692" i="1"/>
  <c r="N1692" i="1"/>
  <c r="M1692" i="1"/>
  <c r="O1273" i="1"/>
  <c r="N1273" i="1"/>
  <c r="M1273" i="1"/>
  <c r="O981" i="1"/>
  <c r="N981" i="1"/>
  <c r="M981" i="1"/>
  <c r="O779" i="1"/>
  <c r="N779" i="1"/>
  <c r="M779" i="1"/>
  <c r="O904" i="1"/>
  <c r="N904" i="1"/>
  <c r="M904" i="1"/>
  <c r="O1186" i="1"/>
  <c r="N1186" i="1"/>
  <c r="M1186" i="1"/>
  <c r="O802" i="1"/>
  <c r="N802" i="1"/>
  <c r="M802" i="1"/>
  <c r="O797" i="1"/>
  <c r="N797" i="1"/>
  <c r="M797" i="1"/>
  <c r="O1591" i="1"/>
  <c r="N1591" i="1"/>
  <c r="M1591" i="1"/>
  <c r="O857" i="1"/>
  <c r="N857" i="1"/>
  <c r="M857" i="1"/>
  <c r="O670" i="1"/>
  <c r="N670" i="1"/>
  <c r="M670" i="1"/>
  <c r="O1030" i="1"/>
  <c r="N1030" i="1"/>
  <c r="M1030" i="1"/>
  <c r="O1228" i="1"/>
  <c r="N1228" i="1"/>
  <c r="M1228" i="1"/>
  <c r="M68" i="1"/>
  <c r="O68" i="1"/>
  <c r="N68" i="1"/>
  <c r="O932" i="1"/>
  <c r="N932" i="1"/>
  <c r="M932" i="1"/>
  <c r="O692" i="1"/>
  <c r="N692" i="1"/>
  <c r="M692" i="1"/>
  <c r="M372" i="1"/>
  <c r="O372" i="1"/>
  <c r="N372" i="1"/>
  <c r="M287" i="1"/>
  <c r="O287" i="1"/>
  <c r="N287" i="1"/>
  <c r="O194" i="1"/>
  <c r="N194" i="1"/>
  <c r="M194" i="1"/>
  <c r="O12" i="1"/>
  <c r="N12" i="1"/>
  <c r="M12" i="1"/>
  <c r="O818" i="1"/>
  <c r="N818" i="1"/>
  <c r="M818" i="1"/>
  <c r="M475" i="1"/>
  <c r="O475" i="1"/>
  <c r="N475" i="1"/>
  <c r="O165" i="1"/>
  <c r="N165" i="1"/>
  <c r="M165" i="1"/>
  <c r="O168" i="2"/>
  <c r="M168" i="2"/>
  <c r="N168" i="2"/>
  <c r="O172" i="2"/>
  <c r="N172" i="2"/>
  <c r="M172" i="2"/>
  <c r="N330" i="2"/>
  <c r="M330" i="2"/>
  <c r="O330" i="2"/>
  <c r="O1521" i="1"/>
  <c r="N1521" i="1"/>
  <c r="M1521" i="1"/>
  <c r="O1429" i="1"/>
  <c r="N1429" i="1"/>
  <c r="M1429" i="1"/>
  <c r="O1342" i="1"/>
  <c r="N1342" i="1"/>
  <c r="M1342" i="1"/>
  <c r="O1289" i="1"/>
  <c r="N1289" i="1"/>
  <c r="M1289" i="1"/>
  <c r="O906" i="1"/>
  <c r="N906" i="1"/>
  <c r="M906" i="1"/>
  <c r="O1972" i="1"/>
  <c r="N1972" i="1"/>
  <c r="M1972" i="1"/>
  <c r="M577" i="1"/>
  <c r="N577" i="1"/>
  <c r="O577" i="1"/>
  <c r="M557" i="1"/>
  <c r="N557" i="1"/>
  <c r="O557" i="1"/>
  <c r="O741" i="1"/>
  <c r="N741" i="1"/>
  <c r="M741" i="1"/>
  <c r="O610" i="1"/>
  <c r="N610" i="1"/>
  <c r="M610" i="1"/>
  <c r="O34" i="1"/>
  <c r="N34" i="1"/>
  <c r="M34" i="1"/>
  <c r="M392" i="1"/>
  <c r="N392" i="1"/>
  <c r="O392" i="1"/>
  <c r="O251" i="1"/>
  <c r="N251" i="1"/>
  <c r="M251" i="1"/>
  <c r="O348" i="2"/>
  <c r="M348" i="2"/>
  <c r="N348" i="2"/>
  <c r="O573" i="2"/>
  <c r="N573" i="2"/>
  <c r="M573" i="2"/>
  <c r="O2293" i="1"/>
  <c r="N2293" i="1"/>
  <c r="M2293" i="1"/>
  <c r="O2283" i="1"/>
  <c r="N2283" i="1"/>
  <c r="M2283" i="1"/>
  <c r="M2144" i="1"/>
  <c r="N2144" i="1"/>
  <c r="O2144" i="1"/>
  <c r="O1968" i="1"/>
  <c r="M1968" i="1"/>
  <c r="N1968" i="1"/>
  <c r="O1455" i="1"/>
  <c r="N1455" i="1"/>
  <c r="M1455" i="1"/>
  <c r="O1592" i="1"/>
  <c r="N1592" i="1"/>
  <c r="M1592" i="1"/>
  <c r="O2253" i="1"/>
  <c r="N2253" i="1"/>
  <c r="M2253" i="1"/>
  <c r="O831" i="1"/>
  <c r="N831" i="1"/>
  <c r="M831" i="1"/>
  <c r="O703" i="1"/>
  <c r="N703" i="1"/>
  <c r="M703" i="1"/>
  <c r="O993" i="1"/>
  <c r="N993" i="1"/>
  <c r="M993" i="1"/>
  <c r="O825" i="1"/>
  <c r="N825" i="1"/>
  <c r="M825" i="1"/>
  <c r="M331" i="1"/>
  <c r="O331" i="1"/>
  <c r="N331" i="1"/>
  <c r="O2207" i="1"/>
  <c r="N2207" i="1"/>
  <c r="M2207" i="1"/>
  <c r="O1822" i="1"/>
  <c r="N1822" i="1"/>
  <c r="M1822" i="1"/>
  <c r="O1664" i="1"/>
  <c r="N1664" i="1"/>
  <c r="M1664" i="1"/>
  <c r="O859" i="1"/>
  <c r="N859" i="1"/>
  <c r="M859" i="1"/>
  <c r="O979" i="1"/>
  <c r="N979" i="1"/>
  <c r="M979" i="1"/>
  <c r="M527" i="1"/>
  <c r="O527" i="1"/>
  <c r="N527" i="1"/>
  <c r="M2227" i="1"/>
  <c r="O2227" i="1"/>
  <c r="N2227" i="1"/>
  <c r="M1103" i="1"/>
  <c r="O1103" i="1"/>
  <c r="N1103" i="1"/>
  <c r="O1317" i="1"/>
  <c r="N1317" i="1"/>
  <c r="M1317" i="1"/>
  <c r="O1492" i="1"/>
  <c r="N1492" i="1"/>
  <c r="M1492" i="1"/>
  <c r="O984" i="1"/>
  <c r="N984" i="1"/>
  <c r="M984" i="1"/>
  <c r="O1680" i="1"/>
  <c r="N1680" i="1"/>
  <c r="M1680" i="1"/>
  <c r="O102" i="1"/>
  <c r="N102" i="1"/>
  <c r="M102" i="1"/>
  <c r="M282" i="1"/>
  <c r="O282" i="1"/>
  <c r="N282" i="1"/>
  <c r="O1323" i="1"/>
  <c r="N1323" i="1"/>
  <c r="M1323" i="1"/>
  <c r="O1189" i="1"/>
  <c r="N1189" i="1"/>
  <c r="M1189" i="1"/>
  <c r="N1208" i="1"/>
  <c r="O1208" i="1"/>
  <c r="M1208" i="1"/>
  <c r="O144" i="1"/>
  <c r="M144" i="1"/>
  <c r="N144" i="1"/>
  <c r="O182" i="1"/>
  <c r="M182" i="1"/>
  <c r="N182" i="1"/>
  <c r="O331" i="2"/>
  <c r="N331" i="2"/>
  <c r="M331" i="2"/>
  <c r="M553" i="2"/>
  <c r="N553" i="2"/>
  <c r="O553" i="2"/>
  <c r="O236" i="2"/>
  <c r="M236" i="2"/>
  <c r="N236" i="2"/>
  <c r="M222" i="2"/>
  <c r="O222" i="2"/>
  <c r="N222" i="2"/>
  <c r="O461" i="2"/>
  <c r="M461" i="2"/>
  <c r="N461" i="2"/>
  <c r="O237" i="1"/>
  <c r="N237" i="1"/>
  <c r="M237" i="1"/>
  <c r="O2186" i="1"/>
  <c r="N2186" i="1"/>
  <c r="M2186" i="1"/>
  <c r="O2287" i="1"/>
  <c r="N2287" i="1"/>
  <c r="M2287" i="1"/>
  <c r="O2246" i="1"/>
  <c r="N2246" i="1"/>
  <c r="M2246" i="1"/>
  <c r="O2081" i="1"/>
  <c r="N2081" i="1"/>
  <c r="M2081" i="1"/>
  <c r="O2034" i="1"/>
  <c r="N2034" i="1"/>
  <c r="M2034" i="1"/>
  <c r="O1809" i="1"/>
  <c r="N1809" i="1"/>
  <c r="M1809" i="1"/>
  <c r="O1769" i="1"/>
  <c r="N1769" i="1"/>
  <c r="M1769" i="1"/>
  <c r="O1745" i="1"/>
  <c r="N1745" i="1"/>
  <c r="M1745" i="1"/>
  <c r="O1984" i="1"/>
  <c r="M1984" i="1"/>
  <c r="N1984" i="1"/>
  <c r="M1892" i="1"/>
  <c r="N1892" i="1"/>
  <c r="O1892" i="1"/>
  <c r="O1645" i="1"/>
  <c r="N1645" i="1"/>
  <c r="M1645" i="1"/>
  <c r="O1721" i="1"/>
  <c r="N1721" i="1"/>
  <c r="M1721" i="1"/>
  <c r="O617" i="1"/>
  <c r="N617" i="1"/>
  <c r="M617" i="1"/>
  <c r="O1369" i="1"/>
  <c r="N1369" i="1"/>
  <c r="M1369" i="1"/>
  <c r="O1644" i="1"/>
  <c r="N1644" i="1"/>
  <c r="M1644" i="1"/>
  <c r="M1123" i="1"/>
  <c r="O1123" i="1"/>
  <c r="N1123" i="1"/>
  <c r="O1359" i="1"/>
  <c r="N1359" i="1"/>
  <c r="M1359" i="1"/>
  <c r="O1190" i="1"/>
  <c r="N1190" i="1"/>
  <c r="M1190" i="1"/>
  <c r="O1098" i="1"/>
  <c r="N1098" i="1"/>
  <c r="M1098" i="1"/>
  <c r="O706" i="1"/>
  <c r="N706" i="1"/>
  <c r="M706" i="1"/>
  <c r="O945" i="1"/>
  <c r="N945" i="1"/>
  <c r="M945" i="1"/>
  <c r="O624" i="1"/>
  <c r="N624" i="1"/>
  <c r="M624" i="1"/>
  <c r="O814" i="1"/>
  <c r="N814" i="1"/>
  <c r="M814" i="1"/>
  <c r="O884" i="1"/>
  <c r="N884" i="1"/>
  <c r="M884" i="1"/>
  <c r="M493" i="1"/>
  <c r="O493" i="1"/>
  <c r="N493" i="1"/>
  <c r="M494" i="1"/>
  <c r="O494" i="1"/>
  <c r="N494" i="1"/>
  <c r="O969" i="1"/>
  <c r="N969" i="1"/>
  <c r="M969" i="1"/>
  <c r="M1410" i="1"/>
  <c r="O1410" i="1"/>
  <c r="N1410" i="1"/>
  <c r="O1089" i="1"/>
  <c r="N1089" i="1"/>
  <c r="M1089" i="1"/>
  <c r="M300" i="1"/>
  <c r="O300" i="1"/>
  <c r="N300" i="1"/>
  <c r="O655" i="1"/>
  <c r="M655" i="1"/>
  <c r="N655" i="1"/>
  <c r="O67" i="1"/>
  <c r="M67" i="1"/>
  <c r="N67" i="1"/>
  <c r="M400" i="1"/>
  <c r="N400" i="1"/>
  <c r="O400" i="1"/>
  <c r="O129" i="1"/>
  <c r="M129" i="1"/>
  <c r="N129" i="1"/>
  <c r="M386" i="1"/>
  <c r="O386" i="1"/>
  <c r="N386" i="1"/>
  <c r="M315" i="1"/>
  <c r="O315" i="1"/>
  <c r="N315" i="1"/>
  <c r="O128" i="2"/>
  <c r="N128" i="2"/>
  <c r="M128" i="2"/>
  <c r="O334" i="2"/>
  <c r="N334" i="2"/>
  <c r="M334" i="2"/>
  <c r="M475" i="2"/>
  <c r="N475" i="2"/>
  <c r="O475" i="2"/>
  <c r="O163" i="2"/>
  <c r="N163" i="2"/>
  <c r="M163" i="2"/>
  <c r="M495" i="2"/>
  <c r="O495" i="2"/>
  <c r="N495" i="2"/>
  <c r="O208" i="2"/>
  <c r="M208" i="2"/>
  <c r="N208" i="2"/>
  <c r="O1857" i="1"/>
  <c r="N1857" i="1"/>
  <c r="M1857" i="1"/>
  <c r="O1365" i="1"/>
  <c r="N1365" i="1"/>
  <c r="M1365" i="1"/>
  <c r="M2107" i="1"/>
  <c r="O2107" i="1"/>
  <c r="N2107" i="1"/>
  <c r="N2122" i="1"/>
  <c r="M2122" i="1"/>
  <c r="O2122" i="1"/>
  <c r="O2063" i="1"/>
  <c r="N2063" i="1"/>
  <c r="M2063" i="1"/>
  <c r="O2082" i="1"/>
  <c r="N2082" i="1"/>
  <c r="M2082" i="1"/>
  <c r="O1942" i="1"/>
  <c r="M1942" i="1"/>
  <c r="N1942" i="1"/>
  <c r="O1856" i="1"/>
  <c r="N1856" i="1"/>
  <c r="M1856" i="1"/>
  <c r="O1768" i="1"/>
  <c r="N1768" i="1"/>
  <c r="M1768" i="1"/>
  <c r="O2014" i="1"/>
  <c r="M2014" i="1"/>
  <c r="N2014" i="1"/>
  <c r="O1459" i="1"/>
  <c r="N1459" i="1"/>
  <c r="M1459" i="1"/>
  <c r="O1165" i="1"/>
  <c r="N1165" i="1"/>
  <c r="M1165" i="1"/>
  <c r="O771" i="1"/>
  <c r="N771" i="1"/>
  <c r="M771" i="1"/>
  <c r="O1431" i="1"/>
  <c r="N1431" i="1"/>
  <c r="M1431" i="1"/>
  <c r="O1675" i="1"/>
  <c r="N1675" i="1"/>
  <c r="M1675" i="1"/>
  <c r="O1164" i="1"/>
  <c r="N1164" i="1"/>
  <c r="M1164" i="1"/>
  <c r="O99" i="1"/>
  <c r="N99" i="1"/>
  <c r="M99" i="1"/>
  <c r="M445" i="1"/>
  <c r="O445" i="1"/>
  <c r="N445" i="1"/>
  <c r="O609" i="1"/>
  <c r="M609" i="1"/>
  <c r="N609" i="1"/>
  <c r="M588" i="1"/>
  <c r="O588" i="1"/>
  <c r="N588" i="1"/>
  <c r="M830" i="1"/>
  <c r="O830" i="1"/>
  <c r="N830" i="1"/>
  <c r="O26" i="1"/>
  <c r="M26" i="1"/>
  <c r="N26" i="1"/>
  <c r="M441" i="1"/>
  <c r="N441" i="1"/>
  <c r="O441" i="1"/>
  <c r="O403" i="2"/>
  <c r="N403" i="2"/>
  <c r="M403" i="2"/>
  <c r="M487" i="2"/>
  <c r="O487" i="2"/>
  <c r="N487" i="2"/>
  <c r="O2272" i="1"/>
  <c r="N2272" i="1"/>
  <c r="M2272" i="1"/>
  <c r="O1949" i="1"/>
  <c r="M1949" i="1"/>
  <c r="N1949" i="1"/>
  <c r="O1799" i="1"/>
  <c r="N1799" i="1"/>
  <c r="M1799" i="1"/>
  <c r="O2011" i="1"/>
  <c r="M2011" i="1"/>
  <c r="N2011" i="1"/>
  <c r="N1868" i="1"/>
  <c r="M1868" i="1"/>
  <c r="O1868" i="1"/>
  <c r="O1636" i="1"/>
  <c r="N1636" i="1"/>
  <c r="M1636" i="1"/>
  <c r="O1551" i="1"/>
  <c r="N1551" i="1"/>
  <c r="M1551" i="1"/>
  <c r="O1010" i="1"/>
  <c r="N1010" i="1"/>
  <c r="M1010" i="1"/>
  <c r="O1338" i="1"/>
  <c r="N1338" i="1"/>
  <c r="M1338" i="1"/>
  <c r="N1179" i="1"/>
  <c r="M1179" i="1"/>
  <c r="O1179" i="1"/>
  <c r="O1416" i="1"/>
  <c r="N1416" i="1"/>
  <c r="M1416" i="1"/>
  <c r="O910" i="1"/>
  <c r="N910" i="1"/>
  <c r="M910" i="1"/>
  <c r="O694" i="1"/>
  <c r="N694" i="1"/>
  <c r="M694" i="1"/>
  <c r="O708" i="1"/>
  <c r="N708" i="1"/>
  <c r="M708" i="1"/>
  <c r="M412" i="1"/>
  <c r="O412" i="1"/>
  <c r="N412" i="1"/>
  <c r="M1041" i="1"/>
  <c r="O1041" i="1"/>
  <c r="N1041" i="1"/>
  <c r="M233" i="1"/>
  <c r="O233" i="1"/>
  <c r="N233" i="1"/>
  <c r="O97" i="1"/>
  <c r="N97" i="1"/>
  <c r="M97" i="1"/>
  <c r="O33" i="1"/>
  <c r="N33" i="1"/>
  <c r="M33" i="1"/>
  <c r="O162" i="1"/>
  <c r="N162" i="1"/>
  <c r="M162" i="1"/>
  <c r="O470" i="2"/>
  <c r="N470" i="2"/>
  <c r="M470" i="2"/>
  <c r="M223" i="2"/>
  <c r="O223" i="2"/>
  <c r="N223" i="2"/>
  <c r="O2097" i="1"/>
  <c r="N2097" i="1"/>
  <c r="M2097" i="1"/>
  <c r="O1621" i="1"/>
  <c r="N1621" i="1"/>
  <c r="M1621" i="1"/>
  <c r="O1366" i="1"/>
  <c r="N1366" i="1"/>
  <c r="M1366" i="1"/>
  <c r="O1018" i="1"/>
  <c r="N1018" i="1"/>
  <c r="M1018" i="1"/>
  <c r="O729" i="1"/>
  <c r="N729" i="1"/>
  <c r="M729" i="1"/>
  <c r="O1479" i="1"/>
  <c r="N1479" i="1"/>
  <c r="M1479" i="1"/>
  <c r="O816" i="1"/>
  <c r="N816" i="1"/>
  <c r="M816" i="1"/>
  <c r="N1195" i="1"/>
  <c r="O1195" i="1"/>
  <c r="M1195" i="1"/>
  <c r="M312" i="1"/>
  <c r="N312" i="1"/>
  <c r="O312" i="1"/>
  <c r="M108" i="2"/>
  <c r="N108" i="2"/>
  <c r="O108" i="2"/>
  <c r="O2257" i="1"/>
  <c r="N2257" i="1"/>
  <c r="M2257" i="1"/>
  <c r="O2026" i="1"/>
  <c r="N2026" i="1"/>
  <c r="M2026" i="1"/>
  <c r="O1813" i="1"/>
  <c r="N1813" i="1"/>
  <c r="M1813" i="1"/>
  <c r="O1873" i="1"/>
  <c r="N1873" i="1"/>
  <c r="M1873" i="1"/>
  <c r="M1896" i="1"/>
  <c r="O1896" i="1"/>
  <c r="N1896" i="1"/>
  <c r="O1614" i="1"/>
  <c r="N1614" i="1"/>
  <c r="M1614" i="1"/>
  <c r="O1158" i="1"/>
  <c r="N1158" i="1"/>
  <c r="M1158" i="1"/>
  <c r="O855" i="1"/>
  <c r="N855" i="1"/>
  <c r="M855" i="1"/>
  <c r="O630" i="1"/>
  <c r="N630" i="1"/>
  <c r="M630" i="1"/>
  <c r="O613" i="1"/>
  <c r="N613" i="1"/>
  <c r="M613" i="1"/>
  <c r="M552" i="1"/>
  <c r="O552" i="1"/>
  <c r="N552" i="1"/>
  <c r="M304" i="1"/>
  <c r="N304" i="1"/>
  <c r="O304" i="1"/>
  <c r="O225" i="1"/>
  <c r="N225" i="1"/>
  <c r="M225" i="1"/>
  <c r="O1998" i="1"/>
  <c r="M1998" i="1"/>
  <c r="N1998" i="1"/>
  <c r="N432" i="1"/>
  <c r="O432" i="1"/>
  <c r="M432" i="1"/>
  <c r="O920" i="1"/>
  <c r="N920" i="1"/>
  <c r="M920" i="1"/>
  <c r="M586" i="1"/>
  <c r="O586" i="1"/>
  <c r="N586" i="1"/>
  <c r="M530" i="1"/>
  <c r="O530" i="1"/>
  <c r="N530" i="1"/>
  <c r="M560" i="1"/>
  <c r="O560" i="1"/>
  <c r="N560" i="1"/>
  <c r="O54" i="1"/>
  <c r="M54" i="1"/>
  <c r="N54" i="1"/>
  <c r="N188" i="2"/>
  <c r="M188" i="2"/>
  <c r="O188" i="2"/>
  <c r="O2269" i="1"/>
  <c r="N2269" i="1"/>
  <c r="M2269" i="1"/>
  <c r="M1740" i="1"/>
  <c r="O1740" i="1"/>
  <c r="N1740" i="1"/>
  <c r="O2022" i="1"/>
  <c r="N2022" i="1"/>
  <c r="M2022" i="1"/>
  <c r="O621" i="1"/>
  <c r="N621" i="1"/>
  <c r="M621" i="1"/>
  <c r="O845" i="1"/>
  <c r="N845" i="1"/>
  <c r="M845" i="1"/>
  <c r="M402" i="1"/>
  <c r="O402" i="1"/>
  <c r="N402" i="1"/>
  <c r="O2074" i="1"/>
  <c r="N2074" i="1"/>
  <c r="M2074" i="1"/>
  <c r="O1821" i="1"/>
  <c r="N1821" i="1"/>
  <c r="M1821" i="1"/>
  <c r="O1959" i="1"/>
  <c r="M1959" i="1"/>
  <c r="N1959" i="1"/>
  <c r="N1197" i="1"/>
  <c r="O1197" i="1"/>
  <c r="M1197" i="1"/>
  <c r="O1232" i="1"/>
  <c r="N1232" i="1"/>
  <c r="M1232" i="1"/>
  <c r="O714" i="1"/>
  <c r="N714" i="1"/>
  <c r="M714" i="1"/>
  <c r="O742" i="1"/>
  <c r="N742" i="1"/>
  <c r="M742" i="1"/>
  <c r="M368" i="1"/>
  <c r="N368" i="1"/>
  <c r="O368" i="1"/>
  <c r="M337" i="2"/>
  <c r="N337" i="2"/>
  <c r="O337" i="2"/>
  <c r="O140" i="2"/>
  <c r="M140" i="2"/>
  <c r="N140" i="2"/>
  <c r="O96" i="2"/>
  <c r="N96" i="2"/>
  <c r="M96" i="2"/>
  <c r="O2119" i="1"/>
  <c r="N2119" i="1"/>
  <c r="M2119" i="1"/>
  <c r="M1888" i="1"/>
  <c r="O1888" i="1"/>
  <c r="N1888" i="1"/>
  <c r="O1549" i="1"/>
  <c r="N1549" i="1"/>
  <c r="M1549" i="1"/>
  <c r="O1462" i="1"/>
  <c r="N1462" i="1"/>
  <c r="M1462" i="1"/>
  <c r="O1106" i="1"/>
  <c r="N1106" i="1"/>
  <c r="M1106" i="1"/>
  <c r="M239" i="2"/>
  <c r="N239" i="2"/>
  <c r="O239" i="2"/>
  <c r="M537" i="2"/>
  <c r="O537" i="2"/>
  <c r="N537" i="2"/>
  <c r="O499" i="1"/>
  <c r="N499" i="1"/>
  <c r="M499" i="1"/>
  <c r="N2162" i="1"/>
  <c r="M2162" i="1"/>
  <c r="O2162" i="1"/>
  <c r="M1917" i="1"/>
  <c r="O1917" i="1"/>
  <c r="N1917" i="1"/>
  <c r="O1682" i="1"/>
  <c r="N1682" i="1"/>
  <c r="M1682" i="1"/>
  <c r="O633" i="1"/>
  <c r="M633" i="1"/>
  <c r="N633" i="1"/>
  <c r="O821" i="1"/>
  <c r="N821" i="1"/>
  <c r="M821" i="1"/>
  <c r="M1260" i="1"/>
  <c r="O1260" i="1"/>
  <c r="N1260" i="1"/>
  <c r="N482" i="2"/>
  <c r="M482" i="2"/>
  <c r="O482" i="2"/>
  <c r="O245" i="2"/>
  <c r="N245" i="2"/>
  <c r="M245" i="2"/>
  <c r="O2292" i="1"/>
  <c r="N2292" i="1"/>
  <c r="M2292" i="1"/>
  <c r="O1862" i="1"/>
  <c r="N1862" i="1"/>
  <c r="M1862" i="1"/>
  <c r="O1523" i="1"/>
  <c r="N1523" i="1"/>
  <c r="M1523" i="1"/>
  <c r="O908" i="1"/>
  <c r="N908" i="1"/>
  <c r="M908" i="1"/>
  <c r="N1210" i="1"/>
  <c r="O1210" i="1"/>
  <c r="M1210" i="1"/>
  <c r="O24" i="1"/>
  <c r="N24" i="1"/>
  <c r="M24" i="1"/>
  <c r="M449" i="1"/>
  <c r="N449" i="1"/>
  <c r="O449" i="1"/>
  <c r="O1773" i="1"/>
  <c r="N1773" i="1"/>
  <c r="M1773" i="1"/>
  <c r="O1090" i="1"/>
  <c r="N1090" i="1"/>
  <c r="M1090" i="1"/>
  <c r="O340" i="1"/>
  <c r="N340" i="1"/>
  <c r="M340" i="1"/>
  <c r="O1267" i="1"/>
  <c r="N1267" i="1"/>
  <c r="M1267" i="1"/>
  <c r="O15" i="1"/>
  <c r="N15" i="1"/>
  <c r="M15" i="1"/>
  <c r="O350" i="2"/>
  <c r="N350" i="2"/>
  <c r="M350" i="2"/>
  <c r="N467" i="2"/>
  <c r="M467" i="2"/>
  <c r="O467" i="2"/>
  <c r="O2181" i="1"/>
  <c r="N2181" i="1"/>
  <c r="M2181" i="1"/>
  <c r="O1969" i="1"/>
  <c r="M1969" i="1"/>
  <c r="N1969" i="1"/>
  <c r="O2024" i="1"/>
  <c r="N2024" i="1"/>
  <c r="M2024" i="1"/>
  <c r="O1725" i="1"/>
  <c r="N1725" i="1"/>
  <c r="M1725" i="1"/>
  <c r="O1617" i="1"/>
  <c r="N1617" i="1"/>
  <c r="M1617" i="1"/>
  <c r="O1254" i="1"/>
  <c r="N1254" i="1"/>
  <c r="M1254" i="1"/>
  <c r="O725" i="1"/>
  <c r="N725" i="1"/>
  <c r="M725" i="1"/>
  <c r="M582" i="1"/>
  <c r="O582" i="1"/>
  <c r="N582" i="1"/>
  <c r="O70" i="1"/>
  <c r="M70" i="1"/>
  <c r="N70" i="1"/>
  <c r="M289" i="1"/>
  <c r="O289" i="1"/>
  <c r="N289" i="1"/>
  <c r="M263" i="2"/>
  <c r="O263" i="2"/>
  <c r="N263" i="2"/>
  <c r="O1463" i="1"/>
  <c r="N1463" i="1"/>
  <c r="M1463" i="1"/>
  <c r="O1259" i="1"/>
  <c r="N1259" i="1"/>
  <c r="M1259" i="1"/>
  <c r="O1131" i="1"/>
  <c r="N1131" i="1"/>
  <c r="M1131" i="1"/>
  <c r="O627" i="1"/>
  <c r="N627" i="1"/>
  <c r="M627" i="1"/>
  <c r="O778" i="1"/>
  <c r="N778" i="1"/>
  <c r="M778" i="1"/>
  <c r="M318" i="1"/>
  <c r="N318" i="1"/>
  <c r="O318" i="1"/>
  <c r="O85" i="1"/>
  <c r="N85" i="1"/>
  <c r="M85" i="1"/>
  <c r="N2171" i="1"/>
  <c r="M2171" i="1"/>
  <c r="O2171" i="1"/>
  <c r="M1750" i="1"/>
  <c r="N1750" i="1"/>
  <c r="O1750" i="1"/>
  <c r="O1332" i="1"/>
  <c r="N1332" i="1"/>
  <c r="M1332" i="1"/>
  <c r="O663" i="1"/>
  <c r="M663" i="1"/>
  <c r="N663" i="1"/>
  <c r="O792" i="1"/>
  <c r="N792" i="1"/>
  <c r="M792" i="1"/>
  <c r="M492" i="1"/>
  <c r="O492" i="1"/>
  <c r="N492" i="1"/>
  <c r="M381" i="1"/>
  <c r="O381" i="1"/>
  <c r="N381" i="1"/>
  <c r="M468" i="1"/>
  <c r="N468" i="1"/>
  <c r="O468" i="1"/>
  <c r="M362" i="1"/>
  <c r="O362" i="1"/>
  <c r="N362" i="1"/>
  <c r="O315" i="2"/>
  <c r="N315" i="2"/>
  <c r="M315" i="2"/>
  <c r="M521" i="2"/>
  <c r="O521" i="2"/>
  <c r="N521" i="2"/>
  <c r="N250" i="2"/>
  <c r="M250" i="2"/>
  <c r="O250" i="2"/>
  <c r="O1427" i="1"/>
  <c r="N1427" i="1"/>
  <c r="M1427" i="1"/>
  <c r="M487" i="1"/>
  <c r="O487" i="1"/>
  <c r="N487" i="1"/>
  <c r="O690" i="1"/>
  <c r="N690" i="1"/>
  <c r="M690" i="1"/>
  <c r="O95" i="1"/>
  <c r="N95" i="1"/>
  <c r="M95" i="1"/>
  <c r="O1501" i="1"/>
  <c r="N1501" i="1"/>
  <c r="M1501" i="1"/>
  <c r="O1356" i="1"/>
  <c r="N1356" i="1"/>
  <c r="M1356" i="1"/>
  <c r="M424" i="1"/>
  <c r="N424" i="1"/>
  <c r="O424" i="1"/>
  <c r="M444" i="2"/>
  <c r="O444" i="2"/>
  <c r="N444" i="2"/>
  <c r="O2196" i="1"/>
  <c r="N2196" i="1"/>
  <c r="M2196" i="1"/>
  <c r="N2110" i="1"/>
  <c r="M2110" i="1"/>
  <c r="O2110" i="1"/>
  <c r="O1739" i="1"/>
  <c r="N1739" i="1"/>
  <c r="M1739" i="1"/>
  <c r="O1572" i="1"/>
  <c r="N1572" i="1"/>
  <c r="M1572" i="1"/>
  <c r="M1112" i="1"/>
  <c r="O1112" i="1"/>
  <c r="N1112" i="1"/>
  <c r="O927" i="1"/>
  <c r="N927" i="1"/>
  <c r="M927" i="1"/>
  <c r="O1301" i="1"/>
  <c r="N1301" i="1"/>
  <c r="M1301" i="1"/>
  <c r="M514" i="1"/>
  <c r="O514" i="1"/>
  <c r="N514" i="1"/>
  <c r="M554" i="1"/>
  <c r="O554" i="1"/>
  <c r="N554" i="1"/>
  <c r="O1094" i="1"/>
  <c r="N1094" i="1"/>
  <c r="M1094" i="1"/>
  <c r="M2228" i="1"/>
  <c r="O2228" i="1"/>
  <c r="N2228" i="1"/>
  <c r="O2013" i="1"/>
  <c r="M2013" i="1"/>
  <c r="N2013" i="1"/>
  <c r="N1139" i="1"/>
  <c r="M1139" i="1"/>
  <c r="O1139" i="1"/>
  <c r="O721" i="1"/>
  <c r="N721" i="1"/>
  <c r="M721" i="1"/>
  <c r="O834" i="1"/>
  <c r="N834" i="1"/>
  <c r="M834" i="1"/>
  <c r="O865" i="1"/>
  <c r="N865" i="1"/>
  <c r="M865" i="1"/>
  <c r="O1577" i="1"/>
  <c r="N1577" i="1"/>
  <c r="M1577" i="1"/>
  <c r="O944" i="1"/>
  <c r="N944" i="1"/>
  <c r="M944" i="1"/>
  <c r="N212" i="2"/>
  <c r="M212" i="2"/>
  <c r="O212" i="2"/>
  <c r="N2094" i="1"/>
  <c r="M2094" i="1"/>
  <c r="O2094" i="1"/>
  <c r="M894" i="1"/>
  <c r="N894" i="1"/>
  <c r="O894" i="1"/>
  <c r="O492" i="2"/>
  <c r="N492" i="2"/>
  <c r="M492" i="2"/>
  <c r="O2281" i="1"/>
  <c r="N2281" i="1"/>
  <c r="M2281" i="1"/>
  <c r="O1841" i="1"/>
  <c r="N1841" i="1"/>
  <c r="M1841" i="1"/>
  <c r="N1204" i="1"/>
  <c r="O1204" i="1"/>
  <c r="M1204" i="1"/>
  <c r="O1105" i="1"/>
  <c r="N1105" i="1"/>
  <c r="M1105" i="1"/>
  <c r="M531" i="1"/>
  <c r="O531" i="1"/>
  <c r="N531" i="1"/>
  <c r="M302" i="1"/>
  <c r="O302" i="1"/>
  <c r="N302" i="1"/>
  <c r="O1824" i="1"/>
  <c r="N1824" i="1"/>
  <c r="M1824" i="1"/>
  <c r="M1891" i="1"/>
  <c r="O1891" i="1"/>
  <c r="N1891" i="1"/>
  <c r="O1640" i="1"/>
  <c r="N1640" i="1"/>
  <c r="M1640" i="1"/>
  <c r="O867" i="1"/>
  <c r="N867" i="1"/>
  <c r="M867" i="1"/>
  <c r="M571" i="1"/>
  <c r="O571" i="1"/>
  <c r="N571" i="1"/>
  <c r="M420" i="1"/>
  <c r="O420" i="1"/>
  <c r="N420" i="1"/>
  <c r="O90" i="1"/>
  <c r="M90" i="1"/>
  <c r="N90" i="1"/>
  <c r="M385" i="1"/>
  <c r="O385" i="1"/>
  <c r="N385" i="1"/>
  <c r="O2200" i="1"/>
  <c r="N2200" i="1"/>
  <c r="M2200" i="1"/>
  <c r="O1975" i="1"/>
  <c r="M1975" i="1"/>
  <c r="N1975" i="1"/>
  <c r="O89" i="1"/>
  <c r="N89" i="1"/>
  <c r="M89" i="1"/>
  <c r="O25" i="1"/>
  <c r="N25" i="1"/>
  <c r="M25" i="1"/>
  <c r="O205" i="1"/>
  <c r="N205" i="1"/>
  <c r="M205" i="1"/>
  <c r="M14" i="2"/>
  <c r="O14" i="2"/>
  <c r="N14" i="2"/>
  <c r="O2009" i="1"/>
  <c r="M2009" i="1"/>
  <c r="N2009" i="1"/>
  <c r="O1509" i="1"/>
  <c r="N1509" i="1"/>
  <c r="M1509" i="1"/>
  <c r="M2222" i="1"/>
  <c r="O2222" i="1"/>
  <c r="N2222" i="1"/>
  <c r="M1107" i="1"/>
  <c r="O1107" i="1"/>
  <c r="N1107" i="1"/>
  <c r="O1170" i="1"/>
  <c r="N1170" i="1"/>
  <c r="M1170" i="1"/>
  <c r="O119" i="1"/>
  <c r="N119" i="1"/>
  <c r="M119" i="1"/>
  <c r="O1630" i="1"/>
  <c r="N1630" i="1"/>
  <c r="M1630" i="1"/>
  <c r="O1125" i="1"/>
  <c r="N1125" i="1"/>
  <c r="M1125" i="1"/>
  <c r="O638" i="1"/>
  <c r="N638" i="1"/>
  <c r="M638" i="1"/>
  <c r="M303" i="1"/>
  <c r="O303" i="1"/>
  <c r="N303" i="1"/>
  <c r="O2273" i="1"/>
  <c r="N2273" i="1"/>
  <c r="M2273" i="1"/>
  <c r="O1677" i="1"/>
  <c r="N1677" i="1"/>
  <c r="M1677" i="1"/>
  <c r="M553" i="1"/>
  <c r="N553" i="1"/>
  <c r="O553" i="1"/>
  <c r="O78" i="1"/>
  <c r="N78" i="1"/>
  <c r="M78" i="1"/>
  <c r="O132" i="2"/>
  <c r="N132" i="2"/>
  <c r="M132" i="2"/>
  <c r="O1129" i="1"/>
  <c r="N1129" i="1"/>
  <c r="M1129" i="1"/>
  <c r="M471" i="1"/>
  <c r="O471" i="1"/>
  <c r="N471" i="1"/>
  <c r="N803" i="1"/>
  <c r="M803" i="1"/>
  <c r="O803" i="1"/>
  <c r="O1400" i="1"/>
  <c r="N1400" i="1"/>
  <c r="M1400" i="1"/>
  <c r="O411" i="2"/>
  <c r="N411" i="2"/>
  <c r="M411" i="2"/>
  <c r="N2170" i="1"/>
  <c r="M2170" i="1"/>
  <c r="O2170" i="1"/>
  <c r="N274" i="2"/>
  <c r="M274" i="2"/>
  <c r="O274" i="2"/>
  <c r="O2051" i="1"/>
  <c r="N2051" i="1"/>
  <c r="M2051" i="1"/>
  <c r="M1894" i="1"/>
  <c r="N1894" i="1"/>
  <c r="O1894" i="1"/>
  <c r="O1276" i="1"/>
  <c r="N1276" i="1"/>
  <c r="M1276" i="1"/>
  <c r="O811" i="1"/>
  <c r="N811" i="1"/>
  <c r="M811" i="1"/>
  <c r="O1226" i="1"/>
  <c r="N1226" i="1"/>
  <c r="M1226" i="1"/>
  <c r="O996" i="1"/>
  <c r="N996" i="1"/>
  <c r="M996" i="1"/>
  <c r="O136" i="1"/>
  <c r="N136" i="1"/>
  <c r="M136" i="1"/>
  <c r="O1372" i="1"/>
  <c r="N1372" i="1"/>
  <c r="M1372" i="1"/>
  <c r="O740" i="1"/>
  <c r="N740" i="1"/>
  <c r="M740" i="1"/>
  <c r="O325" i="1"/>
  <c r="M325" i="1"/>
  <c r="N325" i="1"/>
  <c r="O531" i="2"/>
  <c r="N531" i="2"/>
  <c r="M531" i="2"/>
  <c r="O191" i="1"/>
  <c r="N191" i="1"/>
  <c r="M191" i="1"/>
  <c r="O1679" i="1"/>
  <c r="N1679" i="1"/>
  <c r="M1679" i="1"/>
  <c r="O1548" i="1"/>
  <c r="N1548" i="1"/>
  <c r="M1548" i="1"/>
  <c r="O1854" i="1"/>
  <c r="N1854" i="1"/>
  <c r="M1854" i="1"/>
  <c r="O1048" i="1"/>
  <c r="N1048" i="1"/>
  <c r="M1048" i="1"/>
  <c r="O835" i="1"/>
  <c r="M835" i="1"/>
  <c r="N835" i="1"/>
  <c r="O1278" i="1"/>
  <c r="N1278" i="1"/>
  <c r="M1278" i="1"/>
  <c r="O126" i="1"/>
  <c r="N126" i="1"/>
  <c r="M126" i="1"/>
  <c r="M1753" i="1"/>
  <c r="N1753" i="1"/>
  <c r="O1753" i="1"/>
  <c r="M2029" i="1"/>
  <c r="O2029" i="1"/>
  <c r="N2029" i="1"/>
  <c r="O1593" i="1"/>
  <c r="N1593" i="1"/>
  <c r="M1593" i="1"/>
  <c r="O1484" i="1"/>
  <c r="N1484" i="1"/>
  <c r="M1484" i="1"/>
  <c r="O1009" i="1"/>
  <c r="N1009" i="1"/>
  <c r="M1009" i="1"/>
  <c r="O846" i="1"/>
  <c r="N846" i="1"/>
  <c r="M846" i="1"/>
  <c r="O842" i="1"/>
  <c r="N842" i="1"/>
  <c r="M842" i="1"/>
  <c r="M277" i="1"/>
  <c r="O277" i="1"/>
  <c r="N277" i="1"/>
  <c r="M279" i="1"/>
  <c r="O279" i="1"/>
  <c r="N279" i="1"/>
  <c r="O2217" i="1"/>
  <c r="N2217" i="1"/>
  <c r="M2217" i="1"/>
  <c r="O1982" i="1"/>
  <c r="M1982" i="1"/>
  <c r="N1982" i="1"/>
  <c r="O2300" i="1"/>
  <c r="N2300" i="1"/>
  <c r="M2300" i="1"/>
  <c r="O1823" i="1"/>
  <c r="N1823" i="1"/>
  <c r="M1823" i="1"/>
  <c r="O1513" i="1"/>
  <c r="N1513" i="1"/>
  <c r="M1513" i="1"/>
  <c r="M456" i="1"/>
  <c r="O456" i="1"/>
  <c r="N456" i="1"/>
  <c r="M391" i="1"/>
  <c r="O391" i="1"/>
  <c r="N391" i="1"/>
  <c r="O65" i="1"/>
  <c r="N65" i="1"/>
  <c r="M65" i="1"/>
  <c r="O147" i="2"/>
  <c r="M147" i="2"/>
  <c r="N147" i="2"/>
  <c r="O1970" i="1"/>
  <c r="M1970" i="1"/>
  <c r="N1970" i="1"/>
  <c r="O753" i="1"/>
  <c r="N753" i="1"/>
  <c r="M753" i="1"/>
  <c r="O1626" i="1"/>
  <c r="N1626" i="1"/>
  <c r="M1626" i="1"/>
  <c r="O451" i="2"/>
  <c r="N451" i="2"/>
  <c r="M451" i="2"/>
  <c r="M380" i="1"/>
  <c r="O380" i="1"/>
  <c r="N380" i="1"/>
  <c r="O1235" i="1"/>
  <c r="N1235" i="1"/>
  <c r="M1235" i="1"/>
  <c r="O1798" i="1"/>
  <c r="N1798" i="1"/>
  <c r="M1798" i="1"/>
  <c r="O1347" i="1"/>
  <c r="N1347" i="1"/>
  <c r="M1347" i="1"/>
  <c r="O705" i="1"/>
  <c r="N705" i="1"/>
  <c r="M705" i="1"/>
  <c r="M401" i="1"/>
  <c r="O401" i="1"/>
  <c r="N401" i="1"/>
  <c r="O1326" i="1"/>
  <c r="N1326" i="1"/>
  <c r="M1326" i="1"/>
  <c r="O1643" i="1"/>
  <c r="N1643" i="1"/>
  <c r="M1643" i="1"/>
  <c r="O700" i="1"/>
  <c r="N700" i="1"/>
  <c r="M700" i="1"/>
  <c r="M357" i="1"/>
  <c r="O357" i="1"/>
  <c r="N357" i="1"/>
  <c r="O732" i="1"/>
  <c r="N732" i="1"/>
  <c r="M732" i="1"/>
  <c r="M522" i="1"/>
  <c r="O522" i="1"/>
  <c r="N522" i="1"/>
  <c r="O283" i="2"/>
  <c r="N283" i="2"/>
  <c r="M283" i="2"/>
  <c r="M393" i="2"/>
  <c r="O393" i="2"/>
  <c r="N393" i="2"/>
  <c r="O1570" i="1"/>
  <c r="N1570" i="1"/>
  <c r="M1570" i="1"/>
  <c r="N1193" i="1"/>
  <c r="M1193" i="1"/>
  <c r="O1193" i="1"/>
  <c r="O1399" i="1"/>
  <c r="N1399" i="1"/>
  <c r="M1399" i="1"/>
  <c r="O1031" i="1"/>
  <c r="N1031" i="1"/>
  <c r="M1031" i="1"/>
  <c r="M465" i="2"/>
  <c r="N465" i="2"/>
  <c r="O465" i="2"/>
  <c r="O390" i="2"/>
  <c r="N390" i="2"/>
  <c r="M390" i="2"/>
  <c r="M255" i="2"/>
  <c r="O255" i="2"/>
  <c r="N255" i="2"/>
  <c r="M125" i="2"/>
  <c r="O125" i="2"/>
  <c r="N125" i="2"/>
  <c r="O56" i="1"/>
  <c r="N56" i="1"/>
  <c r="M56" i="1"/>
  <c r="O1802" i="1"/>
  <c r="N1802" i="1"/>
  <c r="M1802" i="1"/>
  <c r="O1095" i="1"/>
  <c r="N1095" i="1"/>
  <c r="M1095" i="1"/>
  <c r="O715" i="1"/>
  <c r="N715" i="1"/>
  <c r="M715" i="1"/>
  <c r="O159" i="1"/>
  <c r="N159" i="1"/>
  <c r="M159" i="1"/>
  <c r="M305" i="1"/>
  <c r="O305" i="1"/>
  <c r="N305" i="1"/>
  <c r="O2117" i="1"/>
  <c r="M2117" i="1"/>
  <c r="N2117" i="1"/>
  <c r="O1430" i="1"/>
  <c r="N1430" i="1"/>
  <c r="M1430" i="1"/>
  <c r="N1214" i="1"/>
  <c r="O1214" i="1"/>
  <c r="M1214" i="1"/>
  <c r="O1468" i="1"/>
  <c r="N1468" i="1"/>
  <c r="M1468" i="1"/>
  <c r="O1407" i="1"/>
  <c r="N1407" i="1"/>
  <c r="M1407" i="1"/>
  <c r="O1185" i="1"/>
  <c r="N1185" i="1"/>
  <c r="M1185" i="1"/>
  <c r="M549" i="1"/>
  <c r="N549" i="1"/>
  <c r="O549" i="1"/>
  <c r="O1951" i="1"/>
  <c r="M1951" i="1"/>
  <c r="N1951" i="1"/>
  <c r="N546" i="2"/>
  <c r="M546" i="2"/>
  <c r="O546" i="2"/>
  <c r="M429" i="2"/>
  <c r="O429" i="2"/>
  <c r="N429" i="2"/>
  <c r="O2218" i="1"/>
  <c r="N2218" i="1"/>
  <c r="M2218" i="1"/>
  <c r="O1557" i="1"/>
  <c r="N1557" i="1"/>
  <c r="M1557" i="1"/>
  <c r="O1666" i="1"/>
  <c r="N1666" i="1"/>
  <c r="M1666" i="1"/>
  <c r="O1606" i="1"/>
  <c r="N1606" i="1"/>
  <c r="M1606" i="1"/>
  <c r="O1434" i="1"/>
  <c r="M1434" i="1"/>
  <c r="N1434" i="1"/>
  <c r="O1046" i="1"/>
  <c r="N1046" i="1"/>
  <c r="M1046" i="1"/>
  <c r="O115" i="1"/>
  <c r="M115" i="1"/>
  <c r="N115" i="1"/>
  <c r="O283" i="1"/>
  <c r="N283" i="1"/>
  <c r="M283" i="1"/>
  <c r="O1722" i="1"/>
  <c r="N1722" i="1"/>
  <c r="M1722" i="1"/>
  <c r="O1536" i="1"/>
  <c r="N1536" i="1"/>
  <c r="M1536" i="1"/>
  <c r="O1619" i="1"/>
  <c r="N1619" i="1"/>
  <c r="M1619" i="1"/>
  <c r="O2018" i="1"/>
  <c r="M2018" i="1"/>
  <c r="N2018" i="1"/>
  <c r="O1011" i="1"/>
  <c r="N1011" i="1"/>
  <c r="M1011" i="1"/>
  <c r="O1388" i="1"/>
  <c r="N1388" i="1"/>
  <c r="M1388" i="1"/>
  <c r="O230" i="2"/>
  <c r="N230" i="2"/>
  <c r="M230" i="2"/>
  <c r="O192" i="2"/>
  <c r="N192" i="2"/>
  <c r="M192" i="2"/>
  <c r="M575" i="2"/>
  <c r="O575" i="2"/>
  <c r="N575" i="2"/>
  <c r="N458" i="2"/>
  <c r="M458" i="2"/>
  <c r="O458" i="2"/>
  <c r="O704" i="1"/>
  <c r="M704" i="1"/>
  <c r="N704" i="1"/>
  <c r="M1882" i="1"/>
  <c r="N1882" i="1"/>
  <c r="O1882" i="1"/>
  <c r="O1414" i="1"/>
  <c r="N1414" i="1"/>
  <c r="M1414" i="1"/>
  <c r="M2086" i="1"/>
  <c r="O2086" i="1"/>
  <c r="N2086" i="1"/>
  <c r="O1117" i="1"/>
  <c r="N1117" i="1"/>
  <c r="M1117" i="1"/>
  <c r="M604" i="1"/>
  <c r="N604" i="1"/>
  <c r="O604" i="1"/>
  <c r="M464" i="1"/>
  <c r="O464" i="1"/>
  <c r="N464" i="1"/>
  <c r="M303" i="2"/>
  <c r="O303" i="2"/>
  <c r="N303" i="2"/>
  <c r="O1587" i="1"/>
  <c r="N1587" i="1"/>
  <c r="M1587" i="1"/>
  <c r="O1162" i="1"/>
  <c r="M1162" i="1"/>
  <c r="N1162" i="1"/>
  <c r="O121" i="1"/>
  <c r="M121" i="1"/>
  <c r="N121" i="1"/>
  <c r="O1307" i="1"/>
  <c r="N1307" i="1"/>
  <c r="M1307" i="1"/>
  <c r="O1056" i="1"/>
  <c r="N1056" i="1"/>
  <c r="M1056" i="1"/>
  <c r="M569" i="1"/>
  <c r="N569" i="1"/>
  <c r="O569" i="1"/>
  <c r="O1396" i="1"/>
  <c r="N1396" i="1"/>
  <c r="M1396" i="1"/>
  <c r="M555" i="1"/>
  <c r="O555" i="1"/>
  <c r="N555" i="1"/>
  <c r="O1478" i="1"/>
  <c r="N1478" i="1"/>
  <c r="M1478" i="1"/>
  <c r="O1294" i="1"/>
  <c r="N1294" i="1"/>
  <c r="M1294" i="1"/>
  <c r="O235" i="2"/>
  <c r="N235" i="2"/>
  <c r="M235" i="2"/>
  <c r="M191" i="2"/>
  <c r="N191" i="2"/>
  <c r="O191" i="2"/>
  <c r="M142" i="2"/>
  <c r="O142" i="2"/>
  <c r="N142" i="2"/>
  <c r="O460" i="2"/>
  <c r="M460" i="2"/>
  <c r="N460" i="2"/>
  <c r="O2251" i="1"/>
  <c r="N2251" i="1"/>
  <c r="M2251" i="1"/>
  <c r="M1932" i="1"/>
  <c r="O1932" i="1"/>
  <c r="N1932" i="1"/>
  <c r="O1717" i="1"/>
  <c r="N1717" i="1"/>
  <c r="M1717" i="1"/>
  <c r="O1601" i="1"/>
  <c r="N1601" i="1"/>
  <c r="M1601" i="1"/>
  <c r="O1684" i="1"/>
  <c r="N1684" i="1"/>
  <c r="M1684" i="1"/>
  <c r="O1695" i="1"/>
  <c r="N1695" i="1"/>
  <c r="M1695" i="1"/>
  <c r="O1703" i="1"/>
  <c r="N1703" i="1"/>
  <c r="M1703" i="1"/>
  <c r="O1405" i="1"/>
  <c r="N1405" i="1"/>
  <c r="M1405" i="1"/>
  <c r="O1453" i="1"/>
  <c r="N1453" i="1"/>
  <c r="M1453" i="1"/>
  <c r="O1054" i="1"/>
  <c r="N1054" i="1"/>
  <c r="M1054" i="1"/>
  <c r="O1225" i="1"/>
  <c r="N1225" i="1"/>
  <c r="M1225" i="1"/>
  <c r="O1446" i="1"/>
  <c r="N1446" i="1"/>
  <c r="M1446" i="1"/>
  <c r="O843" i="1"/>
  <c r="N843" i="1"/>
  <c r="M843" i="1"/>
  <c r="O683" i="1"/>
  <c r="N683" i="1"/>
  <c r="M683" i="1"/>
  <c r="O2070" i="1"/>
  <c r="N2070" i="1"/>
  <c r="M2070" i="1"/>
  <c r="O1240" i="1"/>
  <c r="N1240" i="1"/>
  <c r="M1240" i="1"/>
  <c r="M529" i="1"/>
  <c r="N529" i="1"/>
  <c r="O529" i="1"/>
  <c r="O1678" i="1"/>
  <c r="N1678" i="1"/>
  <c r="M1678" i="1"/>
  <c r="O648" i="1"/>
  <c r="N648" i="1"/>
  <c r="M648" i="1"/>
  <c r="M509" i="1"/>
  <c r="N509" i="1"/>
  <c r="O509" i="1"/>
  <c r="M523" i="1"/>
  <c r="O523" i="1"/>
  <c r="N523" i="1"/>
  <c r="O614" i="1"/>
  <c r="N614" i="1"/>
  <c r="M614" i="1"/>
  <c r="M559" i="1"/>
  <c r="O559" i="1"/>
  <c r="N559" i="1"/>
  <c r="O646" i="1"/>
  <c r="N646" i="1"/>
  <c r="M646" i="1"/>
  <c r="M488" i="1"/>
  <c r="N488" i="1"/>
  <c r="O488" i="1"/>
  <c r="M285" i="1"/>
  <c r="O285" i="1"/>
  <c r="N285" i="1"/>
  <c r="M434" i="1"/>
  <c r="O434" i="1"/>
  <c r="N434" i="1"/>
  <c r="O116" i="1"/>
  <c r="N116" i="1"/>
  <c r="M116" i="1"/>
  <c r="O52" i="1"/>
  <c r="N52" i="1"/>
  <c r="M52" i="1"/>
  <c r="M280" i="1"/>
  <c r="N280" i="1"/>
  <c r="O280" i="1"/>
  <c r="M266" i="1"/>
  <c r="O266" i="1"/>
  <c r="N266" i="1"/>
  <c r="M369" i="1"/>
  <c r="O369" i="1"/>
  <c r="N369" i="1"/>
  <c r="M559" i="2"/>
  <c r="O559" i="2"/>
  <c r="N559" i="2"/>
  <c r="O308" i="2"/>
  <c r="N308" i="2"/>
  <c r="M308" i="2"/>
  <c r="M1876" i="1"/>
  <c r="O1876" i="1"/>
  <c r="N1876" i="1"/>
  <c r="O1686" i="1"/>
  <c r="N1686" i="1"/>
  <c r="M1686" i="1"/>
  <c r="O1477" i="1"/>
  <c r="N1477" i="1"/>
  <c r="M1477" i="1"/>
  <c r="O1442" i="1"/>
  <c r="M1442" i="1"/>
  <c r="N1442" i="1"/>
  <c r="O1264" i="1"/>
  <c r="N1264" i="1"/>
  <c r="M1264" i="1"/>
  <c r="O515" i="1"/>
  <c r="N515" i="1"/>
  <c r="M515" i="1"/>
  <c r="O995" i="1"/>
  <c r="N995" i="1"/>
  <c r="M995" i="1"/>
  <c r="O836" i="1"/>
  <c r="N836" i="1"/>
  <c r="M836" i="1"/>
  <c r="O998" i="1"/>
  <c r="N998" i="1"/>
  <c r="M998" i="1"/>
  <c r="M543" i="1"/>
  <c r="O543" i="1"/>
  <c r="N543" i="1"/>
  <c r="M145" i="1"/>
  <c r="O145" i="1"/>
  <c r="N145" i="1"/>
  <c r="O307" i="2"/>
  <c r="N307" i="2"/>
  <c r="M307" i="2"/>
  <c r="M551" i="2"/>
  <c r="O551" i="2"/>
  <c r="N551" i="2"/>
  <c r="O357" i="2"/>
  <c r="N357" i="2"/>
  <c r="M357" i="2"/>
  <c r="O2298" i="1"/>
  <c r="N2298" i="1"/>
  <c r="M2298" i="1"/>
  <c r="O2106" i="1"/>
  <c r="N2106" i="1"/>
  <c r="M2106" i="1"/>
  <c r="O2062" i="1"/>
  <c r="N2062" i="1"/>
  <c r="M2062" i="1"/>
  <c r="O1863" i="1"/>
  <c r="N1863" i="1"/>
  <c r="M1863" i="1"/>
  <c r="O1791" i="1"/>
  <c r="N1791" i="1"/>
  <c r="M1791" i="1"/>
  <c r="O1728" i="1"/>
  <c r="N1728" i="1"/>
  <c r="M1728" i="1"/>
  <c r="O1705" i="1"/>
  <c r="N1705" i="1"/>
  <c r="M1705" i="1"/>
  <c r="O1361" i="1"/>
  <c r="N1361" i="1"/>
  <c r="M1361" i="1"/>
  <c r="O1563" i="1"/>
  <c r="N1563" i="1"/>
  <c r="M1563" i="1"/>
  <c r="O1082" i="1"/>
  <c r="N1082" i="1"/>
  <c r="M1082" i="1"/>
  <c r="O1568" i="1"/>
  <c r="N1568" i="1"/>
  <c r="M1568" i="1"/>
  <c r="O1367" i="1"/>
  <c r="N1367" i="1"/>
  <c r="M1367" i="1"/>
  <c r="O644" i="1"/>
  <c r="N644" i="1"/>
  <c r="M644" i="1"/>
  <c r="O829" i="1"/>
  <c r="N829" i="1"/>
  <c r="M829" i="1"/>
  <c r="O888" i="1"/>
  <c r="N888" i="1"/>
  <c r="M888" i="1"/>
  <c r="N217" i="2"/>
  <c r="M217" i="2"/>
  <c r="O217" i="2"/>
  <c r="O469" i="1"/>
  <c r="N469" i="1"/>
  <c r="M469" i="1"/>
  <c r="O2003" i="1"/>
  <c r="M2003" i="1"/>
  <c r="N2003" i="1"/>
  <c r="O1590" i="1"/>
  <c r="N1590" i="1"/>
  <c r="M1590" i="1"/>
  <c r="O1149" i="1"/>
  <c r="N1149" i="1"/>
  <c r="M1149" i="1"/>
  <c r="O1237" i="1"/>
  <c r="N1237" i="1"/>
  <c r="M1237" i="1"/>
  <c r="O2095" i="1"/>
  <c r="N2095" i="1"/>
  <c r="M2095" i="1"/>
  <c r="M1886" i="1"/>
  <c r="O1886" i="1"/>
  <c r="N1886" i="1"/>
  <c r="O1611" i="1"/>
  <c r="N1611" i="1"/>
  <c r="M1611" i="1"/>
  <c r="O2209" i="1"/>
  <c r="N2209" i="1"/>
  <c r="M2209" i="1"/>
  <c r="M262" i="1"/>
  <c r="N262" i="1"/>
  <c r="O262" i="1"/>
  <c r="M1902" i="1"/>
  <c r="O1902" i="1"/>
  <c r="N1902" i="1"/>
  <c r="M1080" i="1"/>
  <c r="O1080" i="1"/>
  <c r="N1080" i="1"/>
  <c r="O879" i="1"/>
  <c r="N879" i="1"/>
  <c r="M879" i="1"/>
  <c r="O736" i="1"/>
  <c r="N736" i="1"/>
  <c r="M736" i="1"/>
  <c r="O872" i="1"/>
  <c r="N872" i="1"/>
  <c r="M872" i="1"/>
  <c r="O1719" i="1"/>
  <c r="N1719" i="1"/>
  <c r="M1719" i="1"/>
  <c r="O805" i="1"/>
  <c r="N805" i="1"/>
  <c r="M805" i="1"/>
  <c r="O69" i="1"/>
  <c r="N69" i="1"/>
  <c r="M69" i="1"/>
  <c r="M123" i="2"/>
  <c r="N123" i="2"/>
  <c r="O123" i="2"/>
  <c r="O427" i="2"/>
  <c r="N427" i="2"/>
  <c r="M427" i="2"/>
  <c r="O556" i="2"/>
  <c r="M556" i="2"/>
  <c r="N556" i="2"/>
  <c r="O171" i="2"/>
  <c r="N171" i="2"/>
  <c r="M171" i="2"/>
  <c r="N378" i="2"/>
  <c r="M378" i="2"/>
  <c r="O378" i="2"/>
  <c r="N542" i="2"/>
  <c r="M542" i="2"/>
  <c r="O542" i="2"/>
  <c r="O269" i="2"/>
  <c r="N269" i="2"/>
  <c r="M269" i="2"/>
  <c r="O2210" i="1"/>
  <c r="N2210" i="1"/>
  <c r="M2210" i="1"/>
  <c r="M2224" i="1"/>
  <c r="N2224" i="1"/>
  <c r="O2224" i="1"/>
  <c r="M2066" i="1"/>
  <c r="O2066" i="1"/>
  <c r="N2066" i="1"/>
  <c r="O2238" i="1"/>
  <c r="N2238" i="1"/>
  <c r="M2238" i="1"/>
  <c r="M1923" i="1"/>
  <c r="O1923" i="1"/>
  <c r="N1923" i="1"/>
  <c r="O1849" i="1"/>
  <c r="N1849" i="1"/>
  <c r="M1849" i="1"/>
  <c r="M1878" i="1"/>
  <c r="O1878" i="1"/>
  <c r="N1878" i="1"/>
  <c r="O1602" i="1"/>
  <c r="N1602" i="1"/>
  <c r="M1602" i="1"/>
  <c r="O1529" i="1"/>
  <c r="N1529" i="1"/>
  <c r="M1529" i="1"/>
  <c r="O120" i="1"/>
  <c r="N120" i="1"/>
  <c r="M120" i="1"/>
  <c r="O249" i="1"/>
  <c r="N249" i="1"/>
  <c r="M249" i="1"/>
  <c r="O1452" i="1"/>
  <c r="N1452" i="1"/>
  <c r="M1452" i="1"/>
  <c r="O1283" i="1"/>
  <c r="N1283" i="1"/>
  <c r="M1283" i="1"/>
  <c r="O1304" i="1"/>
  <c r="N1304" i="1"/>
  <c r="M1304" i="1"/>
  <c r="M1788" i="1"/>
  <c r="O1788" i="1"/>
  <c r="N1788" i="1"/>
  <c r="O1261" i="1"/>
  <c r="N1261" i="1"/>
  <c r="M1261" i="1"/>
  <c r="O807" i="1"/>
  <c r="N807" i="1"/>
  <c r="M807" i="1"/>
  <c r="O711" i="1"/>
  <c r="N711" i="1"/>
  <c r="M711" i="1"/>
  <c r="O611" i="1"/>
  <c r="N611" i="1"/>
  <c r="M611" i="1"/>
  <c r="O1269" i="1"/>
  <c r="N1269" i="1"/>
  <c r="M1269" i="1"/>
  <c r="O1277" i="1"/>
  <c r="N1277" i="1"/>
  <c r="M1277" i="1"/>
  <c r="O562" i="1"/>
  <c r="N562" i="1"/>
  <c r="M562" i="1"/>
  <c r="O722" i="1"/>
  <c r="N722" i="1"/>
  <c r="M722" i="1"/>
  <c r="O765" i="1"/>
  <c r="N765" i="1"/>
  <c r="M765" i="1"/>
  <c r="M366" i="1"/>
  <c r="O366" i="1"/>
  <c r="N366" i="1"/>
  <c r="O1015" i="1"/>
  <c r="N1015" i="1"/>
  <c r="M1015" i="1"/>
  <c r="O151" i="1"/>
  <c r="N151" i="1"/>
  <c r="M151" i="1"/>
  <c r="O107" i="1"/>
  <c r="N107" i="1"/>
  <c r="M107" i="1"/>
  <c r="O43" i="1"/>
  <c r="M43" i="1"/>
  <c r="N43" i="1"/>
  <c r="O181" i="1"/>
  <c r="N181" i="1"/>
  <c r="M181" i="1"/>
  <c r="O242" i="1"/>
  <c r="N242" i="1"/>
  <c r="M242" i="1"/>
  <c r="O430" i="2"/>
  <c r="N430" i="2"/>
  <c r="M430" i="2"/>
  <c r="M420" i="2"/>
  <c r="O420" i="2"/>
  <c r="N420" i="2"/>
  <c r="N410" i="2"/>
  <c r="M410" i="2"/>
  <c r="O410" i="2"/>
  <c r="O1258" i="1"/>
  <c r="N1258" i="1"/>
  <c r="M1258" i="1"/>
  <c r="O2185" i="1"/>
  <c r="N2185" i="1"/>
  <c r="M2185" i="1"/>
  <c r="O2279" i="1"/>
  <c r="N2279" i="1"/>
  <c r="M2279" i="1"/>
  <c r="O2032" i="1"/>
  <c r="N2032" i="1"/>
  <c r="M2032" i="1"/>
  <c r="O1832" i="1"/>
  <c r="N1832" i="1"/>
  <c r="M1832" i="1"/>
  <c r="M1907" i="1"/>
  <c r="O1907" i="1"/>
  <c r="N1907" i="1"/>
  <c r="O1658" i="1"/>
  <c r="N1658" i="1"/>
  <c r="M1658" i="1"/>
  <c r="O1573" i="1"/>
  <c r="N1573" i="1"/>
  <c r="M1573" i="1"/>
  <c r="O1558" i="1"/>
  <c r="N1558" i="1"/>
  <c r="M1558" i="1"/>
  <c r="M1144" i="1"/>
  <c r="O1144" i="1"/>
  <c r="N1144" i="1"/>
  <c r="O965" i="1"/>
  <c r="N965" i="1"/>
  <c r="M965" i="1"/>
  <c r="O556" i="1"/>
  <c r="N556" i="1"/>
  <c r="M556" i="1"/>
  <c r="O117" i="1"/>
  <c r="N117" i="1"/>
  <c r="M117" i="1"/>
  <c r="O733" i="1"/>
  <c r="N733" i="1"/>
  <c r="M733" i="1"/>
  <c r="M358" i="1"/>
  <c r="N358" i="1"/>
  <c r="O358" i="1"/>
  <c r="M399" i="1"/>
  <c r="O399" i="1"/>
  <c r="N399" i="1"/>
  <c r="O106" i="1"/>
  <c r="N106" i="1"/>
  <c r="M106" i="1"/>
  <c r="O202" i="1"/>
  <c r="M202" i="1"/>
  <c r="N202" i="1"/>
  <c r="O155" i="2"/>
  <c r="M155" i="2"/>
  <c r="N155" i="2"/>
  <c r="O2216" i="1"/>
  <c r="N2216" i="1"/>
  <c r="M2216" i="1"/>
  <c r="M1759" i="1"/>
  <c r="O1759" i="1"/>
  <c r="N1759" i="1"/>
  <c r="N1215" i="1"/>
  <c r="O1215" i="1"/>
  <c r="M1215" i="1"/>
  <c r="O1115" i="1"/>
  <c r="N1115" i="1"/>
  <c r="M1115" i="1"/>
  <c r="M1900" i="1"/>
  <c r="O1900" i="1"/>
  <c r="N1900" i="1"/>
  <c r="O1255" i="1"/>
  <c r="N1255" i="1"/>
  <c r="M1255" i="1"/>
  <c r="O1071" i="1"/>
  <c r="N1071" i="1"/>
  <c r="M1071" i="1"/>
  <c r="O794" i="1"/>
  <c r="N794" i="1"/>
  <c r="M794" i="1"/>
  <c r="O971" i="1"/>
  <c r="N971" i="1"/>
  <c r="M971" i="1"/>
  <c r="O135" i="1"/>
  <c r="N135" i="1"/>
  <c r="M135" i="1"/>
  <c r="O73" i="1"/>
  <c r="N73" i="1"/>
  <c r="M73" i="1"/>
  <c r="O9" i="1"/>
  <c r="N9" i="1"/>
  <c r="M9" i="1"/>
  <c r="M320" i="1"/>
  <c r="N320" i="1"/>
  <c r="O320" i="1"/>
  <c r="N8" i="1"/>
  <c r="O8" i="1"/>
  <c r="M8" i="1"/>
  <c r="M306" i="1"/>
  <c r="O306" i="1"/>
  <c r="N306" i="1"/>
  <c r="M395" i="1"/>
  <c r="O395" i="1"/>
  <c r="N395" i="1"/>
  <c r="O310" i="2"/>
  <c r="N310" i="2"/>
  <c r="M310" i="2"/>
  <c r="O566" i="2"/>
  <c r="N566" i="2"/>
  <c r="M566" i="2"/>
  <c r="M449" i="2"/>
  <c r="N449" i="2"/>
  <c r="O449" i="2"/>
  <c r="O309" i="2"/>
  <c r="M309" i="2"/>
  <c r="N309" i="2"/>
  <c r="O2243" i="1"/>
  <c r="N2243" i="1"/>
  <c r="M2243" i="1"/>
  <c r="O2006" i="1"/>
  <c r="M2006" i="1"/>
  <c r="N2006" i="1"/>
  <c r="M1887" i="1"/>
  <c r="O1887" i="1"/>
  <c r="N1887" i="1"/>
  <c r="O1672" i="1"/>
  <c r="N1672" i="1"/>
  <c r="M1672" i="1"/>
  <c r="O1646" i="1"/>
  <c r="N1646" i="1"/>
  <c r="M1646" i="1"/>
  <c r="O1063" i="1"/>
  <c r="N1063" i="1"/>
  <c r="M1063" i="1"/>
  <c r="O651" i="1"/>
  <c r="N651" i="1"/>
  <c r="M651" i="1"/>
  <c r="M342" i="1"/>
  <c r="N342" i="1"/>
  <c r="O342" i="1"/>
  <c r="O112" i="1"/>
  <c r="N112" i="1"/>
  <c r="M112" i="1"/>
  <c r="M298" i="1"/>
  <c r="O298" i="1"/>
  <c r="N298" i="1"/>
  <c r="O443" i="2"/>
  <c r="N443" i="2"/>
  <c r="M443" i="2"/>
  <c r="M1912" i="1"/>
  <c r="O1912" i="1"/>
  <c r="N1912" i="1"/>
  <c r="O1330" i="1"/>
  <c r="N1330" i="1"/>
  <c r="M1330" i="1"/>
  <c r="O1371" i="1"/>
  <c r="N1371" i="1"/>
  <c r="M1371" i="1"/>
  <c r="O643" i="1"/>
  <c r="N643" i="1"/>
  <c r="M643" i="1"/>
  <c r="O786" i="1"/>
  <c r="N786" i="1"/>
  <c r="M786" i="1"/>
  <c r="O905" i="1"/>
  <c r="N905" i="1"/>
  <c r="M905" i="1"/>
  <c r="M311" i="1"/>
  <c r="O311" i="1"/>
  <c r="N311" i="1"/>
  <c r="O161" i="1"/>
  <c r="N161" i="1"/>
  <c r="M161" i="1"/>
  <c r="O190" i="1"/>
  <c r="M190" i="1"/>
  <c r="N190" i="1"/>
  <c r="O286" i="2"/>
  <c r="N286" i="2"/>
  <c r="M286" i="2"/>
  <c r="M463" i="2"/>
  <c r="O463" i="2"/>
  <c r="N463" i="2"/>
  <c r="O2299" i="1"/>
  <c r="N2299" i="1"/>
  <c r="M2299" i="1"/>
  <c r="N748" i="1"/>
  <c r="M748" i="1"/>
  <c r="O748" i="1"/>
  <c r="O1263" i="1"/>
  <c r="N1263" i="1"/>
  <c r="M1263" i="1"/>
  <c r="O1067" i="1"/>
  <c r="N1067" i="1"/>
  <c r="M1067" i="1"/>
  <c r="O712" i="1"/>
  <c r="N712" i="1"/>
  <c r="M712" i="1"/>
  <c r="N466" i="2"/>
  <c r="M466" i="2"/>
  <c r="O466" i="2"/>
  <c r="O1997" i="1"/>
  <c r="M1997" i="1"/>
  <c r="N1997" i="1"/>
  <c r="O1787" i="1"/>
  <c r="N1787" i="1"/>
  <c r="M1787" i="1"/>
  <c r="O1227" i="1"/>
  <c r="N1227" i="1"/>
  <c r="M1227" i="1"/>
  <c r="O1603" i="1"/>
  <c r="N1603" i="1"/>
  <c r="M1603" i="1"/>
  <c r="M572" i="1"/>
  <c r="O572" i="1"/>
  <c r="N572" i="1"/>
  <c r="M295" i="1"/>
  <c r="O295" i="1"/>
  <c r="N295" i="1"/>
  <c r="O268" i="2"/>
  <c r="M268" i="2"/>
  <c r="N268" i="2"/>
  <c r="O1625" i="1"/>
  <c r="N1625" i="1"/>
  <c r="M1625" i="1"/>
  <c r="O1362" i="1"/>
  <c r="N1362" i="1"/>
  <c r="M1362" i="1"/>
  <c r="O1490" i="1"/>
  <c r="N1490" i="1"/>
  <c r="M1490" i="1"/>
  <c r="O1033" i="1"/>
  <c r="N1033" i="1"/>
  <c r="M1033" i="1"/>
  <c r="M457" i="1"/>
  <c r="N457" i="1"/>
  <c r="O457" i="1"/>
  <c r="O218" i="1"/>
  <c r="N218" i="1"/>
  <c r="M218" i="1"/>
  <c r="O318" i="2"/>
  <c r="N318" i="2"/>
  <c r="M318" i="2"/>
  <c r="O324" i="2"/>
  <c r="M324" i="2"/>
  <c r="N324" i="2"/>
  <c r="O629" i="1"/>
  <c r="N629" i="1"/>
  <c r="M629" i="1"/>
  <c r="M1918" i="1"/>
  <c r="N1918" i="1"/>
  <c r="O1918" i="1"/>
  <c r="M1169" i="1"/>
  <c r="O1169" i="1"/>
  <c r="N1169" i="1"/>
  <c r="O883" i="1"/>
  <c r="N883" i="1"/>
  <c r="M883" i="1"/>
  <c r="M1609" i="1"/>
  <c r="N1609" i="1"/>
  <c r="O1609" i="1"/>
  <c r="M324" i="1"/>
  <c r="O324" i="1"/>
  <c r="N324" i="1"/>
  <c r="O118" i="1"/>
  <c r="N118" i="1"/>
  <c r="M118" i="1"/>
  <c r="O232" i="1"/>
  <c r="N232" i="1"/>
  <c r="M232" i="1"/>
  <c r="O541" i="2"/>
  <c r="N541" i="2"/>
  <c r="M541" i="2"/>
  <c r="O385" i="2"/>
  <c r="N385" i="2"/>
  <c r="M385" i="2"/>
  <c r="O1779" i="1"/>
  <c r="N1779" i="1"/>
  <c r="M1779" i="1"/>
  <c r="O1597" i="1"/>
  <c r="N1597" i="1"/>
  <c r="M1597" i="1"/>
  <c r="O1470" i="1"/>
  <c r="N1470" i="1"/>
  <c r="M1470" i="1"/>
  <c r="N1039" i="1"/>
  <c r="M1039" i="1"/>
  <c r="O1039" i="1"/>
  <c r="O912" i="1"/>
  <c r="N912" i="1"/>
  <c r="M912" i="1"/>
  <c r="O1025" i="1"/>
  <c r="N1025" i="1"/>
  <c r="M1025" i="1"/>
  <c r="O1252" i="1"/>
  <c r="N1252" i="1"/>
  <c r="M1252" i="1"/>
  <c r="O1109" i="1"/>
  <c r="N1109" i="1"/>
  <c r="M1109" i="1"/>
  <c r="M351" i="2"/>
  <c r="O351" i="2"/>
  <c r="N351" i="2"/>
  <c r="O2199" i="1"/>
  <c r="N2199" i="1"/>
  <c r="M2199" i="1"/>
  <c r="O1766" i="1"/>
  <c r="M1766" i="1"/>
  <c r="N1766" i="1"/>
  <c r="O1639" i="1"/>
  <c r="N1639" i="1"/>
  <c r="M1639" i="1"/>
  <c r="O1450" i="1"/>
  <c r="N1450" i="1"/>
  <c r="M1450" i="1"/>
  <c r="O810" i="1"/>
  <c r="N810" i="1"/>
  <c r="M810" i="1"/>
  <c r="O1183" i="1"/>
  <c r="M1183" i="1"/>
  <c r="N1183" i="1"/>
  <c r="M459" i="1"/>
  <c r="O459" i="1"/>
  <c r="N459" i="1"/>
  <c r="M278" i="1"/>
  <c r="N278" i="1"/>
  <c r="O278" i="1"/>
  <c r="O2154" i="1"/>
  <c r="N2154" i="1"/>
  <c r="M2154" i="1"/>
  <c r="O251" i="2"/>
  <c r="N251" i="2"/>
  <c r="M251" i="2"/>
  <c r="M457" i="2"/>
  <c r="O457" i="2"/>
  <c r="N457" i="2"/>
  <c r="O396" i="2"/>
  <c r="M396" i="2"/>
  <c r="N396" i="2"/>
  <c r="O103" i="2"/>
  <c r="M103" i="2"/>
  <c r="N103" i="2"/>
  <c r="O2282" i="1"/>
  <c r="N2282" i="1"/>
  <c r="M2282" i="1"/>
  <c r="M2120" i="1"/>
  <c r="O2120" i="1"/>
  <c r="N2120" i="1"/>
  <c r="O2242" i="1"/>
  <c r="N2242" i="1"/>
  <c r="M2242" i="1"/>
  <c r="O1837" i="1"/>
  <c r="N1837" i="1"/>
  <c r="M1837" i="1"/>
  <c r="O2004" i="1"/>
  <c r="M2004" i="1"/>
  <c r="N2004" i="1"/>
  <c r="O1624" i="1"/>
  <c r="N1624" i="1"/>
  <c r="M1624" i="1"/>
  <c r="O1616" i="1"/>
  <c r="N1616" i="1"/>
  <c r="M1616" i="1"/>
  <c r="O1257" i="1"/>
  <c r="N1257" i="1"/>
  <c r="M1257" i="1"/>
  <c r="O992" i="1"/>
  <c r="N992" i="1"/>
  <c r="M992" i="1"/>
  <c r="N1058" i="1"/>
  <c r="M1058" i="1"/>
  <c r="O1058" i="1"/>
  <c r="O568" i="1"/>
  <c r="N568" i="1"/>
  <c r="M568" i="1"/>
  <c r="M274" i="1"/>
  <c r="O274" i="1"/>
  <c r="N274" i="1"/>
  <c r="O250" i="1"/>
  <c r="N250" i="1"/>
  <c r="M250" i="1"/>
  <c r="O485" i="2"/>
  <c r="M485" i="2"/>
  <c r="N485" i="2"/>
  <c r="O1486" i="1"/>
  <c r="N1486" i="1"/>
  <c r="M1486" i="1"/>
  <c r="O1302" i="1"/>
  <c r="N1302" i="1"/>
  <c r="M1302" i="1"/>
  <c r="O1510" i="1"/>
  <c r="N1510" i="1"/>
  <c r="M1510" i="1"/>
  <c r="O1146" i="1"/>
  <c r="N1146" i="1"/>
  <c r="M1146" i="1"/>
  <c r="O572" i="2"/>
  <c r="M572" i="2"/>
  <c r="N572" i="2"/>
  <c r="O285" i="2"/>
  <c r="M285" i="2"/>
  <c r="N285" i="2"/>
  <c r="N813" i="1"/>
  <c r="M813" i="1"/>
  <c r="O813" i="1"/>
  <c r="O2053" i="1"/>
  <c r="N2053" i="1"/>
  <c r="M2053" i="1"/>
  <c r="O1979" i="1"/>
  <c r="M1979" i="1"/>
  <c r="N1979" i="1"/>
  <c r="O1296" i="1"/>
  <c r="N1296" i="1"/>
  <c r="M1296" i="1"/>
  <c r="O847" i="1"/>
  <c r="N847" i="1"/>
  <c r="M847" i="1"/>
  <c r="O1003" i="1"/>
  <c r="N1003" i="1"/>
  <c r="M1003" i="1"/>
  <c r="M481" i="1"/>
  <c r="O481" i="1"/>
  <c r="N481" i="1"/>
  <c r="O2060" i="1"/>
  <c r="N2060" i="1"/>
  <c r="M2060" i="1"/>
  <c r="M1943" i="1"/>
  <c r="O1943" i="1"/>
  <c r="N1943" i="1"/>
  <c r="O699" i="1"/>
  <c r="N699" i="1"/>
  <c r="M699" i="1"/>
  <c r="O688" i="1"/>
  <c r="N688" i="1"/>
  <c r="M688" i="1"/>
  <c r="N1042" i="1"/>
  <c r="M1042" i="1"/>
  <c r="O1042" i="1"/>
  <c r="O1028" i="1"/>
  <c r="N1028" i="1"/>
  <c r="M1028" i="1"/>
  <c r="O826" i="1"/>
  <c r="N826" i="1"/>
  <c r="M826" i="1"/>
  <c r="M337" i="1"/>
  <c r="O337" i="1"/>
  <c r="N337" i="1"/>
  <c r="O145" i="2"/>
  <c r="M145" i="2"/>
  <c r="N145" i="2"/>
  <c r="O571" i="2"/>
  <c r="N571" i="2"/>
  <c r="M571" i="2"/>
  <c r="M215" i="2"/>
  <c r="N215" i="2"/>
  <c r="O215" i="2"/>
  <c r="O2206" i="1"/>
  <c r="N2206" i="1"/>
  <c r="M2206" i="1"/>
  <c r="O2088" i="1"/>
  <c r="N2088" i="1"/>
  <c r="M2088" i="1"/>
  <c r="O2073" i="1"/>
  <c r="N2073" i="1"/>
  <c r="M2073" i="1"/>
  <c r="N1741" i="1"/>
  <c r="O1741" i="1"/>
  <c r="M1741" i="1"/>
  <c r="O1726" i="1"/>
  <c r="N1726" i="1"/>
  <c r="M1726" i="1"/>
  <c r="O1542" i="1"/>
  <c r="N1542" i="1"/>
  <c r="M1542" i="1"/>
  <c r="O1504" i="1"/>
  <c r="N1504" i="1"/>
  <c r="M1504" i="1"/>
  <c r="M1075" i="1"/>
  <c r="N1075" i="1"/>
  <c r="O1075" i="1"/>
  <c r="O1767" i="1"/>
  <c r="N1767" i="1"/>
  <c r="M1767" i="1"/>
  <c r="M396" i="1"/>
  <c r="O396" i="1"/>
  <c r="N396" i="1"/>
  <c r="O414" i="2"/>
  <c r="N414" i="2"/>
  <c r="M414" i="2"/>
  <c r="M527" i="2"/>
  <c r="O527" i="2"/>
  <c r="N527" i="2"/>
  <c r="O1966" i="1"/>
  <c r="M1966" i="1"/>
  <c r="N1966" i="1"/>
  <c r="O1562" i="1"/>
  <c r="N1562" i="1"/>
  <c r="M1562" i="1"/>
  <c r="O1358" i="1"/>
  <c r="N1358" i="1"/>
  <c r="M1358" i="1"/>
  <c r="O1297" i="1"/>
  <c r="N1297" i="1"/>
  <c r="M1297" i="1"/>
  <c r="O1248" i="1"/>
  <c r="N1248" i="1"/>
  <c r="M1248" i="1"/>
  <c r="O796" i="1"/>
  <c r="N796" i="1"/>
  <c r="M796" i="1"/>
  <c r="M525" i="1"/>
  <c r="N525" i="1"/>
  <c r="O525" i="1"/>
  <c r="O86" i="1"/>
  <c r="M86" i="1"/>
  <c r="N86" i="1"/>
  <c r="O153" i="1"/>
  <c r="N153" i="1"/>
  <c r="M153" i="1"/>
  <c r="O1393" i="1"/>
  <c r="N1393" i="1"/>
  <c r="M1393" i="1"/>
  <c r="O242" i="2"/>
  <c r="N242" i="2"/>
  <c r="M242" i="2"/>
  <c r="M391" i="2"/>
  <c r="O391" i="2"/>
  <c r="N391" i="2"/>
  <c r="O2038" i="1"/>
  <c r="N2038" i="1"/>
  <c r="M2038" i="1"/>
  <c r="O1803" i="1"/>
  <c r="N1803" i="1"/>
  <c r="M1803" i="1"/>
  <c r="M1879" i="1"/>
  <c r="O1879" i="1"/>
  <c r="N1879" i="1"/>
  <c r="O1085" i="1"/>
  <c r="N1085" i="1"/>
  <c r="M1085" i="1"/>
  <c r="M76" i="2"/>
  <c r="N76" i="2"/>
  <c r="O76" i="2"/>
  <c r="N179" i="2"/>
  <c r="O179" i="2"/>
  <c r="M179" i="2"/>
  <c r="O277" i="2"/>
  <c r="M277" i="2"/>
  <c r="N277" i="2"/>
  <c r="O1993" i="1"/>
  <c r="M1993" i="1"/>
  <c r="N1993" i="1"/>
  <c r="M1924" i="1"/>
  <c r="O1924" i="1"/>
  <c r="N1924" i="1"/>
  <c r="M1762" i="1"/>
  <c r="N1762" i="1"/>
  <c r="O1762" i="1"/>
  <c r="O1537" i="1"/>
  <c r="N1537" i="1"/>
  <c r="M1537" i="1"/>
  <c r="O1287" i="1"/>
  <c r="N1287" i="1"/>
  <c r="M1287" i="1"/>
  <c r="O1607" i="1"/>
  <c r="N1607" i="1"/>
  <c r="M1607" i="1"/>
  <c r="O911" i="1"/>
  <c r="N911" i="1"/>
  <c r="M911" i="1"/>
  <c r="O1216" i="1"/>
  <c r="N1216" i="1"/>
  <c r="M1216" i="1"/>
  <c r="O1110" i="1"/>
  <c r="N1110" i="1"/>
  <c r="M1110" i="1"/>
  <c r="O44" i="1"/>
  <c r="N44" i="1"/>
  <c r="M44" i="1"/>
  <c r="O185" i="1"/>
  <c r="N185" i="1"/>
  <c r="M185" i="1"/>
  <c r="M436" i="1"/>
  <c r="O436" i="1"/>
  <c r="N436" i="1"/>
  <c r="O1119" i="1"/>
  <c r="M1119" i="1"/>
  <c r="N1119" i="1"/>
  <c r="N210" i="2"/>
  <c r="M210" i="2"/>
  <c r="O210" i="2"/>
  <c r="O1884" i="1"/>
  <c r="N1884" i="1"/>
  <c r="M1884" i="1"/>
  <c r="N1203" i="1"/>
  <c r="O1203" i="1"/>
  <c r="M1203" i="1"/>
  <c r="M567" i="2"/>
  <c r="O567" i="2"/>
  <c r="N567" i="2"/>
  <c r="M2152" i="1"/>
  <c r="N2152" i="1"/>
  <c r="O2152" i="1"/>
  <c r="O1986" i="1"/>
  <c r="M1986" i="1"/>
  <c r="N1986" i="1"/>
  <c r="O541" i="1"/>
  <c r="N541" i="1"/>
  <c r="M541" i="1"/>
  <c r="O973" i="1"/>
  <c r="N973" i="1"/>
  <c r="M973" i="1"/>
  <c r="O1068" i="1"/>
  <c r="N1068" i="1"/>
  <c r="M1068" i="1"/>
  <c r="O462" i="2"/>
  <c r="N462" i="2"/>
  <c r="M462" i="2"/>
  <c r="M1938" i="1"/>
  <c r="O1938" i="1"/>
  <c r="N1938" i="1"/>
  <c r="O1406" i="1"/>
  <c r="N1406" i="1"/>
  <c r="M1406" i="1"/>
  <c r="O1016" i="1"/>
  <c r="N1016" i="1"/>
  <c r="M1016" i="1"/>
  <c r="M454" i="1"/>
  <c r="O454" i="1"/>
  <c r="N454" i="1"/>
  <c r="M100" i="2"/>
  <c r="N100" i="2"/>
  <c r="O100" i="2"/>
  <c r="O412" i="2"/>
  <c r="M412" i="2"/>
  <c r="N412" i="2"/>
  <c r="M2146" i="1"/>
  <c r="O2146" i="1"/>
  <c r="N2146" i="1"/>
  <c r="O1783" i="1"/>
  <c r="N1783" i="1"/>
  <c r="M1783" i="1"/>
  <c r="O1275" i="1"/>
  <c r="N1275" i="1"/>
  <c r="M1275" i="1"/>
  <c r="O1026" i="1"/>
  <c r="N1026" i="1"/>
  <c r="M1026" i="1"/>
  <c r="O659" i="1"/>
  <c r="N659" i="1"/>
  <c r="M659" i="1"/>
  <c r="M414" i="1"/>
  <c r="N414" i="1"/>
  <c r="O414" i="1"/>
  <c r="O342" i="2"/>
  <c r="N342" i="2"/>
  <c r="M342" i="2"/>
  <c r="N2233" i="1"/>
  <c r="M2233" i="1"/>
  <c r="O2233" i="1"/>
  <c r="O1357" i="1"/>
  <c r="N1357" i="1"/>
  <c r="M1357" i="1"/>
  <c r="M1124" i="1"/>
  <c r="O1124" i="1"/>
  <c r="N1124" i="1"/>
  <c r="O80" i="1"/>
  <c r="N80" i="1"/>
  <c r="M80" i="1"/>
  <c r="O1670" i="1"/>
  <c r="N1670" i="1"/>
  <c r="M1670" i="1"/>
  <c r="M2103" i="1"/>
  <c r="N2103" i="1"/>
  <c r="O2103" i="1"/>
  <c r="M207" i="2"/>
  <c r="N207" i="2"/>
  <c r="O207" i="2"/>
  <c r="O660" i="1"/>
  <c r="N660" i="1"/>
  <c r="M660" i="1"/>
  <c r="O14" i="1"/>
  <c r="N14" i="1"/>
  <c r="M14" i="1"/>
  <c r="O1364" i="1"/>
  <c r="N1364" i="1"/>
  <c r="M1364" i="1"/>
  <c r="M1755" i="1"/>
  <c r="N1755" i="1"/>
  <c r="O1755" i="1"/>
  <c r="O1141" i="1"/>
  <c r="N1141" i="1"/>
  <c r="M1141" i="1"/>
  <c r="M82" i="1"/>
  <c r="O82" i="1"/>
  <c r="N82" i="1"/>
  <c r="O2255" i="1"/>
  <c r="N2255" i="1"/>
  <c r="M2255" i="1"/>
  <c r="O221" i="2"/>
  <c r="N221" i="2"/>
  <c r="M221" i="2"/>
  <c r="O131" i="1"/>
  <c r="M131" i="1"/>
  <c r="N131" i="1"/>
  <c r="O1303" i="1"/>
  <c r="N1303" i="1"/>
  <c r="M1303" i="1"/>
  <c r="O1520" i="1"/>
  <c r="N1520" i="1"/>
  <c r="M1520" i="1"/>
  <c r="O168" i="1"/>
  <c r="M168" i="1"/>
  <c r="N168" i="1"/>
  <c r="M204" i="2"/>
  <c r="N204" i="2"/>
  <c r="O204" i="2"/>
  <c r="O2042" i="1"/>
  <c r="N2042" i="1"/>
  <c r="M2042" i="1"/>
  <c r="O887" i="1"/>
  <c r="N887" i="1"/>
  <c r="M887" i="1"/>
  <c r="O1987" i="1"/>
  <c r="M1987" i="1"/>
  <c r="N1987" i="1"/>
  <c r="O1859" i="1"/>
  <c r="N1859" i="1"/>
  <c r="M1859" i="1"/>
  <c r="O1352" i="1"/>
  <c r="N1352" i="1"/>
  <c r="M1352" i="1"/>
  <c r="O1578" i="1"/>
  <c r="N1578" i="1"/>
  <c r="M1578" i="1"/>
  <c r="O2237" i="1"/>
  <c r="N2237" i="1"/>
  <c r="M2237" i="1"/>
  <c r="M373" i="2"/>
  <c r="N373" i="2"/>
  <c r="O373" i="2"/>
  <c r="M30" i="2"/>
  <c r="O30" i="2"/>
  <c r="N30" i="2"/>
  <c r="O2252" i="1"/>
  <c r="N2252" i="1"/>
  <c r="M2252" i="1"/>
  <c r="O1456" i="1"/>
  <c r="N1456" i="1"/>
  <c r="M1456" i="1"/>
  <c r="O1411" i="1"/>
  <c r="N1411" i="1"/>
  <c r="M1411" i="1"/>
  <c r="O968" i="1"/>
  <c r="N968" i="1"/>
  <c r="M968" i="1"/>
  <c r="O745" i="1"/>
  <c r="N745" i="1"/>
  <c r="M745" i="1"/>
  <c r="N311" i="2"/>
  <c r="M311" i="2"/>
  <c r="O311" i="2"/>
  <c r="O1585" i="1"/>
  <c r="N1585" i="1"/>
  <c r="M1585" i="1"/>
  <c r="O1230" i="1"/>
  <c r="N1230" i="1"/>
  <c r="M1230" i="1"/>
  <c r="O1222" i="1"/>
  <c r="N1222" i="1"/>
  <c r="M1222" i="1"/>
  <c r="O1148" i="1"/>
  <c r="N1148" i="1"/>
  <c r="M1148" i="1"/>
  <c r="M335" i="1"/>
  <c r="O335" i="1"/>
  <c r="N335" i="1"/>
  <c r="O1133" i="1"/>
  <c r="M1133" i="1"/>
  <c r="N1133" i="1"/>
  <c r="N402" i="2"/>
  <c r="M402" i="2"/>
  <c r="O402" i="2"/>
  <c r="O767" i="1"/>
  <c r="N767" i="1"/>
  <c r="M767" i="1"/>
  <c r="O1143" i="1"/>
  <c r="M1143" i="1"/>
  <c r="N1143" i="1"/>
  <c r="O1000" i="1"/>
  <c r="N1000" i="1"/>
  <c r="M1000" i="1"/>
  <c r="M401" i="2"/>
  <c r="N401" i="2"/>
  <c r="O401" i="2"/>
  <c r="O787" i="1"/>
  <c r="N787" i="1"/>
  <c r="M787" i="1"/>
  <c r="M575" i="1"/>
  <c r="O575" i="1"/>
  <c r="N575" i="1"/>
  <c r="O2178" i="1"/>
  <c r="M2178" i="1"/>
  <c r="N2178" i="1"/>
  <c r="O1817" i="1"/>
  <c r="N1817" i="1"/>
  <c r="M1817" i="1"/>
  <c r="O1438" i="1"/>
  <c r="N1438" i="1"/>
  <c r="M1438" i="1"/>
  <c r="O1401" i="1"/>
  <c r="N1401" i="1"/>
  <c r="M1401" i="1"/>
  <c r="O534" i="1"/>
  <c r="N534" i="1"/>
  <c r="M534" i="1"/>
  <c r="O2064" i="1"/>
  <c r="N2064" i="1"/>
  <c r="M2064" i="1"/>
  <c r="O1014" i="1"/>
  <c r="N1014" i="1"/>
  <c r="M1014" i="1"/>
  <c r="O666" i="1"/>
  <c r="N666" i="1"/>
  <c r="M666" i="1"/>
  <c r="O558" i="2"/>
  <c r="N558" i="2"/>
  <c r="M558" i="2"/>
  <c r="M2148" i="1"/>
  <c r="N2148" i="1"/>
  <c r="O2148" i="1"/>
  <c r="O2291" i="1"/>
  <c r="M2291" i="1"/>
  <c r="N2291" i="1"/>
  <c r="O1983" i="1"/>
  <c r="M1983" i="1"/>
  <c r="N1983" i="1"/>
  <c r="O1126" i="1"/>
  <c r="N1126" i="1"/>
  <c r="M1126" i="1"/>
  <c r="M2043" i="1"/>
  <c r="O2043" i="1"/>
  <c r="N2043" i="1"/>
  <c r="O757" i="1"/>
  <c r="N757" i="1"/>
  <c r="M757" i="1"/>
  <c r="O41" i="1"/>
  <c r="N41" i="1"/>
  <c r="M41" i="1"/>
  <c r="M435" i="1"/>
  <c r="N435" i="1"/>
  <c r="O435" i="1"/>
  <c r="O1806" i="1"/>
  <c r="N1806" i="1"/>
  <c r="M1806" i="1"/>
  <c r="M12" i="2"/>
  <c r="N12" i="2"/>
  <c r="O12" i="2"/>
  <c r="O23" i="1"/>
  <c r="N23" i="1"/>
  <c r="M23" i="1"/>
  <c r="O2087" i="1"/>
  <c r="N2087" i="1"/>
  <c r="M2087" i="1"/>
  <c r="O94" i="1"/>
  <c r="N94" i="1"/>
  <c r="M94" i="1"/>
  <c r="O380" i="2"/>
  <c r="M380" i="2"/>
  <c r="N380" i="2"/>
  <c r="O1819" i="1"/>
  <c r="N1819" i="1"/>
  <c r="M1819" i="1"/>
  <c r="M1901" i="1"/>
  <c r="O1901" i="1"/>
  <c r="N1901" i="1"/>
  <c r="O934" i="1"/>
  <c r="N934" i="1"/>
  <c r="M934" i="1"/>
  <c r="O1811" i="1"/>
  <c r="N1811" i="1"/>
  <c r="M1811" i="1"/>
  <c r="O626" i="1"/>
  <c r="N626" i="1"/>
  <c r="M626" i="1"/>
  <c r="M276" i="2"/>
  <c r="O276" i="2"/>
  <c r="N276" i="2"/>
  <c r="O889" i="1"/>
  <c r="N889" i="1"/>
  <c r="M889" i="1"/>
  <c r="O2126" i="1"/>
  <c r="N2126" i="1"/>
  <c r="M2126" i="1"/>
  <c r="O1360" i="1"/>
  <c r="N1360" i="1"/>
  <c r="M1360" i="1"/>
  <c r="M511" i="1"/>
  <c r="O511" i="1"/>
  <c r="N511" i="1"/>
  <c r="O216" i="1"/>
  <c r="N216" i="1"/>
  <c r="M216" i="1"/>
  <c r="M566" i="1"/>
  <c r="O566" i="1"/>
  <c r="N566" i="1"/>
  <c r="O2268" i="1"/>
  <c r="N2268" i="1"/>
  <c r="M2268" i="1"/>
  <c r="M406" i="1"/>
  <c r="N406" i="1"/>
  <c r="O406" i="1"/>
  <c r="M1940" i="1"/>
  <c r="N1940" i="1"/>
  <c r="O1940" i="1"/>
  <c r="O1778" i="1"/>
  <c r="N1778" i="1"/>
  <c r="M1778" i="1"/>
  <c r="M1065" i="1"/>
  <c r="O1065" i="1"/>
  <c r="N1065" i="1"/>
  <c r="N530" i="2"/>
  <c r="M530" i="2"/>
  <c r="O530" i="2"/>
  <c r="O1637" i="1"/>
  <c r="N1637" i="1"/>
  <c r="M1637" i="1"/>
  <c r="O1064" i="1"/>
  <c r="N1064" i="1"/>
  <c r="M1064" i="1"/>
  <c r="O988" i="1"/>
  <c r="N988" i="1"/>
  <c r="M988" i="1"/>
  <c r="M52" i="2"/>
  <c r="N52" i="2"/>
  <c r="O52" i="2"/>
  <c r="O1334" i="1"/>
  <c r="N1334" i="1"/>
  <c r="M1334" i="1"/>
  <c r="O2131" i="1"/>
  <c r="N2131" i="1"/>
  <c r="M2131" i="1"/>
  <c r="O612" i="1"/>
  <c r="N612" i="1"/>
  <c r="M612" i="1"/>
  <c r="M521" i="1"/>
  <c r="N521" i="1"/>
  <c r="O521" i="1"/>
  <c r="O1395" i="1"/>
  <c r="N1395" i="1"/>
  <c r="M1395" i="1"/>
  <c r="M272" i="1"/>
  <c r="N272" i="1"/>
  <c r="O272" i="1"/>
  <c r="M2091" i="1"/>
  <c r="O2091" i="1"/>
  <c r="N2091" i="1"/>
  <c r="O1976" i="1"/>
  <c r="M1976" i="1"/>
  <c r="N1976" i="1"/>
  <c r="O1443" i="1"/>
  <c r="N1443" i="1"/>
  <c r="M1443" i="1"/>
  <c r="O983" i="1"/>
  <c r="N983" i="1"/>
  <c r="M983" i="1"/>
  <c r="O240" i="1"/>
  <c r="N240" i="1"/>
  <c r="M240" i="1"/>
  <c r="O1137" i="1"/>
  <c r="N1137" i="1"/>
  <c r="M1137" i="1"/>
  <c r="O2289" i="1"/>
  <c r="N2289" i="1"/>
  <c r="M2289" i="1"/>
  <c r="O1980" i="1"/>
  <c r="M1980" i="1"/>
  <c r="N1980" i="1"/>
  <c r="O1473" i="1"/>
  <c r="N1473" i="1"/>
  <c r="M1473" i="1"/>
  <c r="M310" i="1"/>
  <c r="N310" i="1"/>
  <c r="O310" i="1"/>
  <c r="O100" i="1"/>
  <c r="N100" i="1"/>
  <c r="M100" i="1"/>
  <c r="O641" i="1"/>
  <c r="M641" i="1"/>
  <c r="N641" i="1"/>
  <c r="M231" i="2"/>
  <c r="O231" i="2"/>
  <c r="N231" i="2"/>
  <c r="M1929" i="1"/>
  <c r="O1929" i="1"/>
  <c r="N1929" i="1"/>
  <c r="O1274" i="1"/>
  <c r="N1274" i="1"/>
  <c r="M1274" i="1"/>
  <c r="O2259" i="1"/>
  <c r="N2259" i="1"/>
  <c r="M2259" i="1"/>
  <c r="O1532" i="1"/>
  <c r="N1532" i="1"/>
  <c r="M1532" i="1"/>
  <c r="M495" i="1"/>
  <c r="O495" i="1"/>
  <c r="N495" i="1"/>
  <c r="M668" i="1"/>
  <c r="N668" i="1"/>
  <c r="O668" i="1"/>
  <c r="O1723" i="1"/>
  <c r="N1723" i="1"/>
  <c r="M1723" i="1"/>
  <c r="M539" i="1"/>
  <c r="O539" i="1"/>
  <c r="N539" i="1"/>
  <c r="O1006" i="1"/>
  <c r="N1006" i="1"/>
  <c r="M1006" i="1"/>
  <c r="M28" i="2"/>
  <c r="N28" i="2"/>
  <c r="O28" i="2"/>
  <c r="O422" i="2"/>
  <c r="N422" i="2"/>
  <c r="M422" i="2"/>
  <c r="N554" i="2"/>
  <c r="M554" i="2"/>
  <c r="O554" i="2"/>
  <c r="O241" i="2"/>
  <c r="N241" i="2"/>
  <c r="M241" i="2"/>
  <c r="M2219" i="1"/>
  <c r="O2219" i="1"/>
  <c r="N2219" i="1"/>
  <c r="O2176" i="1"/>
  <c r="N2176" i="1"/>
  <c r="M2176" i="1"/>
  <c r="O1818" i="1"/>
  <c r="N1818" i="1"/>
  <c r="M1818" i="1"/>
  <c r="O1770" i="1"/>
  <c r="N1770" i="1"/>
  <c r="M1770" i="1"/>
  <c r="O1730" i="1"/>
  <c r="N1730" i="1"/>
  <c r="M1730" i="1"/>
  <c r="M1895" i="1"/>
  <c r="O1895" i="1"/>
  <c r="N1895" i="1"/>
  <c r="O1674" i="1"/>
  <c r="N1674" i="1"/>
  <c r="M1674" i="1"/>
  <c r="O262" i="2"/>
  <c r="N262" i="2"/>
  <c r="M262" i="2"/>
  <c r="O518" i="2"/>
  <c r="N518" i="2"/>
  <c r="M518" i="2"/>
  <c r="M353" i="2"/>
  <c r="N353" i="2"/>
  <c r="O353" i="2"/>
  <c r="O436" i="2"/>
  <c r="N436" i="2"/>
  <c r="M436" i="2"/>
  <c r="M511" i="2"/>
  <c r="O511" i="2"/>
  <c r="N511" i="2"/>
  <c r="N346" i="2"/>
  <c r="M346" i="2"/>
  <c r="O346" i="2"/>
  <c r="O2195" i="1"/>
  <c r="N2195" i="1"/>
  <c r="M2195" i="1"/>
  <c r="O2109" i="1"/>
  <c r="N2109" i="1"/>
  <c r="M2109" i="1"/>
  <c r="M2121" i="1"/>
  <c r="O2121" i="1"/>
  <c r="N2121" i="1"/>
  <c r="O2067" i="1"/>
  <c r="N2067" i="1"/>
  <c r="M2067" i="1"/>
  <c r="O1958" i="1"/>
  <c r="M1958" i="1"/>
  <c r="N1958" i="1"/>
  <c r="O1858" i="1"/>
  <c r="N1858" i="1"/>
  <c r="M1858" i="1"/>
  <c r="O1746" i="1"/>
  <c r="N1746" i="1"/>
  <c r="M1746" i="1"/>
  <c r="O1999" i="1"/>
  <c r="M1999" i="1"/>
  <c r="N1999" i="1"/>
  <c r="O1525" i="1"/>
  <c r="N1525" i="1"/>
  <c r="M1525" i="1"/>
  <c r="O1567" i="1"/>
  <c r="N1567" i="1"/>
  <c r="M1567" i="1"/>
  <c r="O1310" i="1"/>
  <c r="N1310" i="1"/>
  <c r="M1310" i="1"/>
  <c r="O2267" i="1"/>
  <c r="N2267" i="1"/>
  <c r="M2267" i="1"/>
  <c r="O76" i="1"/>
  <c r="N76" i="1"/>
  <c r="M76" i="1"/>
  <c r="O1223" i="1"/>
  <c r="N1223" i="1"/>
  <c r="M1223" i="1"/>
  <c r="O1344" i="1"/>
  <c r="N1344" i="1"/>
  <c r="M1344" i="1"/>
  <c r="M2137" i="1"/>
  <c r="O2137" i="1"/>
  <c r="N2137" i="1"/>
  <c r="M1076" i="1"/>
  <c r="O1076" i="1"/>
  <c r="N1076" i="1"/>
  <c r="O1032" i="1"/>
  <c r="N1032" i="1"/>
  <c r="M1032" i="1"/>
  <c r="O861" i="1"/>
  <c r="N861" i="1"/>
  <c r="M861" i="1"/>
  <c r="O1004" i="1"/>
  <c r="N1004" i="1"/>
  <c r="M1004" i="1"/>
  <c r="O1417" i="1"/>
  <c r="N1417" i="1"/>
  <c r="M1417" i="1"/>
  <c r="M501" i="1"/>
  <c r="O501" i="1"/>
  <c r="N501" i="1"/>
  <c r="O832" i="1"/>
  <c r="N832" i="1"/>
  <c r="M832" i="1"/>
  <c r="O804" i="1"/>
  <c r="N804" i="1"/>
  <c r="M804" i="1"/>
  <c r="M415" i="1"/>
  <c r="O415" i="1"/>
  <c r="N415" i="1"/>
  <c r="O92" i="1"/>
  <c r="N92" i="1"/>
  <c r="M92" i="1"/>
  <c r="O28" i="1"/>
  <c r="N28" i="1"/>
  <c r="M28" i="1"/>
  <c r="O212" i="1"/>
  <c r="N212" i="1"/>
  <c r="M212" i="1"/>
  <c r="M70" i="2"/>
  <c r="O70" i="2"/>
  <c r="N70" i="2"/>
  <c r="O1713" i="1"/>
  <c r="N1713" i="1"/>
  <c r="M1713" i="1"/>
  <c r="O1652" i="1"/>
  <c r="N1652" i="1"/>
  <c r="M1652" i="1"/>
  <c r="O1599" i="1"/>
  <c r="N1599" i="1"/>
  <c r="M1599" i="1"/>
  <c r="O1488" i="1"/>
  <c r="N1488" i="1"/>
  <c r="M1488" i="1"/>
  <c r="N1209" i="1"/>
  <c r="M1209" i="1"/>
  <c r="O1209" i="1"/>
  <c r="O901" i="1"/>
  <c r="N901" i="1"/>
  <c r="M901" i="1"/>
  <c r="O840" i="1"/>
  <c r="N840" i="1"/>
  <c r="M840" i="1"/>
  <c r="O809" i="1"/>
  <c r="N809" i="1"/>
  <c r="M809" i="1"/>
  <c r="O716" i="1"/>
  <c r="N716" i="1"/>
  <c r="M716" i="1"/>
  <c r="M518" i="1"/>
  <c r="O518" i="1"/>
  <c r="N518" i="1"/>
  <c r="M532" i="1"/>
  <c r="O532" i="1"/>
  <c r="N532" i="1"/>
  <c r="M397" i="1"/>
  <c r="O397" i="1"/>
  <c r="N397" i="1"/>
  <c r="M422" i="1"/>
  <c r="N422" i="1"/>
  <c r="O422" i="1"/>
  <c r="M474" i="1"/>
  <c r="O474" i="1"/>
  <c r="N474" i="1"/>
  <c r="O114" i="1"/>
  <c r="N114" i="1"/>
  <c r="M114" i="1"/>
  <c r="O224" i="1"/>
  <c r="N224" i="1"/>
  <c r="M224" i="1"/>
  <c r="O499" i="2"/>
  <c r="N499" i="2"/>
  <c r="M499" i="2"/>
  <c r="O540" i="2"/>
  <c r="M540" i="2"/>
  <c r="N540" i="2"/>
  <c r="N514" i="2"/>
  <c r="M514" i="2"/>
  <c r="O514" i="2"/>
  <c r="M2229" i="1"/>
  <c r="O2229" i="1"/>
  <c r="N2229" i="1"/>
  <c r="O2061" i="1"/>
  <c r="N2061" i="1"/>
  <c r="M2061" i="1"/>
  <c r="O1815" i="1"/>
  <c r="N1815" i="1"/>
  <c r="M1815" i="1"/>
  <c r="O1735" i="1"/>
  <c r="N1735" i="1"/>
  <c r="M1735" i="1"/>
  <c r="O1586" i="1"/>
  <c r="N1586" i="1"/>
  <c r="M1586" i="1"/>
  <c r="O1671" i="1"/>
  <c r="N1671" i="1"/>
  <c r="M1671" i="1"/>
  <c r="O1480" i="1"/>
  <c r="N1480" i="1"/>
  <c r="M1480" i="1"/>
  <c r="O1243" i="1"/>
  <c r="N1243" i="1"/>
  <c r="M1243" i="1"/>
  <c r="O1157" i="1"/>
  <c r="N1157" i="1"/>
  <c r="M1157" i="1"/>
  <c r="O1469" i="1"/>
  <c r="N1469" i="1"/>
  <c r="M1469" i="1"/>
  <c r="O957" i="1"/>
  <c r="N957" i="1"/>
  <c r="M957" i="1"/>
  <c r="O991" i="1"/>
  <c r="N991" i="1"/>
  <c r="M991" i="1"/>
  <c r="O850" i="1"/>
  <c r="N850" i="1"/>
  <c r="M850" i="1"/>
  <c r="O1241" i="1"/>
  <c r="N1241" i="1"/>
  <c r="M1241" i="1"/>
  <c r="O158" i="1"/>
  <c r="N158" i="1"/>
  <c r="M158" i="1"/>
  <c r="N314" i="2"/>
  <c r="M314" i="2"/>
  <c r="O314" i="2"/>
  <c r="M2225" i="1"/>
  <c r="O2225" i="1"/>
  <c r="N2225" i="1"/>
  <c r="M2140" i="1"/>
  <c r="N2140" i="1"/>
  <c r="O2140" i="1"/>
  <c r="O1977" i="1"/>
  <c r="M1977" i="1"/>
  <c r="N1977" i="1"/>
  <c r="M1928" i="1"/>
  <c r="O1928" i="1"/>
  <c r="N1928" i="1"/>
  <c r="O1790" i="1"/>
  <c r="N1790" i="1"/>
  <c r="M1790" i="1"/>
  <c r="O1340" i="1"/>
  <c r="M1340" i="1"/>
  <c r="N1340" i="1"/>
  <c r="O1505" i="1"/>
  <c r="N1505" i="1"/>
  <c r="M1505" i="1"/>
  <c r="N1198" i="1"/>
  <c r="O1198" i="1"/>
  <c r="M1198" i="1"/>
  <c r="O1268" i="1"/>
  <c r="N1268" i="1"/>
  <c r="M1268" i="1"/>
  <c r="O1628" i="1"/>
  <c r="N1628" i="1"/>
  <c r="M1628" i="1"/>
  <c r="O1121" i="1"/>
  <c r="N1121" i="1"/>
  <c r="M1121" i="1"/>
  <c r="O877" i="1"/>
  <c r="N877" i="1"/>
  <c r="M877" i="1"/>
  <c r="M576" i="1"/>
  <c r="O576" i="1"/>
  <c r="N576" i="1"/>
  <c r="O1820" i="1"/>
  <c r="N1820" i="1"/>
  <c r="M1820" i="1"/>
  <c r="O1489" i="1"/>
  <c r="N1489" i="1"/>
  <c r="M1489" i="1"/>
  <c r="O1476" i="1"/>
  <c r="N1476" i="1"/>
  <c r="M1476" i="1"/>
  <c r="O1295" i="1"/>
  <c r="N1295" i="1"/>
  <c r="M1295" i="1"/>
  <c r="O1135" i="1"/>
  <c r="N1135" i="1"/>
  <c r="M1135" i="1"/>
  <c r="O856" i="1"/>
  <c r="N856" i="1"/>
  <c r="M856" i="1"/>
  <c r="M442" i="1"/>
  <c r="O442" i="1"/>
  <c r="N442" i="1"/>
  <c r="M360" i="1"/>
  <c r="N360" i="1"/>
  <c r="O360" i="1"/>
  <c r="M316" i="1"/>
  <c r="O316" i="1"/>
  <c r="N316" i="1"/>
  <c r="N175" i="2"/>
  <c r="M175" i="2"/>
  <c r="O175" i="2"/>
  <c r="O267" i="2"/>
  <c r="N267" i="2"/>
  <c r="M267" i="2"/>
  <c r="O523" i="2"/>
  <c r="N523" i="2"/>
  <c r="M523" i="2"/>
  <c r="M425" i="2"/>
  <c r="O425" i="2"/>
  <c r="N425" i="2"/>
  <c r="O364" i="2"/>
  <c r="M364" i="2"/>
  <c r="N364" i="2"/>
  <c r="M439" i="2"/>
  <c r="O439" i="2"/>
  <c r="N439" i="2"/>
  <c r="N258" i="2"/>
  <c r="M258" i="2"/>
  <c r="O258" i="2"/>
  <c r="N194" i="2"/>
  <c r="M194" i="2"/>
  <c r="O194" i="2"/>
  <c r="O2248" i="1"/>
  <c r="N2248" i="1"/>
  <c r="M2248" i="1"/>
  <c r="O2100" i="1"/>
  <c r="N2100" i="1"/>
  <c r="M2100" i="1"/>
  <c r="O2266" i="1"/>
  <c r="N2266" i="1"/>
  <c r="M2266" i="1"/>
  <c r="M257" i="1"/>
  <c r="O257" i="1"/>
  <c r="N257" i="1"/>
  <c r="O2049" i="1"/>
  <c r="N2049" i="1"/>
  <c r="M2049" i="1"/>
  <c r="O1989" i="1"/>
  <c r="M1989" i="1"/>
  <c r="N1989" i="1"/>
  <c r="O2065" i="1"/>
  <c r="N2065" i="1"/>
  <c r="M2065" i="1"/>
  <c r="O1825" i="1"/>
  <c r="N1825" i="1"/>
  <c r="M1825" i="1"/>
  <c r="O1785" i="1"/>
  <c r="N1785" i="1"/>
  <c r="M1785" i="1"/>
  <c r="M1761" i="1"/>
  <c r="N1761" i="1"/>
  <c r="O1761" i="1"/>
  <c r="O1963" i="1"/>
  <c r="M1963" i="1"/>
  <c r="N1963" i="1"/>
  <c r="M1308" i="1"/>
  <c r="O1308" i="1"/>
  <c r="N1308" i="1"/>
  <c r="O1519" i="1"/>
  <c r="N1519" i="1"/>
  <c r="M1519" i="1"/>
  <c r="O1448" i="1"/>
  <c r="N1448" i="1"/>
  <c r="M1448" i="1"/>
  <c r="O1555" i="1"/>
  <c r="N1555" i="1"/>
  <c r="M1555" i="1"/>
  <c r="O1346" i="1"/>
  <c r="N1346" i="1"/>
  <c r="M1346" i="1"/>
  <c r="O1265" i="1"/>
  <c r="N1265" i="1"/>
  <c r="M1265" i="1"/>
  <c r="O1566" i="1"/>
  <c r="N1566" i="1"/>
  <c r="M1566" i="1"/>
  <c r="O1579" i="1"/>
  <c r="N1579" i="1"/>
  <c r="M1579" i="1"/>
  <c r="O1383" i="1"/>
  <c r="N1383" i="1"/>
  <c r="M1383" i="1"/>
  <c r="O871" i="1"/>
  <c r="N871" i="1"/>
  <c r="M871" i="1"/>
  <c r="O960" i="1"/>
  <c r="N960" i="1"/>
  <c r="M960" i="1"/>
  <c r="O886" i="1"/>
  <c r="N886" i="1"/>
  <c r="M886" i="1"/>
  <c r="O1175" i="1"/>
  <c r="M1175" i="1"/>
  <c r="N1175" i="1"/>
  <c r="O761" i="1"/>
  <c r="N761" i="1"/>
  <c r="M761" i="1"/>
  <c r="O926" i="1"/>
  <c r="N926" i="1"/>
  <c r="M926" i="1"/>
  <c r="O730" i="1"/>
  <c r="N730" i="1"/>
  <c r="M730" i="1"/>
  <c r="M565" i="1"/>
  <c r="N565" i="1"/>
  <c r="O565" i="1"/>
  <c r="M453" i="1"/>
  <c r="O453" i="1"/>
  <c r="N453" i="1"/>
  <c r="O772" i="1"/>
  <c r="N772" i="1"/>
  <c r="M772" i="1"/>
  <c r="M600" i="1"/>
  <c r="O600" i="1"/>
  <c r="N600" i="1"/>
  <c r="M428" i="1"/>
  <c r="O428" i="1"/>
  <c r="N428" i="1"/>
  <c r="M341" i="1"/>
  <c r="O341" i="1"/>
  <c r="N341" i="1"/>
  <c r="M343" i="1"/>
  <c r="O343" i="1"/>
  <c r="N343" i="1"/>
  <c r="O83" i="1"/>
  <c r="M83" i="1"/>
  <c r="N83" i="1"/>
  <c r="O19" i="1"/>
  <c r="M19" i="1"/>
  <c r="N19" i="1"/>
  <c r="O128" i="1"/>
  <c r="N128" i="1"/>
  <c r="M128" i="1"/>
  <c r="O174" i="1"/>
  <c r="M174" i="1"/>
  <c r="N174" i="1"/>
  <c r="M379" i="1"/>
  <c r="O379" i="1"/>
  <c r="N379" i="1"/>
  <c r="O270" i="2"/>
  <c r="N270" i="2"/>
  <c r="M270" i="2"/>
  <c r="O526" i="2"/>
  <c r="N526" i="2"/>
  <c r="M526" i="2"/>
  <c r="M369" i="2"/>
  <c r="N369" i="2"/>
  <c r="O369" i="2"/>
  <c r="O325" i="2"/>
  <c r="N325" i="2"/>
  <c r="M325" i="2"/>
  <c r="M2220" i="1"/>
  <c r="O2220" i="1"/>
  <c r="N2220" i="1"/>
  <c r="M2127" i="1"/>
  <c r="O2127" i="1"/>
  <c r="N2127" i="1"/>
  <c r="N2172" i="1"/>
  <c r="M2172" i="1"/>
  <c r="O2172" i="1"/>
  <c r="O1985" i="1"/>
  <c r="M1985" i="1"/>
  <c r="N1985" i="1"/>
  <c r="O2016" i="1"/>
  <c r="M2016" i="1"/>
  <c r="N2016" i="1"/>
  <c r="M1922" i="1"/>
  <c r="O1922" i="1"/>
  <c r="N1922" i="1"/>
  <c r="O1808" i="1"/>
  <c r="N1808" i="1"/>
  <c r="M1808" i="1"/>
  <c r="O1784" i="1"/>
  <c r="N1784" i="1"/>
  <c r="M1784" i="1"/>
  <c r="M1760" i="1"/>
  <c r="O1760" i="1"/>
  <c r="N1760" i="1"/>
  <c r="O1744" i="1"/>
  <c r="N1744" i="1"/>
  <c r="M1744" i="1"/>
  <c r="O1964" i="1"/>
  <c r="M1964" i="1"/>
  <c r="N1964" i="1"/>
  <c r="O2124" i="1"/>
  <c r="N2124" i="1"/>
  <c r="M2124" i="1"/>
  <c r="O1524" i="1"/>
  <c r="N1524" i="1"/>
  <c r="M1524" i="1"/>
  <c r="O1380" i="1"/>
  <c r="N1380" i="1"/>
  <c r="M1380" i="1"/>
  <c r="O1397" i="1"/>
  <c r="N1397" i="1"/>
  <c r="M1397" i="1"/>
  <c r="O1635" i="1"/>
  <c r="N1635" i="1"/>
  <c r="M1635" i="1"/>
  <c r="N1187" i="1"/>
  <c r="M1187" i="1"/>
  <c r="O1187" i="1"/>
  <c r="M513" i="1"/>
  <c r="N513" i="1"/>
  <c r="O513" i="1"/>
  <c r="O1500" i="1"/>
  <c r="N1500" i="1"/>
  <c r="M1500" i="1"/>
  <c r="O1363" i="1"/>
  <c r="N1363" i="1"/>
  <c r="M1363" i="1"/>
  <c r="M486" i="1"/>
  <c r="N486" i="1"/>
  <c r="O486" i="1"/>
  <c r="M467" i="1"/>
  <c r="O467" i="1"/>
  <c r="N467" i="1"/>
  <c r="O58" i="1"/>
  <c r="N58" i="1"/>
  <c r="M58" i="1"/>
  <c r="O177" i="1"/>
  <c r="M177" i="1"/>
  <c r="N177" i="1"/>
  <c r="O275" i="2"/>
  <c r="N275" i="2"/>
  <c r="M275" i="2"/>
  <c r="M441" i="2"/>
  <c r="O441" i="2"/>
  <c r="N441" i="2"/>
  <c r="O381" i="2"/>
  <c r="M381" i="2"/>
  <c r="N381" i="2"/>
  <c r="O2261" i="1"/>
  <c r="N2261" i="1"/>
  <c r="M2261" i="1"/>
  <c r="O2098" i="1"/>
  <c r="N2098" i="1"/>
  <c r="M2098" i="1"/>
  <c r="O2274" i="1"/>
  <c r="N2274" i="1"/>
  <c r="M2274" i="1"/>
  <c r="M1937" i="1"/>
  <c r="O1937" i="1"/>
  <c r="N1937" i="1"/>
  <c r="O1839" i="1"/>
  <c r="N1839" i="1"/>
  <c r="M1839" i="1"/>
  <c r="O1866" i="1"/>
  <c r="N1866" i="1"/>
  <c r="M1866" i="1"/>
  <c r="O1650" i="1"/>
  <c r="N1650" i="1"/>
  <c r="M1650" i="1"/>
  <c r="O1720" i="1"/>
  <c r="N1720" i="1"/>
  <c r="M1720" i="1"/>
  <c r="O1648" i="1"/>
  <c r="N1648" i="1"/>
  <c r="M1648" i="1"/>
  <c r="O1712" i="1"/>
  <c r="N1712" i="1"/>
  <c r="M1712" i="1"/>
  <c r="O1485" i="1"/>
  <c r="N1485" i="1"/>
  <c r="M1485" i="1"/>
  <c r="N1212" i="1"/>
  <c r="O1212" i="1"/>
  <c r="M1212" i="1"/>
  <c r="O869" i="1"/>
  <c r="N869" i="1"/>
  <c r="M869" i="1"/>
  <c r="O744" i="1"/>
  <c r="N744" i="1"/>
  <c r="M744" i="1"/>
  <c r="O1321" i="1"/>
  <c r="N1321" i="1"/>
  <c r="M1321" i="1"/>
  <c r="M578" i="1"/>
  <c r="O578" i="1"/>
  <c r="N578" i="1"/>
  <c r="O1262" i="1"/>
  <c r="N1262" i="1"/>
  <c r="M1262" i="1"/>
  <c r="M1136" i="1"/>
  <c r="O1136" i="1"/>
  <c r="N1136" i="1"/>
  <c r="M548" i="1"/>
  <c r="O548" i="1"/>
  <c r="N548" i="1"/>
  <c r="M286" i="1"/>
  <c r="N286" i="1"/>
  <c r="O286" i="1"/>
  <c r="M472" i="1"/>
  <c r="N472" i="1"/>
  <c r="O472" i="1"/>
  <c r="O113" i="1"/>
  <c r="N113" i="1"/>
  <c r="M113" i="1"/>
  <c r="O222" i="1"/>
  <c r="N222" i="1"/>
  <c r="M222" i="1"/>
  <c r="M606" i="1"/>
  <c r="O606" i="1"/>
  <c r="N606" i="1"/>
  <c r="O406" i="2"/>
  <c r="N406" i="2"/>
  <c r="M406" i="2"/>
  <c r="M543" i="2"/>
  <c r="O543" i="2"/>
  <c r="N543" i="2"/>
  <c r="O2191" i="1"/>
  <c r="N2191" i="1"/>
  <c r="M2191" i="1"/>
  <c r="O2075" i="1"/>
  <c r="N2075" i="1"/>
  <c r="M2075" i="1"/>
  <c r="O2177" i="1"/>
  <c r="N2177" i="1"/>
  <c r="M2177" i="1"/>
  <c r="N458" i="1"/>
  <c r="M458" i="1"/>
  <c r="O458" i="1"/>
  <c r="O795" i="1"/>
  <c r="N795" i="1"/>
  <c r="M795" i="1"/>
  <c r="O915" i="1"/>
  <c r="N915" i="1"/>
  <c r="M915" i="1"/>
  <c r="O40" i="1"/>
  <c r="N40" i="1"/>
  <c r="M40" i="1"/>
  <c r="N7" i="1"/>
  <c r="M7" i="1"/>
  <c r="O7" i="1"/>
  <c r="O2214" i="1"/>
  <c r="N2214" i="1"/>
  <c r="M2214" i="1"/>
  <c r="O2041" i="1"/>
  <c r="N2041" i="1"/>
  <c r="M2041" i="1"/>
  <c r="O1494" i="1"/>
  <c r="N1494" i="1"/>
  <c r="M1494" i="1"/>
  <c r="O1327" i="1"/>
  <c r="N1327" i="1"/>
  <c r="M1327" i="1"/>
  <c r="O791" i="1"/>
  <c r="N791" i="1"/>
  <c r="M791" i="1"/>
  <c r="O862" i="1"/>
  <c r="N862" i="1"/>
  <c r="M862" i="1"/>
  <c r="M596" i="1"/>
  <c r="O596" i="1"/>
  <c r="N596" i="1"/>
  <c r="O55" i="1"/>
  <c r="N55" i="1"/>
  <c r="M55" i="1"/>
  <c r="O293" i="2"/>
  <c r="N293" i="2"/>
  <c r="M293" i="2"/>
  <c r="M2143" i="1"/>
  <c r="O2143" i="1"/>
  <c r="N2143" i="1"/>
  <c r="O1996" i="1"/>
  <c r="M1996" i="1"/>
  <c r="N1996" i="1"/>
  <c r="O1716" i="1"/>
  <c r="N1716" i="1"/>
  <c r="M1716" i="1"/>
  <c r="O790" i="1"/>
  <c r="N790" i="1"/>
  <c r="M790" i="1"/>
  <c r="O323" i="2"/>
  <c r="N323" i="2"/>
  <c r="M323" i="2"/>
  <c r="M2223" i="1"/>
  <c r="O2223" i="1"/>
  <c r="N2223" i="1"/>
  <c r="O1851" i="1"/>
  <c r="N1851" i="1"/>
  <c r="M1851" i="1"/>
  <c r="O2000" i="1"/>
  <c r="M2000" i="1"/>
  <c r="N2000" i="1"/>
  <c r="O1656" i="1"/>
  <c r="N1656" i="1"/>
  <c r="M1656" i="1"/>
  <c r="O1409" i="1"/>
  <c r="N1409" i="1"/>
  <c r="M1409" i="1"/>
  <c r="O994" i="1"/>
  <c r="N994" i="1"/>
  <c r="M994" i="1"/>
  <c r="O820" i="1"/>
  <c r="N820" i="1"/>
  <c r="M820" i="1"/>
  <c r="O1188" i="1"/>
  <c r="N1188" i="1"/>
  <c r="M1188" i="1"/>
  <c r="O939" i="1"/>
  <c r="N939" i="1"/>
  <c r="M939" i="1"/>
  <c r="M439" i="1"/>
  <c r="N439" i="1"/>
  <c r="O439" i="1"/>
  <c r="O21" i="1"/>
  <c r="N21" i="1"/>
  <c r="M21" i="1"/>
  <c r="O2147" i="1"/>
  <c r="N2147" i="1"/>
  <c r="M2147" i="1"/>
  <c r="O1995" i="1"/>
  <c r="M1995" i="1"/>
  <c r="N1995" i="1"/>
  <c r="O354" i="1"/>
  <c r="N354" i="1"/>
  <c r="M354" i="1"/>
  <c r="O1391" i="1"/>
  <c r="N1391" i="1"/>
  <c r="M1391" i="1"/>
  <c r="O1633" i="1"/>
  <c r="N1633" i="1"/>
  <c r="M1633" i="1"/>
  <c r="O1467" i="1"/>
  <c r="N1467" i="1"/>
  <c r="M1467" i="1"/>
  <c r="O955" i="1"/>
  <c r="N955" i="1"/>
  <c r="M955" i="1"/>
  <c r="O63" i="1"/>
  <c r="N63" i="1"/>
  <c r="M63" i="1"/>
  <c r="O6" i="1"/>
  <c r="M6" i="1"/>
  <c r="N6" i="1"/>
  <c r="O131" i="2"/>
  <c r="N131" i="2"/>
  <c r="M131" i="2"/>
  <c r="M158" i="2"/>
  <c r="O158" i="2"/>
  <c r="N158" i="2"/>
  <c r="O1576" i="1"/>
  <c r="N1576" i="1"/>
  <c r="M1576" i="1"/>
  <c r="O1318" i="1"/>
  <c r="N1318" i="1"/>
  <c r="M1318" i="1"/>
  <c r="N1196" i="1"/>
  <c r="O1196" i="1"/>
  <c r="M1196" i="1"/>
  <c r="O1286" i="1"/>
  <c r="N1286" i="1"/>
  <c r="M1286" i="1"/>
  <c r="O870" i="1"/>
  <c r="N870" i="1"/>
  <c r="M870" i="1"/>
  <c r="O2212" i="1"/>
  <c r="N2212" i="1"/>
  <c r="M2212" i="1"/>
  <c r="O2021" i="1"/>
  <c r="M2021" i="1"/>
  <c r="N2021" i="1"/>
  <c r="O1835" i="1"/>
  <c r="N1835" i="1"/>
  <c r="M1835" i="1"/>
  <c r="M1897" i="1"/>
  <c r="O1897" i="1"/>
  <c r="N1897" i="1"/>
  <c r="O1345" i="1"/>
  <c r="N1345" i="1"/>
  <c r="M1345" i="1"/>
  <c r="O1708" i="1"/>
  <c r="N1708" i="1"/>
  <c r="M1708" i="1"/>
  <c r="O930" i="1"/>
  <c r="N930" i="1"/>
  <c r="M930" i="1"/>
  <c r="O868" i="1"/>
  <c r="N868" i="1"/>
  <c r="M868" i="1"/>
  <c r="O773" i="1"/>
  <c r="N773" i="1"/>
  <c r="M773" i="1"/>
  <c r="M352" i="1"/>
  <c r="N352" i="1"/>
  <c r="O352" i="1"/>
  <c r="M340" i="2"/>
  <c r="O340" i="2"/>
  <c r="N340" i="2"/>
  <c r="O156" i="2"/>
  <c r="M156" i="2"/>
  <c r="N156" i="2"/>
  <c r="O501" i="2"/>
  <c r="N501" i="2"/>
  <c r="M501" i="2"/>
  <c r="O2296" i="1"/>
  <c r="M2296" i="1"/>
  <c r="N2296" i="1"/>
  <c r="O1967" i="1"/>
  <c r="M1967" i="1"/>
  <c r="N1967" i="1"/>
  <c r="O1224" i="1"/>
  <c r="N1224" i="1"/>
  <c r="M1224" i="1"/>
  <c r="O763" i="1"/>
  <c r="N763" i="1"/>
  <c r="M763" i="1"/>
  <c r="O1534" i="1"/>
  <c r="N1534" i="1"/>
  <c r="M1534" i="1"/>
  <c r="O72" i="1"/>
  <c r="N72" i="1"/>
  <c r="M72" i="1"/>
  <c r="M273" i="1"/>
  <c r="O273" i="1"/>
  <c r="N273" i="1"/>
  <c r="O539" i="2"/>
  <c r="N539" i="2"/>
  <c r="M539" i="2"/>
  <c r="M471" i="2"/>
  <c r="O471" i="2"/>
  <c r="N471" i="2"/>
  <c r="M2153" i="1"/>
  <c r="O2153" i="1"/>
  <c r="N2153" i="1"/>
  <c r="O1655" i="1"/>
  <c r="N1655" i="1"/>
  <c r="M1655" i="1"/>
  <c r="O2142" i="1"/>
  <c r="N2142" i="1"/>
  <c r="M2142" i="1"/>
  <c r="O1217" i="1"/>
  <c r="N1217" i="1"/>
  <c r="M1217" i="1"/>
  <c r="M924" i="1"/>
  <c r="O924" i="1"/>
  <c r="N924" i="1"/>
  <c r="O777" i="1"/>
  <c r="N777" i="1"/>
  <c r="M777" i="1"/>
  <c r="O516" i="2"/>
  <c r="M516" i="2"/>
  <c r="N516" i="2"/>
  <c r="O1651" i="1"/>
  <c r="N1651" i="1"/>
  <c r="M1651" i="1"/>
  <c r="O1002" i="1"/>
  <c r="N1002" i="1"/>
  <c r="M1002" i="1"/>
  <c r="O625" i="1"/>
  <c r="N625" i="1"/>
  <c r="M625" i="1"/>
  <c r="O1368" i="1"/>
  <c r="N1368" i="1"/>
  <c r="M1368" i="1"/>
  <c r="O628" i="1"/>
  <c r="N628" i="1"/>
  <c r="M628" i="1"/>
  <c r="M260" i="1"/>
  <c r="O260" i="1"/>
  <c r="N260" i="1"/>
  <c r="O1177" i="1"/>
  <c r="N1177" i="1"/>
  <c r="M1177" i="1"/>
  <c r="M410" i="1"/>
  <c r="O410" i="1"/>
  <c r="N410" i="1"/>
  <c r="O547" i="2"/>
  <c r="N547" i="2"/>
  <c r="M547" i="2"/>
  <c r="N562" i="2"/>
  <c r="M562" i="2"/>
  <c r="O562" i="2"/>
  <c r="O2303" i="1"/>
  <c r="N2303" i="1"/>
  <c r="M2303" i="1"/>
  <c r="O2019" i="1"/>
  <c r="M2019" i="1"/>
  <c r="N2019" i="1"/>
  <c r="O1618" i="1"/>
  <c r="N1618" i="1"/>
  <c r="M1618" i="1"/>
  <c r="O678" i="1"/>
  <c r="N678" i="1"/>
  <c r="M678" i="1"/>
  <c r="M78" i="2"/>
  <c r="O78" i="2"/>
  <c r="N78" i="2"/>
  <c r="O1814" i="1"/>
  <c r="N1814" i="1"/>
  <c r="M1814" i="1"/>
  <c r="M2134" i="1"/>
  <c r="O2134" i="1"/>
  <c r="N2134" i="1"/>
  <c r="O1451" i="1"/>
  <c r="N1451" i="1"/>
  <c r="M1451" i="1"/>
  <c r="O1111" i="1"/>
  <c r="N1111" i="1"/>
  <c r="M1111" i="1"/>
  <c r="M595" i="1"/>
  <c r="O595" i="1"/>
  <c r="N595" i="1"/>
  <c r="M574" i="1"/>
  <c r="O574" i="1"/>
  <c r="N574" i="1"/>
  <c r="O919" i="1"/>
  <c r="N919" i="1"/>
  <c r="M919" i="1"/>
  <c r="O201" i="1"/>
  <c r="N201" i="1"/>
  <c r="M201" i="1"/>
  <c r="O332" i="2"/>
  <c r="N332" i="2"/>
  <c r="M332" i="2"/>
  <c r="O493" i="2"/>
  <c r="M493" i="2"/>
  <c r="N493" i="2"/>
  <c r="O2264" i="1"/>
  <c r="N2264" i="1"/>
  <c r="M2264" i="1"/>
  <c r="O2058" i="1"/>
  <c r="N2058" i="1"/>
  <c r="M2058" i="1"/>
  <c r="O545" i="1"/>
  <c r="N545" i="1"/>
  <c r="M545" i="1"/>
  <c r="O1497" i="1"/>
  <c r="N1497" i="1"/>
  <c r="M1497" i="1"/>
  <c r="O1457" i="1"/>
  <c r="N1457" i="1"/>
  <c r="M1457" i="1"/>
  <c r="O959" i="1"/>
  <c r="N959" i="1"/>
  <c r="M959" i="1"/>
  <c r="O833" i="1"/>
  <c r="N833" i="1"/>
  <c r="M833" i="1"/>
  <c r="O642" i="1"/>
  <c r="N642" i="1"/>
  <c r="M642" i="1"/>
  <c r="M563" i="1"/>
  <c r="O563" i="1"/>
  <c r="N563" i="1"/>
  <c r="O234" i="1"/>
  <c r="N234" i="1"/>
  <c r="M234" i="1"/>
  <c r="O229" i="2"/>
  <c r="N229" i="2"/>
  <c r="M229" i="2"/>
  <c r="O2302" i="1"/>
  <c r="N2302" i="1"/>
  <c r="M2302" i="1"/>
  <c r="M2145" i="1"/>
  <c r="O2145" i="1"/>
  <c r="N2145" i="1"/>
  <c r="O1804" i="1"/>
  <c r="N1804" i="1"/>
  <c r="M1804" i="1"/>
  <c r="M1116" i="1"/>
  <c r="N1116" i="1"/>
  <c r="O1116" i="1"/>
  <c r="O997" i="1"/>
  <c r="N997" i="1"/>
  <c r="M997" i="1"/>
  <c r="O1027" i="1"/>
  <c r="N1027" i="1"/>
  <c r="M1027" i="1"/>
  <c r="O1017" i="1"/>
  <c r="N1017" i="1"/>
  <c r="M1017" i="1"/>
  <c r="O413" i="2"/>
  <c r="N413" i="2"/>
  <c r="M413" i="2"/>
  <c r="O1661" i="1"/>
  <c r="N1661" i="1"/>
  <c r="M1661" i="1"/>
  <c r="O1715" i="1"/>
  <c r="N1715" i="1"/>
  <c r="M1715" i="1"/>
  <c r="O1062" i="1"/>
  <c r="N1062" i="1"/>
  <c r="M1062" i="1"/>
  <c r="O783" i="1"/>
  <c r="N783" i="1"/>
  <c r="M783" i="1"/>
  <c r="O645" i="1"/>
  <c r="N645" i="1"/>
  <c r="M645" i="1"/>
  <c r="O61" i="1"/>
  <c r="N61" i="1"/>
  <c r="M61" i="1"/>
  <c r="N418" i="2"/>
  <c r="M418" i="2"/>
  <c r="O418" i="2"/>
  <c r="O2258" i="1"/>
  <c r="N2258" i="1"/>
  <c r="M2258" i="1"/>
  <c r="O1810" i="1"/>
  <c r="N1810" i="1"/>
  <c r="M1810" i="1"/>
  <c r="O1556" i="1"/>
  <c r="N1556" i="1"/>
  <c r="M1556" i="1"/>
  <c r="O1373" i="1"/>
  <c r="N1373" i="1"/>
  <c r="M1373" i="1"/>
  <c r="O1474" i="1"/>
  <c r="N1474" i="1"/>
  <c r="M1474" i="1"/>
  <c r="O788" i="1"/>
  <c r="N788" i="1"/>
  <c r="M788" i="1"/>
  <c r="O108" i="1"/>
  <c r="N108" i="1"/>
  <c r="M108" i="1"/>
  <c r="O244" i="1"/>
  <c r="N244" i="1"/>
  <c r="M244" i="1"/>
  <c r="O650" i="1"/>
  <c r="N650" i="1"/>
  <c r="M650" i="1"/>
  <c r="M423" i="2"/>
  <c r="O423" i="2"/>
  <c r="N423" i="2"/>
  <c r="O2277" i="1"/>
  <c r="N2277" i="1"/>
  <c r="M2277" i="1"/>
  <c r="O1387" i="1"/>
  <c r="N1387" i="1"/>
  <c r="M1387" i="1"/>
  <c r="M1128" i="1"/>
  <c r="O1128" i="1"/>
  <c r="N1128" i="1"/>
  <c r="O2040" i="1"/>
  <c r="N2040" i="1"/>
  <c r="M2040" i="1"/>
  <c r="O1349" i="1"/>
  <c r="N1349" i="1"/>
  <c r="M1349" i="1"/>
  <c r="O693" i="1"/>
  <c r="N693" i="1"/>
  <c r="M693" i="1"/>
  <c r="O687" i="1"/>
  <c r="N687" i="1"/>
  <c r="M687" i="1"/>
  <c r="O37" i="1"/>
  <c r="N37" i="1"/>
  <c r="M37" i="1"/>
  <c r="O205" i="2"/>
  <c r="N205" i="2"/>
  <c r="M205" i="2"/>
  <c r="O1320" i="1"/>
  <c r="M1320" i="1"/>
  <c r="N1320" i="1"/>
  <c r="O1538" i="1"/>
  <c r="N1538" i="1"/>
  <c r="M1538" i="1"/>
  <c r="O1444" i="1"/>
  <c r="N1444" i="1"/>
  <c r="M1444" i="1"/>
  <c r="O1403" i="1"/>
  <c r="N1403" i="1"/>
  <c r="M1403" i="1"/>
  <c r="M1104" i="1"/>
  <c r="O1104" i="1"/>
  <c r="N1104" i="1"/>
  <c r="O800" i="1"/>
  <c r="N800" i="1"/>
  <c r="M800" i="1"/>
  <c r="O1156" i="1"/>
  <c r="N1156" i="1"/>
  <c r="M1156" i="1"/>
  <c r="M599" i="1"/>
  <c r="O599" i="1"/>
  <c r="N599" i="1"/>
  <c r="M482" i="1"/>
  <c r="O482" i="1"/>
  <c r="N482" i="1"/>
  <c r="O356" i="2"/>
  <c r="N356" i="2"/>
  <c r="M356" i="2"/>
  <c r="O2301" i="1"/>
  <c r="N2301" i="1"/>
  <c r="M2301" i="1"/>
  <c r="O1736" i="1"/>
  <c r="M1736" i="1"/>
  <c r="N1736" i="1"/>
  <c r="O1530" i="1"/>
  <c r="N1530" i="1"/>
  <c r="M1530" i="1"/>
  <c r="M271" i="1"/>
  <c r="O271" i="1"/>
  <c r="N271" i="1"/>
  <c r="N322" i="2"/>
  <c r="M322" i="2"/>
  <c r="O322" i="2"/>
  <c r="O656" i="1"/>
  <c r="N656" i="1"/>
  <c r="M656" i="1"/>
  <c r="O254" i="1"/>
  <c r="N254" i="1"/>
  <c r="M254" i="1"/>
  <c r="M404" i="2"/>
  <c r="O404" i="2"/>
  <c r="N404" i="2"/>
  <c r="O2044" i="1"/>
  <c r="N2044" i="1"/>
  <c r="M2044" i="1"/>
  <c r="M525" i="2"/>
  <c r="O525" i="2"/>
  <c r="N525" i="2"/>
  <c r="O1322" i="1"/>
  <c r="N1322" i="1"/>
  <c r="M1322" i="1"/>
  <c r="O349" i="2"/>
  <c r="M349" i="2"/>
  <c r="N349" i="2"/>
  <c r="O1973" i="1"/>
  <c r="M1973" i="1"/>
  <c r="N1973" i="1"/>
  <c r="M398" i="1"/>
  <c r="O398" i="1"/>
  <c r="N398" i="1"/>
  <c r="O1828" i="1"/>
  <c r="N1828" i="1"/>
  <c r="M1828" i="1"/>
  <c r="O874" i="1"/>
  <c r="N874" i="1"/>
  <c r="M874" i="1"/>
  <c r="M353" i="1"/>
  <c r="O353" i="1"/>
  <c r="N353" i="1"/>
  <c r="N1582" i="1"/>
  <c r="M1582" i="1"/>
  <c r="O1582" i="1"/>
  <c r="N1147" i="1"/>
  <c r="M1147" i="1"/>
  <c r="O1147" i="1"/>
  <c r="M404" i="1"/>
  <c r="O404" i="1"/>
  <c r="N404" i="1"/>
  <c r="O127" i="1"/>
  <c r="N127" i="1"/>
  <c r="M127" i="1"/>
  <c r="O261" i="2"/>
  <c r="M261" i="2"/>
  <c r="N261" i="2"/>
  <c r="O508" i="2"/>
  <c r="N508" i="2"/>
  <c r="M508" i="2"/>
  <c r="O1314" i="1"/>
  <c r="N1314" i="1"/>
  <c r="M1314" i="1"/>
  <c r="O214" i="1"/>
  <c r="N214" i="1"/>
  <c r="M214" i="1"/>
  <c r="M1936" i="1"/>
  <c r="O1936" i="1"/>
  <c r="N1936" i="1"/>
  <c r="O1036" i="1"/>
  <c r="N1036" i="1"/>
  <c r="M1036" i="1"/>
  <c r="O133" i="1"/>
  <c r="N133" i="1"/>
  <c r="M133" i="1"/>
  <c r="N2161" i="1"/>
  <c r="M2161" i="1"/>
  <c r="O2161" i="1"/>
  <c r="O1861" i="1"/>
  <c r="N1861" i="1"/>
  <c r="M1861" i="1"/>
  <c r="N1055" i="1"/>
  <c r="M1055" i="1"/>
  <c r="O1055" i="1"/>
  <c r="O881" i="1"/>
  <c r="N881" i="1"/>
  <c r="M881" i="1"/>
  <c r="N2234" i="1"/>
  <c r="M2234" i="1"/>
  <c r="O2234" i="1"/>
  <c r="M1934" i="1"/>
  <c r="N1934" i="1"/>
  <c r="O1934" i="1"/>
  <c r="O1553" i="1"/>
  <c r="N1553" i="1"/>
  <c r="M1553" i="1"/>
  <c r="O1172" i="1"/>
  <c r="N1172" i="1"/>
  <c r="M1172" i="1"/>
  <c r="M423" i="1"/>
  <c r="O423" i="1"/>
  <c r="N423" i="1"/>
  <c r="M2157" i="1"/>
  <c r="O2157" i="1"/>
  <c r="N2157" i="1"/>
  <c r="O2068" i="1"/>
  <c r="N2068" i="1"/>
  <c r="M2068" i="1"/>
  <c r="O986" i="1"/>
  <c r="N986" i="1"/>
  <c r="M986" i="1"/>
  <c r="M461" i="1"/>
  <c r="O461" i="1"/>
  <c r="N461" i="1"/>
  <c r="O1881" i="1"/>
  <c r="N1881" i="1"/>
  <c r="M1881" i="1"/>
  <c r="O1034" i="1"/>
  <c r="N1034" i="1"/>
  <c r="M1034" i="1"/>
  <c r="O1498" i="1"/>
  <c r="N1498" i="1"/>
  <c r="M1498" i="1"/>
  <c r="M294" i="1"/>
  <c r="O294" i="1"/>
  <c r="N294" i="1"/>
  <c r="O2089" i="1"/>
  <c r="N2089" i="1"/>
  <c r="M2089" i="1"/>
  <c r="O1807" i="1"/>
  <c r="N1807" i="1"/>
  <c r="M1807" i="1"/>
  <c r="O1515" i="1"/>
  <c r="N1515" i="1"/>
  <c r="M1515" i="1"/>
  <c r="M2138" i="1"/>
  <c r="O2138" i="1"/>
  <c r="N2138" i="1"/>
  <c r="M1461" i="1"/>
  <c r="N1461" i="1"/>
  <c r="O1461" i="1"/>
  <c r="O555" i="2"/>
  <c r="N555" i="2"/>
  <c r="M555" i="2"/>
  <c r="M489" i="2"/>
  <c r="N489" i="2"/>
  <c r="O489" i="2"/>
  <c r="O503" i="2"/>
  <c r="N503" i="2"/>
  <c r="M503" i="2"/>
  <c r="O2194" i="1"/>
  <c r="N2194" i="1"/>
  <c r="M2194" i="1"/>
  <c r="O2033" i="1"/>
  <c r="N2033" i="1"/>
  <c r="M2033" i="1"/>
  <c r="O1777" i="1"/>
  <c r="N1777" i="1"/>
  <c r="M1777" i="1"/>
  <c r="M1880" i="1"/>
  <c r="N1880" i="1"/>
  <c r="O1880" i="1"/>
  <c r="O1423" i="1"/>
  <c r="N1423" i="1"/>
  <c r="M1423" i="1"/>
  <c r="O665" i="1"/>
  <c r="M665" i="1"/>
  <c r="N665" i="1"/>
  <c r="O1159" i="1"/>
  <c r="N1159" i="1"/>
  <c r="M1159" i="1"/>
  <c r="O180" i="1"/>
  <c r="N180" i="1"/>
  <c r="M180" i="1"/>
  <c r="M433" i="2"/>
  <c r="N433" i="2"/>
  <c r="O433" i="2"/>
  <c r="N362" i="2"/>
  <c r="M362" i="2"/>
  <c r="O362" i="2"/>
  <c r="M2115" i="1"/>
  <c r="O2115" i="1"/>
  <c r="N2115" i="1"/>
  <c r="M1100" i="1"/>
  <c r="N1100" i="1"/>
  <c r="O1100" i="1"/>
  <c r="O42" i="1"/>
  <c r="M42" i="1"/>
  <c r="N42" i="1"/>
  <c r="M180" i="2"/>
  <c r="O180" i="2"/>
  <c r="N180" i="2"/>
  <c r="M2116" i="1"/>
  <c r="N2116" i="1"/>
  <c r="O2116" i="1"/>
  <c r="O1871" i="1"/>
  <c r="N1871" i="1"/>
  <c r="M1871" i="1"/>
  <c r="O1482" i="1"/>
  <c r="N1482" i="1"/>
  <c r="M1482" i="1"/>
  <c r="M389" i="1"/>
  <c r="O389" i="1"/>
  <c r="N389" i="1"/>
  <c r="O209" i="1"/>
  <c r="N209" i="1"/>
  <c r="M209" i="1"/>
  <c r="M415" i="2"/>
  <c r="O415" i="2"/>
  <c r="N415" i="2"/>
  <c r="O2254" i="1"/>
  <c r="N2254" i="1"/>
  <c r="M2254" i="1"/>
  <c r="M1904" i="1"/>
  <c r="O1904" i="1"/>
  <c r="N1904" i="1"/>
  <c r="O1865" i="1"/>
  <c r="N1865" i="1"/>
  <c r="M1865" i="1"/>
  <c r="O1687" i="1"/>
  <c r="N1687" i="1"/>
  <c r="M1687" i="1"/>
  <c r="O1988" i="1"/>
  <c r="M1988" i="1"/>
  <c r="N1988" i="1"/>
  <c r="O1053" i="1"/>
  <c r="N1053" i="1"/>
  <c r="M1053" i="1"/>
  <c r="O1583" i="1"/>
  <c r="N1583" i="1"/>
  <c r="M1583" i="1"/>
  <c r="M462" i="1"/>
  <c r="N462" i="1"/>
  <c r="O462" i="1"/>
  <c r="O31" i="1"/>
  <c r="N31" i="1"/>
  <c r="M31" i="1"/>
  <c r="O1605" i="1"/>
  <c r="N1605" i="1"/>
  <c r="M1605" i="1"/>
  <c r="O2054" i="1"/>
  <c r="N2054" i="1"/>
  <c r="M2054" i="1"/>
  <c r="O1331" i="1"/>
  <c r="N1331" i="1"/>
  <c r="M1331" i="1"/>
  <c r="O1160" i="1"/>
  <c r="N1160" i="1"/>
  <c r="M1160" i="1"/>
  <c r="O260" i="2"/>
  <c r="M260" i="2"/>
  <c r="N260" i="2"/>
  <c r="O864" i="1"/>
  <c r="N864" i="1"/>
  <c r="M864" i="1"/>
  <c r="O2294" i="1"/>
  <c r="N2294" i="1"/>
  <c r="M2294" i="1"/>
  <c r="M1491" i="1"/>
  <c r="N1491" i="1"/>
  <c r="O1491" i="1"/>
  <c r="O2076" i="1"/>
  <c r="N2076" i="1"/>
  <c r="M2076" i="1"/>
  <c r="M1898" i="1"/>
  <c r="N1898" i="1"/>
  <c r="O1898" i="1"/>
  <c r="O1654" i="1"/>
  <c r="N1654" i="1"/>
  <c r="M1654" i="1"/>
  <c r="O504" i="1"/>
  <c r="N504" i="1"/>
  <c r="M504" i="1"/>
  <c r="O657" i="1"/>
  <c r="N657" i="1"/>
  <c r="M657" i="1"/>
  <c r="M349" i="1"/>
  <c r="O349" i="1"/>
  <c r="N349" i="1"/>
  <c r="O60" i="1"/>
  <c r="N60" i="1"/>
  <c r="M60" i="1"/>
  <c r="M344" i="1"/>
  <c r="N344" i="1"/>
  <c r="O344" i="1"/>
  <c r="M330" i="1"/>
  <c r="O330" i="1"/>
  <c r="N330" i="1"/>
  <c r="O389" i="2"/>
  <c r="N389" i="2"/>
  <c r="M389" i="2"/>
  <c r="O1007" i="1"/>
  <c r="N1007" i="1"/>
  <c r="M1007" i="1"/>
  <c r="O2192" i="1"/>
  <c r="N2192" i="1"/>
  <c r="M2192" i="1"/>
  <c r="O1376" i="1"/>
  <c r="N1376" i="1"/>
  <c r="M1376" i="1"/>
  <c r="M602" i="1"/>
  <c r="O602" i="1"/>
  <c r="N602" i="1"/>
  <c r="O793" i="1"/>
  <c r="N793" i="1"/>
  <c r="M793" i="1"/>
  <c r="O967" i="1"/>
  <c r="N967" i="1"/>
  <c r="M967" i="1"/>
  <c r="O1375" i="1"/>
  <c r="N1375" i="1"/>
  <c r="M1375" i="1"/>
  <c r="M382" i="1"/>
  <c r="N382" i="1"/>
  <c r="O382" i="1"/>
  <c r="O395" i="2"/>
  <c r="N395" i="2"/>
  <c r="M395" i="2"/>
  <c r="M134" i="2"/>
  <c r="O134" i="2"/>
  <c r="N134" i="2"/>
  <c r="O2249" i="1"/>
  <c r="N2249" i="1"/>
  <c r="M2249" i="1"/>
  <c r="N2166" i="1"/>
  <c r="M2166" i="1"/>
  <c r="O2166" i="1"/>
  <c r="O1435" i="1"/>
  <c r="N1435" i="1"/>
  <c r="M1435" i="1"/>
  <c r="O675" i="1"/>
  <c r="N675" i="1"/>
  <c r="M675" i="1"/>
  <c r="O1659" i="1"/>
  <c r="N1659" i="1"/>
  <c r="M1659" i="1"/>
  <c r="O782" i="1"/>
  <c r="N782" i="1"/>
  <c r="M782" i="1"/>
  <c r="M480" i="1"/>
  <c r="N480" i="1"/>
  <c r="O480" i="1"/>
  <c r="O51" i="1"/>
  <c r="M51" i="1"/>
  <c r="N51" i="1"/>
  <c r="O2" i="2"/>
  <c r="M2" i="2"/>
  <c r="N2" i="2"/>
  <c r="O398" i="2"/>
  <c r="N398" i="2"/>
  <c r="M398" i="2"/>
  <c r="O2031" i="1"/>
  <c r="N2031" i="1"/>
  <c r="M2031" i="1"/>
  <c r="O1293" i="1"/>
  <c r="N1293" i="1"/>
  <c r="M1293" i="1"/>
  <c r="O631" i="1"/>
  <c r="M631" i="1"/>
  <c r="N631" i="1"/>
  <c r="M295" i="2"/>
  <c r="O295" i="2"/>
  <c r="N295" i="2"/>
  <c r="O207" i="1"/>
  <c r="N207" i="1"/>
  <c r="M207" i="1"/>
  <c r="O1324" i="1"/>
  <c r="N1324" i="1"/>
  <c r="M1324" i="1"/>
  <c r="O1253" i="1"/>
  <c r="N1253" i="1"/>
  <c r="M1253" i="1"/>
  <c r="O863" i="1"/>
  <c r="N863" i="1"/>
  <c r="M863" i="1"/>
  <c r="O841" i="1"/>
  <c r="N841" i="1"/>
  <c r="M841" i="1"/>
  <c r="O2077" i="1"/>
  <c r="N2077" i="1"/>
  <c r="M2077" i="1"/>
  <c r="O1546" i="1"/>
  <c r="N1546" i="1"/>
  <c r="M1546" i="1"/>
  <c r="O1608" i="1"/>
  <c r="N1608" i="1"/>
  <c r="M1608" i="1"/>
  <c r="O1454" i="1"/>
  <c r="N1454" i="1"/>
  <c r="M1454" i="1"/>
  <c r="O1408" i="1"/>
  <c r="N1408" i="1"/>
  <c r="M1408" i="1"/>
  <c r="O682" i="1"/>
  <c r="N682" i="1"/>
  <c r="M682" i="1"/>
  <c r="O1073" i="1"/>
  <c r="N1073" i="1"/>
  <c r="M1073" i="1"/>
  <c r="O228" i="1"/>
  <c r="N228" i="1"/>
  <c r="M228" i="1"/>
  <c r="O1038" i="1"/>
  <c r="N1038" i="1"/>
  <c r="M1038" i="1"/>
  <c r="O1029" i="1"/>
  <c r="N1029" i="1"/>
  <c r="M1029" i="1"/>
  <c r="O1108" i="1"/>
  <c r="N1108" i="1"/>
  <c r="M1108" i="1"/>
  <c r="O256" i="1"/>
  <c r="N256" i="1"/>
  <c r="M256" i="1"/>
  <c r="O435" i="2"/>
  <c r="N435" i="2"/>
  <c r="M435" i="2"/>
  <c r="O2245" i="1"/>
  <c r="N2245" i="1"/>
  <c r="M2245" i="1"/>
  <c r="O1981" i="1"/>
  <c r="M1981" i="1"/>
  <c r="N1981" i="1"/>
  <c r="N1213" i="1"/>
  <c r="O1213" i="1"/>
  <c r="M1213" i="1"/>
  <c r="O358" i="2"/>
  <c r="N358" i="2"/>
  <c r="M358" i="2"/>
  <c r="M545" i="2"/>
  <c r="O545" i="2"/>
  <c r="N545" i="2"/>
  <c r="O244" i="2"/>
  <c r="M244" i="2"/>
  <c r="N244" i="2"/>
  <c r="M319" i="2"/>
  <c r="O319" i="2"/>
  <c r="N319" i="2"/>
  <c r="O252" i="2"/>
  <c r="M252" i="2"/>
  <c r="N252" i="2"/>
  <c r="M94" i="2"/>
  <c r="O94" i="2"/>
  <c r="N94" i="2"/>
  <c r="O1336" i="1"/>
  <c r="N1336" i="1"/>
  <c r="M1336" i="1"/>
  <c r="O1390" i="1"/>
  <c r="N1390" i="1"/>
  <c r="M1390" i="1"/>
  <c r="O2295" i="1"/>
  <c r="N2295" i="1"/>
  <c r="M2295" i="1"/>
  <c r="O2262" i="1"/>
  <c r="N2262" i="1"/>
  <c r="M2262" i="1"/>
  <c r="M1944" i="1"/>
  <c r="O1944" i="1"/>
  <c r="N1944" i="1"/>
  <c r="O2036" i="1"/>
  <c r="N2036" i="1"/>
  <c r="M2036" i="1"/>
  <c r="O1834" i="1"/>
  <c r="N1834" i="1"/>
  <c r="M1834" i="1"/>
  <c r="O1786" i="1"/>
  <c r="N1786" i="1"/>
  <c r="M1786" i="1"/>
  <c r="O1992" i="1"/>
  <c r="M1992" i="1"/>
  <c r="N1992" i="1"/>
  <c r="M1908" i="1"/>
  <c r="O1908" i="1"/>
  <c r="N1908" i="1"/>
  <c r="O1653" i="1"/>
  <c r="N1653" i="1"/>
  <c r="M1653" i="1"/>
  <c r="O1439" i="1"/>
  <c r="N1439" i="1"/>
  <c r="M1439" i="1"/>
  <c r="O1127" i="1"/>
  <c r="N1127" i="1"/>
  <c r="M1127" i="1"/>
  <c r="O537" i="1"/>
  <c r="N537" i="1"/>
  <c r="M537" i="1"/>
  <c r="O1584" i="1"/>
  <c r="N1584" i="1"/>
  <c r="M1584" i="1"/>
  <c r="N1200" i="1"/>
  <c r="O1200" i="1"/>
  <c r="M1200" i="1"/>
  <c r="O958" i="1"/>
  <c r="N958" i="1"/>
  <c r="M958" i="1"/>
  <c r="O917" i="1"/>
  <c r="N917" i="1"/>
  <c r="M917" i="1"/>
  <c r="O747" i="1"/>
  <c r="N747" i="1"/>
  <c r="M747" i="1"/>
  <c r="N1050" i="1"/>
  <c r="M1050" i="1"/>
  <c r="O1050" i="1"/>
  <c r="O947" i="1"/>
  <c r="N947" i="1"/>
  <c r="M947" i="1"/>
  <c r="O776" i="1"/>
  <c r="N776" i="1"/>
  <c r="M776" i="1"/>
  <c r="O766" i="1"/>
  <c r="N766" i="1"/>
  <c r="M766" i="1"/>
  <c r="O902" i="1"/>
  <c r="N902" i="1"/>
  <c r="M902" i="1"/>
  <c r="M502" i="1"/>
  <c r="O502" i="1"/>
  <c r="N502" i="1"/>
  <c r="O1419" i="1"/>
  <c r="N1419" i="1"/>
  <c r="M1419" i="1"/>
  <c r="M550" i="1"/>
  <c r="O550" i="1"/>
  <c r="N550" i="1"/>
  <c r="O632" i="1"/>
  <c r="N632" i="1"/>
  <c r="M632" i="1"/>
  <c r="O1151" i="1"/>
  <c r="M1151" i="1"/>
  <c r="N1151" i="1"/>
  <c r="M433" i="1"/>
  <c r="N433" i="1"/>
  <c r="O433" i="1"/>
  <c r="M308" i="1"/>
  <c r="O308" i="1"/>
  <c r="N308" i="1"/>
  <c r="M413" i="1"/>
  <c r="O413" i="1"/>
  <c r="N413" i="1"/>
  <c r="O756" i="1"/>
  <c r="N756" i="1"/>
  <c r="M756" i="1"/>
  <c r="O849" i="1"/>
  <c r="N849" i="1"/>
  <c r="M849" i="1"/>
  <c r="O636" i="1"/>
  <c r="N636" i="1"/>
  <c r="M636" i="1"/>
  <c r="M408" i="1"/>
  <c r="N408" i="1"/>
  <c r="O408" i="1"/>
  <c r="O2118" i="1"/>
  <c r="N2118" i="1"/>
  <c r="M2118" i="1"/>
  <c r="M394" i="1"/>
  <c r="O394" i="1"/>
  <c r="N394" i="1"/>
  <c r="O235" i="1"/>
  <c r="N235" i="1"/>
  <c r="M235" i="1"/>
  <c r="M228" i="2"/>
  <c r="O228" i="2"/>
  <c r="N228" i="2"/>
  <c r="O517" i="2"/>
  <c r="N517" i="2"/>
  <c r="M517" i="2"/>
  <c r="N135" i="2"/>
  <c r="M135" i="2"/>
  <c r="O135" i="2"/>
  <c r="O667" i="1"/>
  <c r="N667" i="1"/>
  <c r="M667" i="1"/>
  <c r="O896" i="1"/>
  <c r="N896" i="1"/>
  <c r="M896" i="1"/>
  <c r="O1433" i="1"/>
  <c r="N1433" i="1"/>
  <c r="M1433" i="1"/>
  <c r="M1132" i="1"/>
  <c r="N1132" i="1"/>
  <c r="O1132" i="1"/>
  <c r="O785" i="1"/>
  <c r="N785" i="1"/>
  <c r="M785" i="1"/>
  <c r="O1249" i="1"/>
  <c r="N1249" i="1"/>
  <c r="M1249" i="1"/>
  <c r="O661" i="1"/>
  <c r="N661" i="1"/>
  <c r="M661" i="1"/>
  <c r="O806" i="1"/>
  <c r="N806" i="1"/>
  <c r="M806" i="1"/>
  <c r="O980" i="1"/>
  <c r="N980" i="1"/>
  <c r="M980" i="1"/>
  <c r="O66" i="1"/>
  <c r="N66" i="1"/>
  <c r="M66" i="1"/>
  <c r="O18" i="1"/>
  <c r="N18" i="1"/>
  <c r="M18" i="1"/>
  <c r="M264" i="1"/>
  <c r="N264" i="1"/>
  <c r="O264" i="1"/>
  <c r="M941" i="1"/>
  <c r="O941" i="1"/>
  <c r="N941" i="1"/>
  <c r="M44" i="2"/>
  <c r="N44" i="2"/>
  <c r="O44" i="2"/>
  <c r="M377" i="2"/>
  <c r="N377" i="2"/>
  <c r="O377" i="2"/>
  <c r="M220" i="2"/>
  <c r="O220" i="2"/>
  <c r="N220" i="2"/>
  <c r="O445" i="2"/>
  <c r="N445" i="2"/>
  <c r="M445" i="2"/>
  <c r="O2208" i="1"/>
  <c r="N2208" i="1"/>
  <c r="M2208" i="1"/>
  <c r="M2133" i="1"/>
  <c r="O2133" i="1"/>
  <c r="N2133" i="1"/>
  <c r="O2010" i="1"/>
  <c r="M2010" i="1"/>
  <c r="N2010" i="1"/>
  <c r="O77" i="1"/>
  <c r="M77" i="1"/>
  <c r="N77" i="1"/>
  <c r="M698" i="1"/>
  <c r="O698" i="1"/>
  <c r="N698" i="1"/>
  <c r="O1382" i="1"/>
  <c r="N1382" i="1"/>
  <c r="M1382" i="1"/>
  <c r="O1511" i="1"/>
  <c r="N1511" i="1"/>
  <c r="M1511" i="1"/>
  <c r="O332" i="1"/>
  <c r="N332" i="1"/>
  <c r="M332" i="1"/>
  <c r="O798" i="1"/>
  <c r="N798" i="1"/>
  <c r="M798" i="1"/>
  <c r="O962" i="1"/>
  <c r="N962" i="1"/>
  <c r="M962" i="1"/>
  <c r="O451" i="1"/>
  <c r="N451" i="1"/>
  <c r="M451" i="1"/>
  <c r="O734" i="1"/>
  <c r="N734" i="1"/>
  <c r="M734" i="1"/>
  <c r="M110" i="2"/>
  <c r="O110" i="2"/>
  <c r="N110" i="2"/>
  <c r="O2183" i="1"/>
  <c r="N2183" i="1"/>
  <c r="M2183" i="1"/>
  <c r="M2151" i="1"/>
  <c r="O2151" i="1"/>
  <c r="N2151" i="1"/>
  <c r="O985" i="1"/>
  <c r="N985" i="1"/>
  <c r="M985" i="1"/>
  <c r="O1437" i="1"/>
  <c r="N1437" i="1"/>
  <c r="M1437" i="1"/>
  <c r="O731" i="1"/>
  <c r="N731" i="1"/>
  <c r="M731" i="1"/>
  <c r="N1066" i="1"/>
  <c r="M1066" i="1"/>
  <c r="O1066" i="1"/>
  <c r="O966" i="1"/>
  <c r="N966" i="1"/>
  <c r="M966" i="1"/>
  <c r="O1780" i="1"/>
  <c r="N1780" i="1"/>
  <c r="M1780" i="1"/>
  <c r="M1915" i="1"/>
  <c r="O1915" i="1"/>
  <c r="N1915" i="1"/>
  <c r="O2008" i="1"/>
  <c r="N2008" i="1"/>
  <c r="M2008" i="1"/>
  <c r="O1663" i="1"/>
  <c r="N1663" i="1"/>
  <c r="M1663" i="1"/>
  <c r="M1084" i="1"/>
  <c r="N1084" i="1"/>
  <c r="O1084" i="1"/>
  <c r="O933" i="1"/>
  <c r="N933" i="1"/>
  <c r="M933" i="1"/>
  <c r="O943" i="1"/>
  <c r="N943" i="1"/>
  <c r="M943" i="1"/>
  <c r="O899" i="1"/>
  <c r="N899" i="1"/>
  <c r="M899" i="1"/>
  <c r="O62" i="1"/>
  <c r="N62" i="1"/>
  <c r="M62" i="1"/>
  <c r="O149" i="1"/>
  <c r="N149" i="1"/>
  <c r="M149" i="1"/>
  <c r="O1445" i="1"/>
  <c r="N1445" i="1"/>
  <c r="M1445" i="1"/>
  <c r="O1910" i="1"/>
  <c r="N1910" i="1"/>
  <c r="M1910" i="1"/>
  <c r="O1471" i="1"/>
  <c r="N1471" i="1"/>
  <c r="M1471" i="1"/>
  <c r="O760" i="1"/>
  <c r="N760" i="1"/>
  <c r="M760" i="1"/>
  <c r="O1113" i="1"/>
  <c r="N1113" i="1"/>
  <c r="M1113" i="1"/>
  <c r="O669" i="1"/>
  <c r="N669" i="1"/>
  <c r="M669" i="1"/>
  <c r="M293" i="1"/>
  <c r="O293" i="1"/>
  <c r="N293" i="1"/>
  <c r="O903" i="1"/>
  <c r="N903" i="1"/>
  <c r="M903" i="1"/>
  <c r="M427" i="1"/>
  <c r="O427" i="1"/>
  <c r="N427" i="1"/>
  <c r="O363" i="2"/>
  <c r="N363" i="2"/>
  <c r="M363" i="2"/>
  <c r="M247" i="2"/>
  <c r="O247" i="2"/>
  <c r="N247" i="2"/>
  <c r="O397" i="2"/>
  <c r="M397" i="2"/>
  <c r="N397" i="2"/>
  <c r="O1950" i="1"/>
  <c r="N1950" i="1"/>
  <c r="M1950" i="1"/>
  <c r="O2265" i="1"/>
  <c r="N2265" i="1"/>
  <c r="M2265" i="1"/>
  <c r="N2080" i="1"/>
  <c r="M2080" i="1"/>
  <c r="O2080" i="1"/>
  <c r="M1939" i="1"/>
  <c r="O1939" i="1"/>
  <c r="N1939" i="1"/>
  <c r="O1872" i="1"/>
  <c r="N1872" i="1"/>
  <c r="M1872" i="1"/>
  <c r="O1801" i="1"/>
  <c r="N1801" i="1"/>
  <c r="M1801" i="1"/>
  <c r="M1737" i="1"/>
  <c r="O1737" i="1"/>
  <c r="N1737" i="1"/>
  <c r="M1909" i="1"/>
  <c r="O1909" i="1"/>
  <c r="N1909" i="1"/>
  <c r="M1914" i="1"/>
  <c r="N1914" i="1"/>
  <c r="O1914" i="1"/>
  <c r="O1581" i="1"/>
  <c r="N1581" i="1"/>
  <c r="M1581" i="1"/>
  <c r="O1657" i="1"/>
  <c r="N1657" i="1"/>
  <c r="M1657" i="1"/>
  <c r="O1337" i="1"/>
  <c r="N1337" i="1"/>
  <c r="M1337" i="1"/>
  <c r="O1598" i="1"/>
  <c r="N1598" i="1"/>
  <c r="M1598" i="1"/>
  <c r="M1091" i="1"/>
  <c r="N1091" i="1"/>
  <c r="O1091" i="1"/>
  <c r="N1211" i="1"/>
  <c r="O1211" i="1"/>
  <c r="M1211" i="1"/>
  <c r="O1300" i="1"/>
  <c r="N1300" i="1"/>
  <c r="M1300" i="1"/>
  <c r="M1057" i="1"/>
  <c r="O1057" i="1"/>
  <c r="N1057" i="1"/>
  <c r="O1037" i="1"/>
  <c r="N1037" i="1"/>
  <c r="M1037" i="1"/>
  <c r="O775" i="1"/>
  <c r="N775" i="1"/>
  <c r="M775" i="1"/>
  <c r="O653" i="1"/>
  <c r="N653" i="1"/>
  <c r="M653" i="1"/>
  <c r="O876" i="1"/>
  <c r="N876" i="1"/>
  <c r="M876" i="1"/>
  <c r="O680" i="1"/>
  <c r="N680" i="1"/>
  <c r="M680" i="1"/>
  <c r="M585" i="1"/>
  <c r="N585" i="1"/>
  <c r="O585" i="1"/>
  <c r="O677" i="1"/>
  <c r="N677" i="1"/>
  <c r="M677" i="1"/>
  <c r="O769" i="1"/>
  <c r="N769" i="1"/>
  <c r="M769" i="1"/>
  <c r="M2150" i="1"/>
  <c r="O2150" i="1"/>
  <c r="N2150" i="1"/>
  <c r="O987" i="1"/>
  <c r="N987" i="1"/>
  <c r="M987" i="1"/>
  <c r="O801" i="1"/>
  <c r="N801" i="1"/>
  <c r="M801" i="1"/>
  <c r="O59" i="1"/>
  <c r="N59" i="1"/>
  <c r="M59" i="1"/>
  <c r="M336" i="1"/>
  <c r="N336" i="1"/>
  <c r="O336" i="1"/>
  <c r="M322" i="1"/>
  <c r="O322" i="1"/>
  <c r="N322" i="1"/>
  <c r="M122" i="2"/>
  <c r="N122" i="2"/>
  <c r="O122" i="2"/>
  <c r="O177" i="2"/>
  <c r="M177" i="2"/>
  <c r="N177" i="2"/>
  <c r="O366" i="2"/>
  <c r="N366" i="2"/>
  <c r="M366" i="2"/>
  <c r="M561" i="2"/>
  <c r="O561" i="2"/>
  <c r="N561" i="2"/>
  <c r="M431" i="2"/>
  <c r="O431" i="2"/>
  <c r="N431" i="2"/>
  <c r="O2201" i="1"/>
  <c r="N2201" i="1"/>
  <c r="M2201" i="1"/>
  <c r="O2244" i="1"/>
  <c r="N2244" i="1"/>
  <c r="M2244" i="1"/>
  <c r="M2099" i="1"/>
  <c r="O2099" i="1"/>
  <c r="N2099" i="1"/>
  <c r="O2250" i="1"/>
  <c r="N2250" i="1"/>
  <c r="M2250" i="1"/>
  <c r="M2141" i="1"/>
  <c r="O2141" i="1"/>
  <c r="N2141" i="1"/>
  <c r="O2047" i="1"/>
  <c r="N2047" i="1"/>
  <c r="M2047" i="1"/>
  <c r="O110" i="1"/>
  <c r="N110" i="1"/>
  <c r="M110" i="1"/>
  <c r="O1848" i="1"/>
  <c r="N1848" i="1"/>
  <c r="M1848" i="1"/>
  <c r="M1874" i="1"/>
  <c r="O1874" i="1"/>
  <c r="N1874" i="1"/>
  <c r="O1667" i="1"/>
  <c r="N1667" i="1"/>
  <c r="M1667" i="1"/>
  <c r="O1247" i="1"/>
  <c r="N1247" i="1"/>
  <c r="M1247" i="1"/>
  <c r="N1087" i="1"/>
  <c r="M1087" i="1"/>
  <c r="O1087" i="1"/>
  <c r="O1182" i="1"/>
  <c r="N1182" i="1"/>
  <c r="M1182" i="1"/>
  <c r="O707" i="1"/>
  <c r="N707" i="1"/>
  <c r="M707" i="1"/>
  <c r="O931" i="1"/>
  <c r="N931" i="1"/>
  <c r="M931" i="1"/>
  <c r="O746" i="1"/>
  <c r="N746" i="1"/>
  <c r="M746" i="1"/>
  <c r="O749" i="1"/>
  <c r="N749" i="1"/>
  <c r="M749" i="1"/>
  <c r="O866" i="1"/>
  <c r="N866" i="1"/>
  <c r="M866" i="1"/>
  <c r="O1074" i="1"/>
  <c r="N1074" i="1"/>
  <c r="M1074" i="1"/>
  <c r="O10" i="1"/>
  <c r="M10" i="1"/>
  <c r="N10" i="1"/>
  <c r="M314" i="1"/>
  <c r="O314" i="1"/>
  <c r="N314" i="1"/>
  <c r="O421" i="2"/>
  <c r="N421" i="2"/>
  <c r="M421" i="2"/>
  <c r="M359" i="2"/>
  <c r="O359" i="2"/>
  <c r="N359" i="2"/>
  <c r="O2240" i="1"/>
  <c r="N2240" i="1"/>
  <c r="M2240" i="1"/>
  <c r="O2045" i="1"/>
  <c r="N2045" i="1"/>
  <c r="M2045" i="1"/>
  <c r="O1693" i="1"/>
  <c r="N1693" i="1"/>
  <c r="M1693" i="1"/>
  <c r="O1641" i="1"/>
  <c r="N1641" i="1"/>
  <c r="M1641" i="1"/>
  <c r="O1816" i="1"/>
  <c r="N1816" i="1"/>
  <c r="M1816" i="1"/>
  <c r="M1096" i="1"/>
  <c r="O1096" i="1"/>
  <c r="N1096" i="1"/>
  <c r="O1021" i="1"/>
  <c r="N1021" i="1"/>
  <c r="M1021" i="1"/>
  <c r="O799" i="1"/>
  <c r="N799" i="1"/>
  <c r="M799" i="1"/>
  <c r="O929" i="1"/>
  <c r="N929" i="1"/>
  <c r="M929" i="1"/>
  <c r="O1043" i="1"/>
  <c r="N1043" i="1"/>
  <c r="M1043" i="1"/>
  <c r="O982" i="1"/>
  <c r="N982" i="1"/>
  <c r="M982" i="1"/>
  <c r="O1086" i="1"/>
  <c r="N1086" i="1"/>
  <c r="M1086" i="1"/>
  <c r="O607" i="1"/>
  <c r="M607" i="1"/>
  <c r="N607" i="1"/>
  <c r="M348" i="1"/>
  <c r="O348" i="1"/>
  <c r="N348" i="1"/>
  <c r="M261" i="1"/>
  <c r="O261" i="1"/>
  <c r="N261" i="1"/>
  <c r="M516" i="1"/>
  <c r="O516" i="1"/>
  <c r="N516" i="1"/>
  <c r="M263" i="1"/>
  <c r="O263" i="1"/>
  <c r="N263" i="1"/>
  <c r="O49" i="1"/>
  <c r="N49" i="1"/>
  <c r="M49" i="1"/>
  <c r="M270" i="1"/>
  <c r="O270" i="1"/>
  <c r="N270" i="1"/>
  <c r="O196" i="1"/>
  <c r="N196" i="1"/>
  <c r="M196" i="1"/>
  <c r="O246" i="2"/>
  <c r="N246" i="2"/>
  <c r="M246" i="2"/>
  <c r="O502" i="2"/>
  <c r="N502" i="2"/>
  <c r="M502" i="2"/>
  <c r="M321" i="2"/>
  <c r="N321" i="2"/>
  <c r="O321" i="2"/>
  <c r="N506" i="2"/>
  <c r="M506" i="2"/>
  <c r="O506" i="2"/>
  <c r="O1742" i="1"/>
  <c r="M1742" i="1"/>
  <c r="N1742" i="1"/>
  <c r="O1271" i="1"/>
  <c r="N1271" i="1"/>
  <c r="M1271" i="1"/>
  <c r="O1313" i="1"/>
  <c r="N1313" i="1"/>
  <c r="M1313" i="1"/>
  <c r="O854" i="1"/>
  <c r="N854" i="1"/>
  <c r="M854" i="1"/>
  <c r="M561" i="1"/>
  <c r="N561" i="1"/>
  <c r="O561" i="1"/>
  <c r="O652" i="1"/>
  <c r="N652" i="1"/>
  <c r="M652" i="1"/>
  <c r="M327" i="1"/>
  <c r="O327" i="1"/>
  <c r="N327" i="1"/>
  <c r="O36" i="2"/>
  <c r="N36" i="2"/>
  <c r="M36" i="2"/>
  <c r="M2221" i="1"/>
  <c r="O2221" i="1"/>
  <c r="N2221" i="1"/>
  <c r="M1927" i="1"/>
  <c r="O1927" i="1"/>
  <c r="N1927" i="1"/>
  <c r="O1506" i="1"/>
  <c r="N1506" i="1"/>
  <c r="M1506" i="1"/>
  <c r="O946" i="1"/>
  <c r="N946" i="1"/>
  <c r="M946" i="1"/>
  <c r="O913" i="1"/>
  <c r="N913" i="1"/>
  <c r="M913" i="1"/>
  <c r="M448" i="1"/>
  <c r="N448" i="1"/>
  <c r="O448" i="1"/>
  <c r="M347" i="1"/>
  <c r="O347" i="1"/>
  <c r="N347" i="1"/>
  <c r="O388" i="2"/>
  <c r="M388" i="2"/>
  <c r="N388" i="2"/>
  <c r="O2197" i="1"/>
  <c r="N2197" i="1"/>
  <c r="M2197" i="1"/>
  <c r="M1926" i="1"/>
  <c r="N1926" i="1"/>
  <c r="O1926" i="1"/>
  <c r="M1748" i="1"/>
  <c r="O1748" i="1"/>
  <c r="N1748" i="1"/>
  <c r="O808" i="1"/>
  <c r="N808" i="1"/>
  <c r="M808" i="1"/>
  <c r="M346" i="1"/>
  <c r="O346" i="1"/>
  <c r="N346" i="1"/>
  <c r="M519" i="2"/>
  <c r="O519" i="2"/>
  <c r="N519" i="2"/>
  <c r="O2297" i="1"/>
  <c r="N2297" i="1"/>
  <c r="M2297" i="1"/>
  <c r="N2160" i="1"/>
  <c r="M2160" i="1"/>
  <c r="O2160" i="1"/>
  <c r="O2163" i="1"/>
  <c r="N2163" i="1"/>
  <c r="M2163" i="1"/>
  <c r="O1245" i="1"/>
  <c r="N1245" i="1"/>
  <c r="M1245" i="1"/>
  <c r="O852" i="1"/>
  <c r="N852" i="1"/>
  <c r="M852" i="1"/>
  <c r="O658" i="1"/>
  <c r="N658" i="1"/>
  <c r="M658" i="1"/>
  <c r="O230" i="1"/>
  <c r="N230" i="1"/>
  <c r="M230" i="1"/>
  <c r="M1935" i="1"/>
  <c r="O1935" i="1"/>
  <c r="N1935" i="1"/>
  <c r="O1698" i="1"/>
  <c r="N1698" i="1"/>
  <c r="M1698" i="1"/>
  <c r="O1604" i="1"/>
  <c r="N1604" i="1"/>
  <c r="M1604" i="1"/>
  <c r="O1697" i="1"/>
  <c r="N1697" i="1"/>
  <c r="M1697" i="1"/>
  <c r="O977" i="1"/>
  <c r="N977" i="1"/>
  <c r="M977" i="1"/>
  <c r="O950" i="1"/>
  <c r="N950" i="1"/>
  <c r="M950" i="1"/>
  <c r="M447" i="1"/>
  <c r="O447" i="1"/>
  <c r="N447" i="1"/>
  <c r="O1140" i="1"/>
  <c r="N1140" i="1"/>
  <c r="M1140" i="1"/>
  <c r="M455" i="1"/>
  <c r="O455" i="1"/>
  <c r="N455" i="1"/>
  <c r="M529" i="2"/>
  <c r="N529" i="2"/>
  <c r="O529" i="2"/>
  <c r="O923" i="1"/>
  <c r="N923" i="1"/>
  <c r="M923" i="1"/>
  <c r="O1690" i="1"/>
  <c r="N1690" i="1"/>
  <c r="M1690" i="1"/>
  <c r="O1377" i="1"/>
  <c r="N1377" i="1"/>
  <c r="M1377" i="1"/>
  <c r="O723" i="1"/>
  <c r="N723" i="1"/>
  <c r="M723" i="1"/>
  <c r="M479" i="1"/>
  <c r="O479" i="1"/>
  <c r="N479" i="1"/>
  <c r="M301" i="1"/>
  <c r="O301" i="1"/>
  <c r="N301" i="1"/>
  <c r="M296" i="1"/>
  <c r="N296" i="1"/>
  <c r="O296" i="1"/>
  <c r="M115" i="2"/>
  <c r="N115" i="2"/>
  <c r="O115" i="2"/>
  <c r="N226" i="2"/>
  <c r="M226" i="2"/>
  <c r="O226" i="2"/>
  <c r="O1588" i="1"/>
  <c r="N1588" i="1"/>
  <c r="M1588" i="1"/>
  <c r="O2078" i="1"/>
  <c r="N2078" i="1"/>
  <c r="M2078" i="1"/>
  <c r="O2113" i="1"/>
  <c r="N2113" i="1"/>
  <c r="M2113" i="1"/>
  <c r="M536" i="1"/>
  <c r="O536" i="1"/>
  <c r="N536" i="1"/>
  <c r="O1145" i="1"/>
  <c r="N1145" i="1"/>
  <c r="M1145" i="1"/>
  <c r="O751" i="1"/>
  <c r="N751" i="1"/>
  <c r="M751" i="1"/>
  <c r="O2189" i="1"/>
  <c r="N2189" i="1"/>
  <c r="M2189" i="1"/>
  <c r="O268" i="1"/>
  <c r="N268" i="1"/>
  <c r="M268" i="1"/>
  <c r="N266" i="2"/>
  <c r="M266" i="2"/>
  <c r="O266" i="2"/>
  <c r="M46" i="2"/>
  <c r="O46" i="2"/>
  <c r="N46" i="2"/>
  <c r="M2226" i="1"/>
  <c r="O2226" i="1"/>
  <c r="N2226" i="1"/>
  <c r="O2175" i="1"/>
  <c r="N2175" i="1"/>
  <c r="M2175" i="1"/>
  <c r="O1830" i="1"/>
  <c r="N1830" i="1"/>
  <c r="M1830" i="1"/>
  <c r="O1550" i="1"/>
  <c r="N1550" i="1"/>
  <c r="M1550" i="1"/>
  <c r="O1233" i="1"/>
  <c r="N1233" i="1"/>
  <c r="M1233" i="1"/>
  <c r="O1134" i="1"/>
  <c r="N1134" i="1"/>
  <c r="M1134" i="1"/>
  <c r="M512" i="1"/>
  <c r="O512" i="1"/>
  <c r="N512" i="1"/>
  <c r="M376" i="1"/>
  <c r="N376" i="1"/>
  <c r="O376" i="1"/>
  <c r="N386" i="2"/>
  <c r="M386" i="2"/>
  <c r="O386" i="2"/>
  <c r="N2231" i="1"/>
  <c r="M2231" i="1"/>
  <c r="O2231" i="1"/>
  <c r="O2104" i="1"/>
  <c r="N2104" i="1"/>
  <c r="M2104" i="1"/>
  <c r="N1733" i="1"/>
  <c r="M1733" i="1"/>
  <c r="O1733" i="1"/>
  <c r="N1199" i="1"/>
  <c r="O1199" i="1"/>
  <c r="M1199" i="1"/>
  <c r="O2079" i="1"/>
  <c r="N2079" i="1"/>
  <c r="M2079" i="1"/>
  <c r="M507" i="1"/>
  <c r="O507" i="1"/>
  <c r="N507" i="1"/>
  <c r="O197" i="1"/>
  <c r="N197" i="1"/>
  <c r="M197" i="1"/>
  <c r="O478" i="2"/>
  <c r="N478" i="2"/>
  <c r="M478" i="2"/>
  <c r="M335" i="2"/>
  <c r="O335" i="2"/>
  <c r="N335" i="2"/>
  <c r="O2205" i="1"/>
  <c r="N2205" i="1"/>
  <c r="M2205" i="1"/>
  <c r="N2232" i="1"/>
  <c r="M2232" i="1"/>
  <c r="O2232" i="1"/>
  <c r="O1852" i="1"/>
  <c r="N1852" i="1"/>
  <c r="M1852" i="1"/>
  <c r="O1724" i="1"/>
  <c r="N1724" i="1"/>
  <c r="M1724" i="1"/>
  <c r="O1441" i="1"/>
  <c r="N1441" i="1"/>
  <c r="M1441" i="1"/>
  <c r="O649" i="1"/>
  <c r="M649" i="1"/>
  <c r="N649" i="1"/>
  <c r="M367" i="1"/>
  <c r="O367" i="1"/>
  <c r="N367" i="1"/>
  <c r="O160" i="2"/>
  <c r="N160" i="2"/>
  <c r="M160" i="2"/>
  <c r="M473" i="2"/>
  <c r="O473" i="2"/>
  <c r="N473" i="2"/>
  <c r="N354" i="2"/>
  <c r="M354" i="2"/>
  <c r="O354" i="2"/>
  <c r="O1965" i="1"/>
  <c r="M1965" i="1"/>
  <c r="N1965" i="1"/>
  <c r="O1795" i="1"/>
  <c r="N1795" i="1"/>
  <c r="M1795" i="1"/>
  <c r="M1867" i="1"/>
  <c r="N1867" i="1"/>
  <c r="O1867" i="1"/>
  <c r="O1533" i="1"/>
  <c r="N1533" i="1"/>
  <c r="M1533" i="1"/>
  <c r="O1702" i="1"/>
  <c r="N1702" i="1"/>
  <c r="M1702" i="1"/>
  <c r="M1168" i="1"/>
  <c r="O1168" i="1"/>
  <c r="N1168" i="1"/>
  <c r="O719" i="1"/>
  <c r="N719" i="1"/>
  <c r="M719" i="1"/>
  <c r="O662" i="1"/>
  <c r="N662" i="1"/>
  <c r="M662" i="1"/>
  <c r="M508" i="1"/>
  <c r="O508" i="1"/>
  <c r="N508" i="1"/>
  <c r="M2129" i="1"/>
  <c r="O2129" i="1"/>
  <c r="N2129" i="1"/>
  <c r="O29" i="1"/>
  <c r="N29" i="1"/>
  <c r="M29" i="1"/>
  <c r="O2059" i="1"/>
  <c r="N2059" i="1"/>
  <c r="M2059" i="1"/>
  <c r="O1631" i="1"/>
  <c r="N1631" i="1"/>
  <c r="M1631" i="1"/>
  <c r="O1389" i="1"/>
  <c r="N1389" i="1"/>
  <c r="M1389" i="1"/>
  <c r="O1239" i="1"/>
  <c r="N1239" i="1"/>
  <c r="M1239" i="1"/>
  <c r="M1092" i="1"/>
  <c r="O1092" i="1"/>
  <c r="N1092" i="1"/>
  <c r="O1013" i="1"/>
  <c r="N1013" i="1"/>
  <c r="M1013" i="1"/>
  <c r="O1078" i="1"/>
  <c r="N1078" i="1"/>
  <c r="M1078" i="1"/>
  <c r="M1756" i="1"/>
  <c r="O1756" i="1"/>
  <c r="N1756" i="1"/>
  <c r="O104" i="1"/>
  <c r="N104" i="1"/>
  <c r="M104" i="1"/>
  <c r="O169" i="1"/>
  <c r="N169" i="1"/>
  <c r="M169" i="1"/>
  <c r="O236" i="1"/>
  <c r="N236" i="1"/>
  <c r="M236" i="1"/>
  <c r="O379" i="2"/>
  <c r="N379" i="2"/>
  <c r="M379" i="2"/>
  <c r="M535" i="2"/>
  <c r="O535" i="2"/>
  <c r="N535" i="2"/>
  <c r="O2005" i="1"/>
  <c r="M2005" i="1"/>
  <c r="N2005" i="1"/>
  <c r="O1458" i="1"/>
  <c r="N1458" i="1"/>
  <c r="M1458" i="1"/>
  <c r="O1394" i="1"/>
  <c r="N1394" i="1"/>
  <c r="M1394" i="1"/>
  <c r="O1483" i="1"/>
  <c r="N1483" i="1"/>
  <c r="M1483" i="1"/>
  <c r="O2083" i="1"/>
  <c r="N2083" i="1"/>
  <c r="M2083" i="1"/>
  <c r="M452" i="1"/>
  <c r="N452" i="1"/>
  <c r="O452" i="1"/>
  <c r="O71" i="1"/>
  <c r="N71" i="1"/>
  <c r="M71" i="1"/>
  <c r="O160" i="1"/>
  <c r="M160" i="1"/>
  <c r="N160" i="1"/>
  <c r="M68" i="2"/>
  <c r="N68" i="2"/>
  <c r="O68" i="2"/>
  <c r="M452" i="2"/>
  <c r="O452" i="2"/>
  <c r="N452" i="2"/>
  <c r="O2111" i="1"/>
  <c r="N2111" i="1"/>
  <c r="M2111" i="1"/>
  <c r="M1883" i="1"/>
  <c r="O1883" i="1"/>
  <c r="N1883" i="1"/>
  <c r="O635" i="1"/>
  <c r="M635" i="1"/>
  <c r="N635" i="1"/>
  <c r="O878" i="1"/>
  <c r="N878" i="1"/>
  <c r="M878" i="1"/>
  <c r="M388" i="1"/>
  <c r="O388" i="1"/>
  <c r="N388" i="1"/>
  <c r="O387" i="2"/>
  <c r="M387" i="2"/>
  <c r="N387" i="2"/>
  <c r="O137" i="1"/>
  <c r="N137" i="1"/>
  <c r="M137" i="1"/>
  <c r="O2015" i="1"/>
  <c r="M2015" i="1"/>
  <c r="N2015" i="1"/>
  <c r="M1727" i="1"/>
  <c r="O1727" i="1"/>
  <c r="N1727" i="1"/>
  <c r="O1615" i="1"/>
  <c r="N1615" i="1"/>
  <c r="M1615" i="1"/>
  <c r="O1163" i="1"/>
  <c r="N1163" i="1"/>
  <c r="M1163" i="1"/>
  <c r="O1436" i="1"/>
  <c r="N1436" i="1"/>
  <c r="M1436" i="1"/>
  <c r="O1142" i="1"/>
  <c r="N1142" i="1"/>
  <c r="M1142" i="1"/>
  <c r="M581" i="1"/>
  <c r="N581" i="1"/>
  <c r="O581" i="1"/>
  <c r="M580" i="1"/>
  <c r="O580" i="1"/>
  <c r="N580" i="1"/>
  <c r="O246" i="1"/>
  <c r="N246" i="1"/>
  <c r="M246" i="1"/>
</calcChain>
</file>

<file path=xl/sharedStrings.xml><?xml version="1.0" encoding="utf-8"?>
<sst xmlns="http://schemas.openxmlformats.org/spreadsheetml/2006/main" count="61" uniqueCount="30">
  <si>
    <t>lambda</t>
  </si>
  <si>
    <t>Re</t>
  </si>
  <si>
    <t>x</t>
  </si>
  <si>
    <t>Cq</t>
  </si>
  <si>
    <t>Simulation</t>
  </si>
  <si>
    <t>AoA</t>
  </si>
  <si>
    <t>Fluid Velocity</t>
  </si>
  <si>
    <t>Suction Length</t>
  </si>
  <si>
    <t>Suction Angle</t>
  </si>
  <si>
    <t>Suction Velocity</t>
  </si>
  <si>
    <t>Suction Velocity X</t>
  </si>
  <si>
    <t>Suction Velocity Y</t>
  </si>
  <si>
    <t>Chord</t>
  </si>
  <si>
    <t>m</t>
  </si>
  <si>
    <t>Viscosity</t>
  </si>
  <si>
    <t>Pa·s</t>
  </si>
  <si>
    <t>Density</t>
  </si>
  <si>
    <t>kg/m^2</t>
  </si>
  <si>
    <t>Fluid Velocity X</t>
  </si>
  <si>
    <t>Fluid Velocity Y</t>
  </si>
  <si>
    <t>Mach &lt; 0.1</t>
  </si>
  <si>
    <t>Sound Speed</t>
  </si>
  <si>
    <t>m/s</t>
  </si>
  <si>
    <t>Mach Number</t>
  </si>
  <si>
    <t>0.1</t>
  </si>
  <si>
    <t>Eddy Lenght</t>
  </si>
  <si>
    <t>Eddy Intensity</t>
  </si>
  <si>
    <t>CL_Mean</t>
  </si>
  <si>
    <t>CD_Mean</t>
  </si>
  <si>
    <t>CL/CD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</si>
</sst>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0" fontId="1" fillId="0" borderId="1" xfId="1"/>
    <xf numFmtId="0" fontId="2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1" applyFont="1" applyAlignment="1">
      <alignment horizontal="center"/>
    </xf>
    <xf numFmtId="0" fontId="0" fillId="2" borderId="0" xfId="0" applyFill="1" applyAlignment="1">
      <alignment horizontal="center"/>
    </xf>
    <xf numFmtId="0" fontId="2" fillId="0" borderId="1" xfId="1" applyFont="1" applyAlignment="1">
      <alignment horizontal="left"/>
    </xf>
    <xf numFmtId="164" fontId="1" fillId="0" borderId="1" xfId="1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2" borderId="1" xfId="1" applyFill="1" applyAlignment="1">
      <alignment horizontal="center"/>
    </xf>
    <xf numFmtId="0" fontId="2" fillId="0" borderId="1" xfId="1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0" fillId="0" borderId="1" xfId="0" applyNumberFormat="1" applyBorder="1" applyAlignment="1">
      <alignment horizontal="center"/>
    </xf>
    <xf numFmtId="164" fontId="1" fillId="0" borderId="0" xfId="1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4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14"/>
  <sheetViews>
    <sheetView zoomScale="70" zoomScaleNormal="70" workbookViewId="0">
      <pane ySplit="1" topLeftCell="A20" activePane="bottomLeft" state="frozen"/>
      <selection pane="bottomLeft" activeCell="A1326" activeCellId="1" sqref="A471:XFD471 A1326:XFD1326"/>
    </sheetView>
  </sheetViews>
  <sheetFormatPr baseColWidth="10" defaultColWidth="8.7265625" defaultRowHeight="14.5" x14ac:dyDescent="0.35"/>
  <cols>
    <col min="1" max="1" width="14.26953125" style="9" bestFit="1" customWidth="1"/>
    <col min="2" max="2" width="11.6328125" style="5" bestFit="1" customWidth="1"/>
    <col min="3" max="3" width="10.08984375" style="5" customWidth="1"/>
    <col min="4" max="4" width="10" style="5" bestFit="1" customWidth="1"/>
    <col min="5" max="5" width="6.08984375" style="5" customWidth="1"/>
    <col min="6" max="6" width="9.453125" style="5" bestFit="1" customWidth="1"/>
    <col min="7" max="7" width="18.36328125" style="5" bestFit="1" customWidth="1"/>
    <col min="8" max="8" width="16.453125" style="5" customWidth="1"/>
    <col min="9" max="9" width="16.54296875" style="5" bestFit="1" customWidth="1"/>
    <col min="10" max="10" width="19.1796875" style="5" bestFit="1" customWidth="1"/>
    <col min="11" max="11" width="18.36328125" style="5" bestFit="1" customWidth="1"/>
    <col min="12" max="12" width="20.36328125" style="5" bestFit="1" customWidth="1"/>
    <col min="13" max="13" width="15.81640625" style="5" bestFit="1" customWidth="1"/>
    <col min="14" max="14" width="19.453125" style="5" customWidth="1"/>
    <col min="15" max="15" width="20.08984375" style="5" bestFit="1" customWidth="1"/>
    <col min="16" max="16" width="15.453125" style="5" customWidth="1"/>
    <col min="17" max="17" width="16.08984375" style="5" bestFit="1" customWidth="1"/>
    <col min="18" max="19" width="8.7265625" style="5"/>
    <col min="20" max="20" width="12.7265625" style="5" bestFit="1" customWidth="1"/>
    <col min="21" max="16384" width="8.7265625" style="5"/>
  </cols>
  <sheetData>
    <row r="1" spans="1:22" x14ac:dyDescent="0.35">
      <c r="A1" s="7" t="s">
        <v>4</v>
      </c>
      <c r="B1" s="7" t="s">
        <v>0</v>
      </c>
      <c r="C1" s="7" t="s">
        <v>1</v>
      </c>
      <c r="D1" s="7" t="s">
        <v>5</v>
      </c>
      <c r="E1" s="7" t="s">
        <v>2</v>
      </c>
      <c r="F1" s="7" t="s">
        <v>3</v>
      </c>
      <c r="G1" s="8" t="s">
        <v>6</v>
      </c>
      <c r="H1" s="10" t="s">
        <v>18</v>
      </c>
      <c r="I1" s="10" t="s">
        <v>19</v>
      </c>
      <c r="J1" s="8" t="s">
        <v>7</v>
      </c>
      <c r="K1" s="8" t="s">
        <v>8</v>
      </c>
      <c r="L1" s="8" t="s">
        <v>9</v>
      </c>
      <c r="M1" s="8" t="s">
        <v>20</v>
      </c>
      <c r="N1" s="8" t="s">
        <v>10</v>
      </c>
      <c r="O1" s="8" t="s">
        <v>11</v>
      </c>
      <c r="P1" s="7" t="s">
        <v>27</v>
      </c>
      <c r="Q1" s="7" t="s">
        <v>28</v>
      </c>
      <c r="R1" s="7" t="s">
        <v>29</v>
      </c>
    </row>
    <row r="2" spans="1:22" s="6" customFormat="1" x14ac:dyDescent="0.35">
      <c r="A2" s="14">
        <v>1</v>
      </c>
      <c r="B2" s="6">
        <v>0.5</v>
      </c>
      <c r="C2" s="6">
        <v>2000000</v>
      </c>
      <c r="D2" s="6">
        <v>0</v>
      </c>
      <c r="E2" s="6">
        <v>0</v>
      </c>
      <c r="F2" s="6">
        <v>0</v>
      </c>
      <c r="G2" s="11">
        <f t="shared" ref="G2:G65" si="0">(C2*$U$4)/($U$5*$U$3)</f>
        <v>29.387755102040813</v>
      </c>
      <c r="H2" s="11">
        <f t="shared" ref="H2:H65" si="1">G2*COS(RADIANS(D2))</f>
        <v>29.387755102040813</v>
      </c>
      <c r="I2" s="11">
        <f t="shared" ref="I2:I65" si="2">G2*SIN(RADIANS(D2))</f>
        <v>0</v>
      </c>
      <c r="J2" s="11">
        <v>0.23230000000000001</v>
      </c>
      <c r="K2" s="11">
        <v>0</v>
      </c>
      <c r="L2" s="11">
        <f t="shared" ref="L2:L65" si="3">-(F2*G2*$U$3)/J2</f>
        <v>0</v>
      </c>
      <c r="M2" s="11">
        <f t="shared" ref="M2:M65" si="4">ABS(L2/$U$6)</f>
        <v>0</v>
      </c>
      <c r="N2" s="11">
        <f t="shared" ref="N2:N65" si="5">L2*SIN(RADIANS(K2))</f>
        <v>0</v>
      </c>
      <c r="O2" s="11">
        <f t="shared" ref="O2:O65" si="6">L2*COS(RADIANS(K2))</f>
        <v>0</v>
      </c>
      <c r="P2" s="6">
        <v>4.5836107313519063</v>
      </c>
      <c r="Q2" s="6">
        <v>0.35146984893962191</v>
      </c>
      <c r="R2" s="6">
        <f t="shared" ref="R2:R65" si="7">P2/Q2</f>
        <v>13.041262985091256</v>
      </c>
    </row>
    <row r="3" spans="1:22" x14ac:dyDescent="0.35">
      <c r="A3" s="9">
        <v>2</v>
      </c>
      <c r="B3" s="5">
        <v>0.1</v>
      </c>
      <c r="C3" s="5">
        <v>6000000</v>
      </c>
      <c r="D3" s="5">
        <v>20</v>
      </c>
      <c r="E3" s="5">
        <v>0.25</v>
      </c>
      <c r="F3" s="5">
        <v>0</v>
      </c>
      <c r="G3" s="12">
        <f t="shared" si="0"/>
        <v>88.16326530612244</v>
      </c>
      <c r="H3" s="11">
        <f t="shared" si="1"/>
        <v>82.846369832553549</v>
      </c>
      <c r="I3" s="11">
        <f t="shared" si="2"/>
        <v>30.153612636058952</v>
      </c>
      <c r="J3" s="11">
        <v>0.1661</v>
      </c>
      <c r="K3" s="12">
        <v>80</v>
      </c>
      <c r="L3" s="12">
        <f t="shared" si="3"/>
        <v>0</v>
      </c>
      <c r="M3" s="11">
        <f t="shared" si="4"/>
        <v>0</v>
      </c>
      <c r="N3" s="12">
        <f t="shared" si="5"/>
        <v>0</v>
      </c>
      <c r="O3" s="12">
        <f t="shared" si="6"/>
        <v>0</v>
      </c>
      <c r="P3" s="5">
        <v>1.5292247637478678</v>
      </c>
      <c r="Q3" s="5">
        <v>0.81489059581430523</v>
      </c>
      <c r="R3" s="6">
        <f t="shared" si="7"/>
        <v>1.876601315075604</v>
      </c>
      <c r="T3" s="2" t="s">
        <v>12</v>
      </c>
      <c r="U3" s="3">
        <v>1</v>
      </c>
      <c r="V3" s="3" t="s">
        <v>13</v>
      </c>
    </row>
    <row r="4" spans="1:22" x14ac:dyDescent="0.35">
      <c r="A4" s="9">
        <v>3</v>
      </c>
      <c r="B4" s="5">
        <v>1</v>
      </c>
      <c r="C4" s="5">
        <v>4000000</v>
      </c>
      <c r="D4" s="5">
        <v>20</v>
      </c>
      <c r="E4" s="5">
        <v>0.125</v>
      </c>
      <c r="F4" s="5">
        <v>3.5000000000000003E-2</v>
      </c>
      <c r="G4" s="12">
        <f t="shared" si="0"/>
        <v>58.775510204081627</v>
      </c>
      <c r="H4" s="11">
        <f t="shared" si="1"/>
        <v>55.230913221702366</v>
      </c>
      <c r="I4" s="11">
        <f t="shared" si="2"/>
        <v>20.102408424039304</v>
      </c>
      <c r="J4" s="11">
        <v>0.33379999999999999</v>
      </c>
      <c r="K4" s="12">
        <v>14</v>
      </c>
      <c r="L4" s="12">
        <f t="shared" si="3"/>
        <v>-6.1628006505178465</v>
      </c>
      <c r="M4" s="11">
        <f t="shared" si="4"/>
        <v>1.7967348835328998E-2</v>
      </c>
      <c r="N4" s="12">
        <f t="shared" si="5"/>
        <v>-1.4909164155761427</v>
      </c>
      <c r="O4" s="12">
        <f t="shared" si="6"/>
        <v>-5.9797391330883976</v>
      </c>
      <c r="P4" s="5">
        <v>4.4903512010820439</v>
      </c>
      <c r="Q4" s="5">
        <v>0.87360415803429381</v>
      </c>
      <c r="R4" s="6">
        <f t="shared" si="7"/>
        <v>5.1400295657770583</v>
      </c>
      <c r="T4" s="2" t="s">
        <v>14</v>
      </c>
      <c r="U4" s="4">
        <f>1.8*10^-5</f>
        <v>1.8E-5</v>
      </c>
      <c r="V4" s="3" t="s">
        <v>15</v>
      </c>
    </row>
    <row r="5" spans="1:22" x14ac:dyDescent="0.35">
      <c r="A5" s="9">
        <v>4</v>
      </c>
      <c r="B5" s="5">
        <v>0.1</v>
      </c>
      <c r="C5" s="5">
        <v>6000000</v>
      </c>
      <c r="D5" s="5">
        <v>20</v>
      </c>
      <c r="E5" s="5">
        <v>0.125</v>
      </c>
      <c r="F5" s="5">
        <v>0.05</v>
      </c>
      <c r="G5" s="12">
        <f t="shared" si="0"/>
        <v>88.16326530612244</v>
      </c>
      <c r="H5" s="11">
        <f t="shared" si="1"/>
        <v>82.846369832553549</v>
      </c>
      <c r="I5" s="11">
        <f t="shared" si="2"/>
        <v>30.153612636058952</v>
      </c>
      <c r="J5" s="12">
        <v>0.1658</v>
      </c>
      <c r="K5" s="12">
        <v>69</v>
      </c>
      <c r="L5" s="12">
        <f t="shared" si="3"/>
        <v>-26.587233204500134</v>
      </c>
      <c r="M5" s="11">
        <f t="shared" si="4"/>
        <v>7.7513799430029548E-2</v>
      </c>
      <c r="N5" s="12">
        <f t="shared" si="5"/>
        <v>-24.821320514437797</v>
      </c>
      <c r="O5" s="12">
        <f t="shared" si="6"/>
        <v>-9.5280122475794382</v>
      </c>
      <c r="P5" s="5">
        <v>1.4776949688302334</v>
      </c>
      <c r="Q5" s="5">
        <v>0.72200725969464774</v>
      </c>
      <c r="R5" s="6">
        <f t="shared" si="7"/>
        <v>2.0466483528921611</v>
      </c>
      <c r="T5" s="2" t="s">
        <v>16</v>
      </c>
      <c r="U5" s="4">
        <f>1.225</f>
        <v>1.2250000000000001</v>
      </c>
      <c r="V5" s="3" t="s">
        <v>17</v>
      </c>
    </row>
    <row r="6" spans="1:22" x14ac:dyDescent="0.35">
      <c r="A6" s="9">
        <v>5</v>
      </c>
      <c r="B6" s="5">
        <v>1</v>
      </c>
      <c r="C6" s="5">
        <v>2000000</v>
      </c>
      <c r="D6" s="5">
        <v>30</v>
      </c>
      <c r="E6" s="5">
        <v>0</v>
      </c>
      <c r="F6" s="5">
        <v>0.15</v>
      </c>
      <c r="G6" s="12">
        <f t="shared" si="0"/>
        <v>29.387755102040813</v>
      </c>
      <c r="H6" s="11">
        <f t="shared" si="1"/>
        <v>25.450542478563094</v>
      </c>
      <c r="I6" s="11">
        <f t="shared" si="2"/>
        <v>14.693877551020405</v>
      </c>
      <c r="J6" s="11">
        <v>0.33379999999999999</v>
      </c>
      <c r="K6" s="12">
        <v>0</v>
      </c>
      <c r="L6" s="12">
        <f t="shared" si="3"/>
        <v>-13.206001393966813</v>
      </c>
      <c r="M6" s="11">
        <f t="shared" si="4"/>
        <v>3.8501461789990712E-2</v>
      </c>
      <c r="N6" s="12">
        <f t="shared" si="5"/>
        <v>0</v>
      </c>
      <c r="O6" s="12">
        <f t="shared" si="6"/>
        <v>-13.206001393966813</v>
      </c>
      <c r="P6" s="5">
        <v>1.8988173624321361</v>
      </c>
      <c r="Q6" s="5">
        <v>1.2939577423615229</v>
      </c>
      <c r="R6" s="6">
        <f t="shared" si="7"/>
        <v>1.4674492839053004</v>
      </c>
      <c r="T6" s="2" t="s">
        <v>21</v>
      </c>
      <c r="U6" s="4">
        <v>343</v>
      </c>
      <c r="V6" s="3" t="s">
        <v>22</v>
      </c>
    </row>
    <row r="7" spans="1:22" x14ac:dyDescent="0.35">
      <c r="A7" s="17">
        <v>6</v>
      </c>
      <c r="B7" s="16">
        <v>0.5</v>
      </c>
      <c r="C7" s="16">
        <v>2000000</v>
      </c>
      <c r="D7" s="16">
        <v>20</v>
      </c>
      <c r="E7" s="5">
        <v>0.375</v>
      </c>
      <c r="F7" s="5">
        <v>7.4999999999999997E-2</v>
      </c>
      <c r="G7" s="12">
        <f t="shared" si="0"/>
        <v>29.387755102040813</v>
      </c>
      <c r="H7" s="11">
        <f t="shared" si="1"/>
        <v>27.615456610851183</v>
      </c>
      <c r="I7" s="11">
        <f t="shared" si="2"/>
        <v>10.051204212019652</v>
      </c>
      <c r="J7" s="12">
        <v>0.24809999999999999</v>
      </c>
      <c r="K7" s="12">
        <v>67</v>
      </c>
      <c r="L7" s="12">
        <f t="shared" si="3"/>
        <v>-8.8838437430594972</v>
      </c>
      <c r="M7" s="11">
        <f t="shared" si="4"/>
        <v>2.590041907597521E-2</v>
      </c>
      <c r="N7" s="12">
        <f t="shared" si="5"/>
        <v>-8.1776212827993611</v>
      </c>
      <c r="O7" s="12">
        <f t="shared" si="6"/>
        <v>-3.4711942910480107</v>
      </c>
      <c r="P7" s="5">
        <v>4.0360453855049876</v>
      </c>
      <c r="Q7" s="5">
        <v>0.62995715618931247</v>
      </c>
      <c r="R7" s="6">
        <f t="shared" si="7"/>
        <v>6.406856951859262</v>
      </c>
      <c r="T7" s="2" t="s">
        <v>23</v>
      </c>
      <c r="U7" s="4">
        <v>0.1</v>
      </c>
      <c r="V7" s="3"/>
    </row>
    <row r="8" spans="1:22" x14ac:dyDescent="0.35">
      <c r="A8" s="17">
        <v>7</v>
      </c>
      <c r="B8" s="16">
        <v>0.75</v>
      </c>
      <c r="C8" s="16">
        <v>4000000</v>
      </c>
      <c r="D8" s="16">
        <v>0</v>
      </c>
      <c r="E8" s="5">
        <v>0.125</v>
      </c>
      <c r="F8" s="5">
        <v>0</v>
      </c>
      <c r="G8" s="12">
        <f t="shared" si="0"/>
        <v>58.775510204081627</v>
      </c>
      <c r="H8" s="11">
        <f t="shared" si="1"/>
        <v>58.775510204081627</v>
      </c>
      <c r="I8" s="11">
        <f t="shared" si="2"/>
        <v>0</v>
      </c>
      <c r="J8" s="12">
        <v>0.2802</v>
      </c>
      <c r="K8" s="12">
        <v>19</v>
      </c>
      <c r="L8" s="12">
        <f t="shared" si="3"/>
        <v>0</v>
      </c>
      <c r="M8" s="11">
        <f t="shared" si="4"/>
        <v>0</v>
      </c>
      <c r="N8" s="12">
        <f t="shared" si="5"/>
        <v>0</v>
      </c>
      <c r="O8" s="12">
        <f t="shared" si="6"/>
        <v>0</v>
      </c>
      <c r="P8" s="5">
        <v>5.4156299802867176</v>
      </c>
      <c r="Q8" s="5">
        <v>0.74071106213344584</v>
      </c>
      <c r="R8" s="6">
        <f t="shared" si="7"/>
        <v>7.3113934125517925</v>
      </c>
      <c r="T8" s="2" t="s">
        <v>25</v>
      </c>
      <c r="U8" s="4">
        <f>0.07*U3</f>
        <v>7.0000000000000007E-2</v>
      </c>
      <c r="V8" s="3" t="s">
        <v>13</v>
      </c>
    </row>
    <row r="9" spans="1:22" x14ac:dyDescent="0.35">
      <c r="A9" s="9">
        <v>8</v>
      </c>
      <c r="B9" s="5">
        <v>0.75</v>
      </c>
      <c r="C9" s="5">
        <v>4000000</v>
      </c>
      <c r="D9" s="5">
        <v>30</v>
      </c>
      <c r="E9" s="5">
        <v>0</v>
      </c>
      <c r="F9" s="5">
        <v>1.4999999999999999E-2</v>
      </c>
      <c r="G9" s="12">
        <f t="shared" si="0"/>
        <v>58.775510204081627</v>
      </c>
      <c r="H9" s="11">
        <f t="shared" si="1"/>
        <v>50.901084957126187</v>
      </c>
      <c r="I9" s="11">
        <f t="shared" si="2"/>
        <v>29.38775510204081</v>
      </c>
      <c r="J9" s="11">
        <v>0.27929999999999999</v>
      </c>
      <c r="K9" s="12">
        <v>0</v>
      </c>
      <c r="L9" s="12">
        <f t="shared" si="3"/>
        <v>-3.1565794953856945</v>
      </c>
      <c r="M9" s="11">
        <f t="shared" si="4"/>
        <v>9.2028556716784102E-3</v>
      </c>
      <c r="N9" s="12">
        <f t="shared" si="5"/>
        <v>0</v>
      </c>
      <c r="O9" s="12">
        <f t="shared" si="6"/>
        <v>-3.1565794953856945</v>
      </c>
      <c r="P9" s="5">
        <v>2.1131516098393064</v>
      </c>
      <c r="Q9" s="5">
        <v>1.341356498644098</v>
      </c>
      <c r="R9" s="6">
        <f t="shared" si="7"/>
        <v>1.5753840324890309</v>
      </c>
      <c r="T9" s="2" t="s">
        <v>26</v>
      </c>
      <c r="U9" s="4">
        <v>0.02</v>
      </c>
      <c r="V9" s="3"/>
    </row>
    <row r="10" spans="1:22" x14ac:dyDescent="0.35">
      <c r="A10" s="9">
        <v>9</v>
      </c>
      <c r="B10" s="5">
        <v>0.1</v>
      </c>
      <c r="C10" s="5">
        <v>2000000</v>
      </c>
      <c r="D10" s="5">
        <v>20</v>
      </c>
      <c r="E10" s="5">
        <v>0.375</v>
      </c>
      <c r="F10" s="5">
        <v>1.4999999999999999E-2</v>
      </c>
      <c r="G10" s="12">
        <f t="shared" si="0"/>
        <v>29.387755102040813</v>
      </c>
      <c r="H10" s="11">
        <f t="shared" si="1"/>
        <v>27.615456610851183</v>
      </c>
      <c r="I10" s="11">
        <f t="shared" si="2"/>
        <v>10.051204212019652</v>
      </c>
      <c r="J10" s="12">
        <v>0.16789999999999999</v>
      </c>
      <c r="K10" s="11">
        <v>85</v>
      </c>
      <c r="L10" s="12">
        <f t="shared" si="3"/>
        <v>-2.6254694849947122</v>
      </c>
      <c r="M10" s="11">
        <f t="shared" si="4"/>
        <v>7.6544299854073242E-3</v>
      </c>
      <c r="N10" s="12">
        <f t="shared" si="5"/>
        <v>-2.6154787809533979</v>
      </c>
      <c r="O10" s="12">
        <f t="shared" si="6"/>
        <v>-0.22882474302602562</v>
      </c>
      <c r="P10" s="5">
        <v>1.725692511236081</v>
      </c>
      <c r="Q10" s="5">
        <v>0.83396355904127029</v>
      </c>
      <c r="R10" s="6">
        <f t="shared" si="7"/>
        <v>2.0692660878611386</v>
      </c>
    </row>
    <row r="11" spans="1:22" x14ac:dyDescent="0.35">
      <c r="A11" s="9">
        <v>10</v>
      </c>
      <c r="B11" s="5">
        <v>0.75</v>
      </c>
      <c r="C11" s="5">
        <v>4000000</v>
      </c>
      <c r="D11" s="5">
        <v>5</v>
      </c>
      <c r="E11" s="5">
        <v>0</v>
      </c>
      <c r="F11" s="5">
        <v>7.4999999999999997E-2</v>
      </c>
      <c r="G11" s="12">
        <f t="shared" si="0"/>
        <v>58.775510204081627</v>
      </c>
      <c r="H11" s="11">
        <f t="shared" si="1"/>
        <v>58.551851642943404</v>
      </c>
      <c r="I11" s="11">
        <f t="shared" si="2"/>
        <v>5.1226232472092956</v>
      </c>
      <c r="J11" s="11">
        <v>0.27929999999999999</v>
      </c>
      <c r="K11" s="12">
        <v>0</v>
      </c>
      <c r="L11" s="12">
        <f t="shared" si="3"/>
        <v>-15.782897476928472</v>
      </c>
      <c r="M11" s="11">
        <f t="shared" si="4"/>
        <v>4.6014278358392044E-2</v>
      </c>
      <c r="N11" s="12">
        <f t="shared" si="5"/>
        <v>0</v>
      </c>
      <c r="O11" s="12">
        <f t="shared" si="6"/>
        <v>-15.782897476928472</v>
      </c>
      <c r="P11" s="5">
        <v>2.7280024252487309</v>
      </c>
      <c r="Q11" s="5">
        <v>0.8422713936463172</v>
      </c>
      <c r="R11" s="6">
        <f t="shared" si="7"/>
        <v>3.2388639170550548</v>
      </c>
    </row>
    <row r="12" spans="1:22" x14ac:dyDescent="0.35">
      <c r="A12" s="9">
        <v>11</v>
      </c>
      <c r="B12" s="5">
        <v>0.5</v>
      </c>
      <c r="C12" s="5">
        <v>2000000</v>
      </c>
      <c r="D12" s="5">
        <v>15</v>
      </c>
      <c r="E12" s="5">
        <v>0.375</v>
      </c>
      <c r="F12" s="5">
        <v>1.4999999999999999E-2</v>
      </c>
      <c r="G12" s="12">
        <f t="shared" si="0"/>
        <v>29.387755102040813</v>
      </c>
      <c r="H12" s="11">
        <f t="shared" si="1"/>
        <v>28.386391629719554</v>
      </c>
      <c r="I12" s="11">
        <f t="shared" si="2"/>
        <v>7.6061107132169354</v>
      </c>
      <c r="J12" s="12">
        <v>0.24809999999999999</v>
      </c>
      <c r="K12" s="12">
        <v>67</v>
      </c>
      <c r="L12" s="12">
        <f t="shared" si="3"/>
        <v>-1.7767687486118993</v>
      </c>
      <c r="M12" s="11">
        <f t="shared" si="4"/>
        <v>5.1800838151950419E-3</v>
      </c>
      <c r="N12" s="12">
        <f t="shared" si="5"/>
        <v>-1.6355242565598722</v>
      </c>
      <c r="O12" s="12">
        <f t="shared" si="6"/>
        <v>-0.69423885820960207</v>
      </c>
      <c r="P12" s="5">
        <v>3.3294064591378696</v>
      </c>
      <c r="Q12" s="5">
        <v>0.47275304912524735</v>
      </c>
      <c r="R12" s="6">
        <f t="shared" si="7"/>
        <v>7.0425911906827361</v>
      </c>
    </row>
    <row r="13" spans="1:22" x14ac:dyDescent="0.35">
      <c r="A13" s="9">
        <v>12</v>
      </c>
      <c r="B13" s="5">
        <v>0.75</v>
      </c>
      <c r="C13" s="5">
        <v>4000000</v>
      </c>
      <c r="D13" s="5">
        <v>20</v>
      </c>
      <c r="E13" s="5">
        <v>0</v>
      </c>
      <c r="F13" s="5">
        <v>0.15</v>
      </c>
      <c r="G13" s="12">
        <f t="shared" si="0"/>
        <v>58.775510204081627</v>
      </c>
      <c r="H13" s="11">
        <f t="shared" si="1"/>
        <v>55.230913221702366</v>
      </c>
      <c r="I13" s="11">
        <f t="shared" si="2"/>
        <v>20.102408424039304</v>
      </c>
      <c r="J13" s="11">
        <v>0.27929999999999999</v>
      </c>
      <c r="K13" s="12">
        <v>0</v>
      </c>
      <c r="L13" s="12">
        <f t="shared" si="3"/>
        <v>-31.565794953856944</v>
      </c>
      <c r="M13" s="11">
        <f t="shared" si="4"/>
        <v>9.2028556716784088E-2</v>
      </c>
      <c r="N13" s="12">
        <f t="shared" si="5"/>
        <v>0</v>
      </c>
      <c r="O13" s="12">
        <f t="shared" si="6"/>
        <v>-31.565794953856944</v>
      </c>
      <c r="P13" s="5">
        <v>7.3688604763528742</v>
      </c>
      <c r="Q13" s="5">
        <v>1.384108143862419</v>
      </c>
      <c r="R13" s="6">
        <f t="shared" si="7"/>
        <v>5.3239051507851993</v>
      </c>
    </row>
    <row r="14" spans="1:22" x14ac:dyDescent="0.35">
      <c r="A14" s="9">
        <v>13</v>
      </c>
      <c r="B14" s="5">
        <v>0.75</v>
      </c>
      <c r="C14" s="5">
        <v>4000000</v>
      </c>
      <c r="D14" s="5">
        <v>20</v>
      </c>
      <c r="E14" s="5">
        <v>0</v>
      </c>
      <c r="F14" s="5">
        <v>0.1</v>
      </c>
      <c r="G14" s="12">
        <f t="shared" si="0"/>
        <v>58.775510204081627</v>
      </c>
      <c r="H14" s="11">
        <f t="shared" si="1"/>
        <v>55.230913221702366</v>
      </c>
      <c r="I14" s="11">
        <f t="shared" si="2"/>
        <v>20.102408424039304</v>
      </c>
      <c r="J14" s="11">
        <v>0.27929999999999999</v>
      </c>
      <c r="K14" s="12">
        <v>0</v>
      </c>
      <c r="L14" s="12">
        <f t="shared" si="3"/>
        <v>-21.043863302571296</v>
      </c>
      <c r="M14" s="11">
        <f t="shared" si="4"/>
        <v>6.135237114452273E-2</v>
      </c>
      <c r="N14" s="12">
        <f t="shared" si="5"/>
        <v>0</v>
      </c>
      <c r="O14" s="12">
        <f t="shared" si="6"/>
        <v>-21.043863302571296</v>
      </c>
      <c r="P14" s="5">
        <v>5.25627262859678</v>
      </c>
      <c r="Q14" s="5">
        <v>1.1030198832096938</v>
      </c>
      <c r="R14" s="6">
        <f t="shared" si="7"/>
        <v>4.7653471243886152</v>
      </c>
    </row>
    <row r="15" spans="1:22" x14ac:dyDescent="0.35">
      <c r="A15" s="9">
        <v>14</v>
      </c>
      <c r="B15" s="5">
        <v>0.25</v>
      </c>
      <c r="C15" s="5">
        <v>2000000</v>
      </c>
      <c r="D15" s="5">
        <v>30</v>
      </c>
      <c r="E15" s="5">
        <v>0.375</v>
      </c>
      <c r="F15" s="5">
        <v>7.4999999999999997E-2</v>
      </c>
      <c r="G15" s="12">
        <f t="shared" si="0"/>
        <v>29.387755102040813</v>
      </c>
      <c r="H15" s="11">
        <f t="shared" si="1"/>
        <v>25.450542478563094</v>
      </c>
      <c r="I15" s="11">
        <f t="shared" si="2"/>
        <v>14.693877551020405</v>
      </c>
      <c r="J15" s="11">
        <v>0.1976</v>
      </c>
      <c r="K15" s="12">
        <v>78</v>
      </c>
      <c r="L15" s="12">
        <f t="shared" si="3"/>
        <v>-11.154259274560026</v>
      </c>
      <c r="M15" s="11">
        <f t="shared" si="4"/>
        <v>3.251970633982515E-2</v>
      </c>
      <c r="N15" s="12">
        <f t="shared" si="5"/>
        <v>-10.910511947373688</v>
      </c>
      <c r="O15" s="12">
        <f t="shared" si="6"/>
        <v>-2.3191009055934502</v>
      </c>
      <c r="P15" s="5">
        <v>2.7824187358649155</v>
      </c>
      <c r="Q15" s="5">
        <v>0.97225062694751341</v>
      </c>
      <c r="R15" s="6">
        <f t="shared" si="7"/>
        <v>2.8618328018986441</v>
      </c>
    </row>
    <row r="16" spans="1:22" x14ac:dyDescent="0.35">
      <c r="A16" s="9">
        <v>15</v>
      </c>
      <c r="B16" s="5">
        <v>1</v>
      </c>
      <c r="C16" s="5">
        <v>6000000</v>
      </c>
      <c r="D16" s="5">
        <v>5</v>
      </c>
      <c r="E16" s="5">
        <v>0.25</v>
      </c>
      <c r="F16" s="5">
        <v>1.4999999999999999E-2</v>
      </c>
      <c r="G16" s="12">
        <f t="shared" si="0"/>
        <v>88.16326530612244</v>
      </c>
      <c r="H16" s="11">
        <f t="shared" si="1"/>
        <v>87.827777464415107</v>
      </c>
      <c r="I16" s="11">
        <f t="shared" si="2"/>
        <v>7.6839348708139434</v>
      </c>
      <c r="J16" s="13">
        <v>0.33379999999999999</v>
      </c>
      <c r="K16" s="12">
        <v>30</v>
      </c>
      <c r="L16" s="12">
        <f t="shared" si="3"/>
        <v>-3.9618004181900441</v>
      </c>
      <c r="M16" s="11">
        <f t="shared" si="4"/>
        <v>1.1550438536997214E-2</v>
      </c>
      <c r="N16" s="12">
        <f t="shared" si="5"/>
        <v>-1.9809002090950218</v>
      </c>
      <c r="O16" s="12">
        <f t="shared" si="6"/>
        <v>-3.4310198068763911</v>
      </c>
      <c r="P16" s="5">
        <v>3.5615324042513197</v>
      </c>
      <c r="Q16" s="5">
        <v>0.71980867823965577</v>
      </c>
      <c r="R16" s="6">
        <f t="shared" si="7"/>
        <v>4.9478875594571949</v>
      </c>
    </row>
    <row r="17" spans="1:18" x14ac:dyDescent="0.35">
      <c r="A17" s="9">
        <v>16</v>
      </c>
      <c r="B17" s="5">
        <v>0.75</v>
      </c>
      <c r="C17" s="5">
        <v>2000000</v>
      </c>
      <c r="D17" s="5">
        <v>0</v>
      </c>
      <c r="E17" s="5">
        <v>0.375</v>
      </c>
      <c r="F17" s="5">
        <v>3.5000000000000003E-2</v>
      </c>
      <c r="G17" s="12">
        <f t="shared" si="0"/>
        <v>29.387755102040813</v>
      </c>
      <c r="H17" s="11">
        <f t="shared" si="1"/>
        <v>29.387755102040813</v>
      </c>
      <c r="I17" s="11">
        <f t="shared" si="2"/>
        <v>0</v>
      </c>
      <c r="J17" s="11">
        <v>0.29299999999999998</v>
      </c>
      <c r="K17" s="12">
        <v>57</v>
      </c>
      <c r="L17" s="12">
        <f t="shared" si="3"/>
        <v>-3.5104826913700631</v>
      </c>
      <c r="M17" s="11">
        <f t="shared" si="4"/>
        <v>1.023464341507307E-2</v>
      </c>
      <c r="N17" s="12">
        <f t="shared" si="5"/>
        <v>-2.9441385125339115</v>
      </c>
      <c r="O17" s="12">
        <f t="shared" si="6"/>
        <v>-1.9119459054647463</v>
      </c>
      <c r="P17" s="5">
        <v>3.5816542929258297</v>
      </c>
      <c r="Q17" s="5">
        <v>-0.22799179970120223</v>
      </c>
      <c r="R17" s="6">
        <f t="shared" si="7"/>
        <v>-15.709575070769281</v>
      </c>
    </row>
    <row r="18" spans="1:18" x14ac:dyDescent="0.35">
      <c r="A18" s="9">
        <v>17</v>
      </c>
      <c r="B18" s="5">
        <v>0.1</v>
      </c>
      <c r="C18" s="5">
        <v>6000000</v>
      </c>
      <c r="D18" s="5">
        <v>20</v>
      </c>
      <c r="E18" s="5">
        <v>0.375</v>
      </c>
      <c r="F18" s="5">
        <v>3.5000000000000003E-2</v>
      </c>
      <c r="G18" s="12">
        <f t="shared" si="0"/>
        <v>88.16326530612244</v>
      </c>
      <c r="H18" s="11">
        <f t="shared" si="1"/>
        <v>82.846369832553549</v>
      </c>
      <c r="I18" s="11">
        <f t="shared" si="2"/>
        <v>30.153612636058952</v>
      </c>
      <c r="J18" s="12">
        <v>0.16789999999999999</v>
      </c>
      <c r="K18" s="11">
        <v>85</v>
      </c>
      <c r="L18" s="12">
        <f t="shared" si="3"/>
        <v>-18.378286394962991</v>
      </c>
      <c r="M18" s="11">
        <f t="shared" si="4"/>
        <v>5.3581009897851285E-2</v>
      </c>
      <c r="N18" s="12">
        <f t="shared" si="5"/>
        <v>-18.308351466673791</v>
      </c>
      <c r="O18" s="12">
        <f t="shared" si="6"/>
        <v>-1.6017732011821799</v>
      </c>
      <c r="P18" s="5">
        <v>1.7690396332610954</v>
      </c>
      <c r="Q18" s="5">
        <v>0.84547257323713809</v>
      </c>
      <c r="R18" s="6">
        <f t="shared" si="7"/>
        <v>2.0923678535044745</v>
      </c>
    </row>
    <row r="19" spans="1:18" x14ac:dyDescent="0.35">
      <c r="A19" s="9">
        <v>18</v>
      </c>
      <c r="B19" s="5">
        <v>0.25</v>
      </c>
      <c r="C19" s="5">
        <v>6000000</v>
      </c>
      <c r="D19" s="5">
        <v>30</v>
      </c>
      <c r="E19" s="5">
        <v>0.375</v>
      </c>
      <c r="F19" s="5">
        <v>7.4999999999999997E-2</v>
      </c>
      <c r="G19" s="12">
        <f t="shared" si="0"/>
        <v>88.16326530612244</v>
      </c>
      <c r="H19" s="11">
        <f t="shared" si="1"/>
        <v>76.351627435689281</v>
      </c>
      <c r="I19" s="11">
        <f t="shared" si="2"/>
        <v>44.081632653061213</v>
      </c>
      <c r="J19" s="11">
        <v>0.1976</v>
      </c>
      <c r="K19" s="12">
        <v>78</v>
      </c>
      <c r="L19" s="12">
        <f t="shared" si="3"/>
        <v>-33.462777823680078</v>
      </c>
      <c r="M19" s="11">
        <f t="shared" si="4"/>
        <v>9.7559119019475449E-2</v>
      </c>
      <c r="N19" s="12">
        <f t="shared" si="5"/>
        <v>-32.731535842121062</v>
      </c>
      <c r="O19" s="12">
        <f t="shared" si="6"/>
        <v>-6.9573027167803501</v>
      </c>
      <c r="P19" s="5">
        <v>2.7873334916931847</v>
      </c>
      <c r="Q19" s="5">
        <v>0.97362344971442849</v>
      </c>
      <c r="R19" s="6">
        <f t="shared" si="7"/>
        <v>2.8628454794414941</v>
      </c>
    </row>
    <row r="20" spans="1:18" x14ac:dyDescent="0.35">
      <c r="A20" s="9">
        <v>1995</v>
      </c>
      <c r="B20" s="5">
        <v>0.1</v>
      </c>
      <c r="C20" s="5">
        <v>6000000</v>
      </c>
      <c r="D20" s="5">
        <v>0</v>
      </c>
      <c r="E20" s="5">
        <v>0</v>
      </c>
      <c r="F20" s="5">
        <v>0.15</v>
      </c>
      <c r="G20" s="12">
        <f>(C20*$U$4)/($U$5*$U$3)</f>
        <v>88.16326530612244</v>
      </c>
      <c r="H20" s="11">
        <f>G20*COS(RADIANS(D20))</f>
        <v>88.16326530612244</v>
      </c>
      <c r="I20" s="11">
        <f>G20*SIN(RADIANS(D20))</f>
        <v>0</v>
      </c>
      <c r="J20" s="11">
        <v>0.16569999999999999</v>
      </c>
      <c r="K20" s="19">
        <v>0</v>
      </c>
      <c r="L20" s="12">
        <f>-(F20*G20*$U$3)/J20</f>
        <v>-79.809835823285255</v>
      </c>
      <c r="M20" s="11">
        <f>ABS(L20/$U$6)</f>
        <v>0.2326817370941261</v>
      </c>
      <c r="N20" s="12">
        <f>L20*SIN(RADIANS(K20))</f>
        <v>0</v>
      </c>
      <c r="O20" s="12">
        <f>L20*COS(RADIANS(K20))</f>
        <v>-79.809835823285255</v>
      </c>
      <c r="P20" s="5">
        <v>1.4417660745483114</v>
      </c>
      <c r="Q20" s="5">
        <v>0.14979473292353221</v>
      </c>
      <c r="R20" s="6">
        <f>P20/Q20</f>
        <v>9.6249450592118588</v>
      </c>
    </row>
    <row r="21" spans="1:18" x14ac:dyDescent="0.35">
      <c r="A21" s="9">
        <v>20</v>
      </c>
      <c r="B21" s="5">
        <v>0.5</v>
      </c>
      <c r="C21" s="5">
        <v>4000000</v>
      </c>
      <c r="D21" s="5">
        <v>5</v>
      </c>
      <c r="E21" s="5">
        <v>0</v>
      </c>
      <c r="F21" s="5">
        <v>3.5000000000000003E-2</v>
      </c>
      <c r="G21" s="12">
        <f>(C21*$U$4)/($U$5*$U$3)</f>
        <v>58.775510204081627</v>
      </c>
      <c r="H21" s="11">
        <f>G21*COS(RADIANS(D21))</f>
        <v>58.551851642943404</v>
      </c>
      <c r="I21" s="11">
        <f>G21*SIN(RADIANS(D21))</f>
        <v>5.1226232472092956</v>
      </c>
      <c r="J21" s="12">
        <v>0.23230000000000001</v>
      </c>
      <c r="K21" s="12">
        <v>0</v>
      </c>
      <c r="L21" s="12">
        <f>-(F21*G21*$U$3)/J21</f>
        <v>-8.8555439394871147</v>
      </c>
      <c r="M21" s="11">
        <f>ABS(L21/$U$6)</f>
        <v>2.5817912360020744E-2</v>
      </c>
      <c r="N21" s="12">
        <f>L21*SIN(RADIANS(K21))</f>
        <v>0</v>
      </c>
      <c r="O21" s="12">
        <f>L21*COS(RADIANS(K21))</f>
        <v>-8.8555439394871147</v>
      </c>
      <c r="P21" s="5">
        <v>3.4705223054109897</v>
      </c>
      <c r="Q21" s="5">
        <v>0.45283655814403612</v>
      </c>
      <c r="R21" s="6">
        <f>P21/Q21</f>
        <v>7.6639622905779223</v>
      </c>
    </row>
    <row r="22" spans="1:18" x14ac:dyDescent="0.35">
      <c r="A22" s="9">
        <v>2117</v>
      </c>
      <c r="B22" s="5">
        <v>0.1</v>
      </c>
      <c r="C22" s="5">
        <v>6000000</v>
      </c>
      <c r="D22" s="5">
        <v>20</v>
      </c>
      <c r="E22" s="5">
        <v>0</v>
      </c>
      <c r="F22" s="5">
        <v>0.15</v>
      </c>
      <c r="G22" s="12">
        <f>(C22*$U$4)/($U$5*$U$3)</f>
        <v>88.16326530612244</v>
      </c>
      <c r="H22" s="11">
        <f>G22*COS(RADIANS(D22))</f>
        <v>82.846369832553549</v>
      </c>
      <c r="I22" s="11">
        <f>G22*SIN(RADIANS(D22))</f>
        <v>30.153612636058952</v>
      </c>
      <c r="J22" s="11">
        <v>0.16569999999999999</v>
      </c>
      <c r="K22" s="12">
        <v>0</v>
      </c>
      <c r="L22" s="12">
        <f>-(F22*G22*$U$3)/J22</f>
        <v>-79.809835823285255</v>
      </c>
      <c r="M22" s="11">
        <f>ABS(L22/$U$6)</f>
        <v>0.2326817370941261</v>
      </c>
      <c r="N22" s="12">
        <f>L22*SIN(RADIANS(K22))</f>
        <v>0</v>
      </c>
      <c r="O22" s="12">
        <f>L22*COS(RADIANS(K22))</f>
        <v>-79.809835823285255</v>
      </c>
      <c r="P22" s="5">
        <v>1.9129946655845118</v>
      </c>
      <c r="Q22" s="5">
        <v>0.71826295479643998</v>
      </c>
      <c r="R22" s="6">
        <f>P22/Q22</f>
        <v>2.6633625649351025</v>
      </c>
    </row>
    <row r="23" spans="1:18" x14ac:dyDescent="0.35">
      <c r="A23" s="9">
        <v>22</v>
      </c>
      <c r="B23" s="5">
        <v>1</v>
      </c>
      <c r="C23" s="5">
        <v>2000000</v>
      </c>
      <c r="D23" s="5">
        <v>5</v>
      </c>
      <c r="E23" s="5">
        <v>0</v>
      </c>
      <c r="F23" s="5">
        <v>2.5000000000000001E-2</v>
      </c>
      <c r="G23" s="12">
        <f>(C23*$U$4)/($U$5*$U$3)</f>
        <v>29.387755102040813</v>
      </c>
      <c r="H23" s="11">
        <f>G23*COS(RADIANS(D23))</f>
        <v>29.275925821471702</v>
      </c>
      <c r="I23" s="11">
        <f>G23*SIN(RADIANS(D23))</f>
        <v>2.5613116236046478</v>
      </c>
      <c r="J23" s="11">
        <v>0.33379999999999999</v>
      </c>
      <c r="K23" s="12">
        <v>0</v>
      </c>
      <c r="L23" s="12">
        <f>-(F23*G23*$U$3)/J23</f>
        <v>-2.2010002323278024</v>
      </c>
      <c r="M23" s="11">
        <f>ABS(L23/$U$6)</f>
        <v>6.4169102983317851E-3</v>
      </c>
      <c r="N23" s="12">
        <f>L23*SIN(RADIANS(K23))</f>
        <v>0</v>
      </c>
      <c r="O23" s="12">
        <f>L23*COS(RADIANS(K23))</f>
        <v>-2.2010002323278024</v>
      </c>
      <c r="P23" s="5">
        <v>3.2762478255150804</v>
      </c>
      <c r="Q23" s="5">
        <v>1.3956740638696403</v>
      </c>
      <c r="R23" s="6">
        <f>P23/Q23</f>
        <v>2.3474304712888112</v>
      </c>
    </row>
    <row r="24" spans="1:18" x14ac:dyDescent="0.35">
      <c r="A24" s="9">
        <v>23</v>
      </c>
      <c r="B24" s="5">
        <v>0.75</v>
      </c>
      <c r="C24" s="5">
        <v>4000000</v>
      </c>
      <c r="D24" s="5">
        <v>5</v>
      </c>
      <c r="E24" s="5">
        <v>0.25</v>
      </c>
      <c r="F24" s="5">
        <v>3.5000000000000003E-2</v>
      </c>
      <c r="G24" s="12">
        <f>(C24*$U$4)/($U$5*$U$3)</f>
        <v>58.775510204081627</v>
      </c>
      <c r="H24" s="11">
        <f>G24*COS(RADIANS(D24))</f>
        <v>58.551851642943404</v>
      </c>
      <c r="I24" s="11">
        <f>G24*SIN(RADIANS(D24))</f>
        <v>5.1226232472092956</v>
      </c>
      <c r="J24" s="12">
        <v>0.28370000000000001</v>
      </c>
      <c r="K24" s="11">
        <v>38</v>
      </c>
      <c r="L24" s="12">
        <f>-(F24*G24*$U$3)/J24</f>
        <v>-7.2511203988116213</v>
      </c>
      <c r="M24" s="11">
        <f>ABS(L24/$U$6)</f>
        <v>2.11402927079056E-2</v>
      </c>
      <c r="N24" s="12">
        <f>L24*SIN(RADIANS(K24))</f>
        <v>-4.4642354824963384</v>
      </c>
      <c r="O24" s="12">
        <f>L24*COS(RADIANS(K24))</f>
        <v>-5.7139608499606194</v>
      </c>
      <c r="P24" s="5">
        <v>3.0671256385651908</v>
      </c>
      <c r="Q24" s="5">
        <v>0.35267367019927404</v>
      </c>
      <c r="R24" s="6">
        <f>P24/Q24</f>
        <v>8.6967808989884272</v>
      </c>
    </row>
    <row r="25" spans="1:18" x14ac:dyDescent="0.35">
      <c r="A25" s="9">
        <v>24</v>
      </c>
      <c r="B25" s="5">
        <v>1</v>
      </c>
      <c r="C25" s="5">
        <v>4000000</v>
      </c>
      <c r="D25" s="5">
        <v>5</v>
      </c>
      <c r="E25" s="5">
        <v>0</v>
      </c>
      <c r="F25" s="5">
        <v>2.5000000000000001E-2</v>
      </c>
      <c r="G25" s="12">
        <f>(C25*$U$4)/($U$5*$U$3)</f>
        <v>58.775510204081627</v>
      </c>
      <c r="H25" s="11">
        <f>G25*COS(RADIANS(D25))</f>
        <v>58.551851642943404</v>
      </c>
      <c r="I25" s="11">
        <f>G25*SIN(RADIANS(D25))</f>
        <v>5.1226232472092956</v>
      </c>
      <c r="J25" s="11">
        <v>0.33379999999999999</v>
      </c>
      <c r="K25" s="12">
        <v>0</v>
      </c>
      <c r="L25" s="12">
        <f>-(F25*G25*$U$3)/J25</f>
        <v>-4.4020004646556048</v>
      </c>
      <c r="M25" s="11">
        <f>ABS(L25/$U$6)</f>
        <v>1.283382059666357E-2</v>
      </c>
      <c r="N25" s="12">
        <f>L25*SIN(RADIANS(K25))</f>
        <v>0</v>
      </c>
      <c r="O25" s="12">
        <f>L25*COS(RADIANS(K25))</f>
        <v>-4.4020004646556048</v>
      </c>
      <c r="P25" s="5">
        <v>3.4776428539439843</v>
      </c>
      <c r="Q25" s="5">
        <v>1.345254370281499</v>
      </c>
      <c r="R25" s="6">
        <f>P25/Q25</f>
        <v>2.5851191646500848</v>
      </c>
    </row>
    <row r="26" spans="1:18" x14ac:dyDescent="0.35">
      <c r="A26" s="9">
        <v>25</v>
      </c>
      <c r="B26" s="5">
        <v>0.5</v>
      </c>
      <c r="C26" s="5">
        <v>4000000</v>
      </c>
      <c r="D26" s="5">
        <v>10</v>
      </c>
      <c r="E26" s="5">
        <v>0.125</v>
      </c>
      <c r="F26" s="5">
        <v>1.4999999999999999E-2</v>
      </c>
      <c r="G26" s="12">
        <f>(C26*$U$4)/($U$5*$U$3)</f>
        <v>58.775510204081627</v>
      </c>
      <c r="H26" s="11">
        <f>G26*COS(RADIANS(D26))</f>
        <v>57.882578136227728</v>
      </c>
      <c r="I26" s="11">
        <f>G26*SIN(RADIANS(D26))</f>
        <v>10.206260238382843</v>
      </c>
      <c r="J26" s="12">
        <v>0.23300000000000001</v>
      </c>
      <c r="K26" s="11">
        <v>27</v>
      </c>
      <c r="L26" s="12">
        <f>-(F26*G26*$U$3)/J26</f>
        <v>-3.7838311290181301</v>
      </c>
      <c r="M26" s="11">
        <f>ABS(L26/$U$6)</f>
        <v>1.1031577635621371E-2</v>
      </c>
      <c r="N26" s="12">
        <f>L26*SIN(RADIANS(K26))</f>
        <v>-1.7178233851929943</v>
      </c>
      <c r="O26" s="12">
        <f>L26*COS(RADIANS(K26))</f>
        <v>-3.371418222382192</v>
      </c>
      <c r="P26" s="5">
        <v>2.4327338722108025</v>
      </c>
      <c r="Q26" s="5">
        <v>0.69118678541320422</v>
      </c>
      <c r="R26" s="6">
        <f>P26/Q26</f>
        <v>3.5196475447030853</v>
      </c>
    </row>
    <row r="27" spans="1:18" x14ac:dyDescent="0.35">
      <c r="A27" s="9">
        <v>26</v>
      </c>
      <c r="B27" s="5">
        <v>0.75</v>
      </c>
      <c r="C27" s="5">
        <v>4000000</v>
      </c>
      <c r="D27" s="5">
        <v>5</v>
      </c>
      <c r="E27" s="5">
        <v>0.375</v>
      </c>
      <c r="F27" s="5">
        <v>0.15</v>
      </c>
      <c r="G27" s="12">
        <f>(C27*$U$4)/($U$5*$U$3)</f>
        <v>58.775510204081627</v>
      </c>
      <c r="H27" s="11">
        <f>G27*COS(RADIANS(D27))</f>
        <v>58.551851642943404</v>
      </c>
      <c r="I27" s="11">
        <f>G27*SIN(RADIANS(D27))</f>
        <v>5.1226232472092956</v>
      </c>
      <c r="J27" s="11">
        <v>0.29299999999999998</v>
      </c>
      <c r="K27" s="12">
        <v>57</v>
      </c>
      <c r="L27" s="12">
        <f>-(F27*G27*$U$3)/J27</f>
        <v>-30.089851640314826</v>
      </c>
      <c r="M27" s="11">
        <f>ABS(L27/$U$6)</f>
        <v>8.7725514986340597E-2</v>
      </c>
      <c r="N27" s="12">
        <f>L27*SIN(RADIANS(K27))</f>
        <v>-25.235472964576385</v>
      </c>
      <c r="O27" s="12">
        <f>L27*COS(RADIANS(K27))</f>
        <v>-16.388107761126395</v>
      </c>
      <c r="P27" s="5">
        <v>5.8470912863077444</v>
      </c>
      <c r="Q27" s="5">
        <v>-0.53882807241465436</v>
      </c>
      <c r="R27" s="6">
        <f>P27/Q27</f>
        <v>-10.851497139161904</v>
      </c>
    </row>
    <row r="28" spans="1:18" x14ac:dyDescent="0.35">
      <c r="A28" s="9">
        <v>27</v>
      </c>
      <c r="B28" s="5">
        <v>0.75</v>
      </c>
      <c r="C28" s="5">
        <v>4000000</v>
      </c>
      <c r="D28" s="5">
        <v>5</v>
      </c>
      <c r="E28" s="5">
        <v>0</v>
      </c>
      <c r="F28" s="5">
        <v>0.05</v>
      </c>
      <c r="G28" s="12">
        <f>(C28*$U$4)/($U$5*$U$3)</f>
        <v>58.775510204081627</v>
      </c>
      <c r="H28" s="11">
        <f>G28*COS(RADIANS(D28))</f>
        <v>58.551851642943404</v>
      </c>
      <c r="I28" s="11">
        <f>G28*SIN(RADIANS(D28))</f>
        <v>5.1226232472092956</v>
      </c>
      <c r="J28" s="11">
        <v>0.27929999999999999</v>
      </c>
      <c r="K28" s="12">
        <v>0</v>
      </c>
      <c r="L28" s="12">
        <f>-(F28*G28*$U$3)/J28</f>
        <v>-10.521931651285648</v>
      </c>
      <c r="M28" s="11">
        <f>ABS(L28/$U$6)</f>
        <v>3.0676185572261365E-2</v>
      </c>
      <c r="N28" s="12">
        <f>L28*SIN(RADIANS(K28))</f>
        <v>0</v>
      </c>
      <c r="O28" s="12">
        <f>L28*COS(RADIANS(K28))</f>
        <v>-10.521931651285648</v>
      </c>
      <c r="P28" s="5">
        <v>4.0451783431079278</v>
      </c>
      <c r="Q28" s="5">
        <v>0.69743108567512058</v>
      </c>
      <c r="R28" s="6">
        <f>P28/Q28</f>
        <v>5.8001119052388566</v>
      </c>
    </row>
    <row r="29" spans="1:18" x14ac:dyDescent="0.35">
      <c r="A29" s="9">
        <v>28</v>
      </c>
      <c r="B29" s="5">
        <v>0.5</v>
      </c>
      <c r="C29" s="5">
        <v>6000000</v>
      </c>
      <c r="D29" s="5">
        <v>5</v>
      </c>
      <c r="E29" s="5">
        <v>0</v>
      </c>
      <c r="F29" s="5">
        <v>0.05</v>
      </c>
      <c r="G29" s="12">
        <f>(C29*$U$4)/($U$5*$U$3)</f>
        <v>88.16326530612244</v>
      </c>
      <c r="H29" s="11">
        <f>G29*COS(RADIANS(D29))</f>
        <v>87.827777464415107</v>
      </c>
      <c r="I29" s="11">
        <f>G29*SIN(RADIANS(D29))</f>
        <v>7.6839348708139434</v>
      </c>
      <c r="J29" s="12">
        <v>0.23230000000000001</v>
      </c>
      <c r="K29" s="12">
        <v>0</v>
      </c>
      <c r="L29" s="12">
        <f>-(F29*G29*$U$3)/J29</f>
        <v>-18.976165584615249</v>
      </c>
      <c r="M29" s="11">
        <f>ABS(L29/$U$6)</f>
        <v>5.532409791433017E-2</v>
      </c>
      <c r="N29" s="12">
        <f>L29*SIN(RADIANS(K29))</f>
        <v>0</v>
      </c>
      <c r="O29" s="12">
        <f>L29*COS(RADIANS(K29))</f>
        <v>-18.976165584615249</v>
      </c>
      <c r="P29" s="5">
        <v>4.3215997130966723</v>
      </c>
      <c r="Q29" s="5">
        <v>0.40312794407503638</v>
      </c>
      <c r="R29" s="6">
        <f>P29/Q29</f>
        <v>10.720169059508983</v>
      </c>
    </row>
    <row r="30" spans="1:18" x14ac:dyDescent="0.35">
      <c r="A30" s="9">
        <v>29</v>
      </c>
      <c r="B30" s="5">
        <v>0.25</v>
      </c>
      <c r="C30" s="5">
        <v>4000000</v>
      </c>
      <c r="D30" s="5">
        <v>30</v>
      </c>
      <c r="E30" s="5">
        <v>0</v>
      </c>
      <c r="F30" s="5">
        <v>1.4999999999999999E-2</v>
      </c>
      <c r="G30" s="12">
        <f>(C30*$U$4)/($U$5*$U$3)</f>
        <v>58.775510204081627</v>
      </c>
      <c r="H30" s="11">
        <f>G30*COS(RADIANS(D30))</f>
        <v>50.901084957126187</v>
      </c>
      <c r="I30" s="11">
        <f>G30*SIN(RADIANS(D30))</f>
        <v>29.38775510204081</v>
      </c>
      <c r="J30" s="12">
        <v>0.18990000000000001</v>
      </c>
      <c r="K30" s="12">
        <v>0</v>
      </c>
      <c r="L30" s="12">
        <f>-(F30*G30*$U$3)/J30</f>
        <v>-4.642615339974852</v>
      </c>
      <c r="M30" s="11">
        <f>ABS(L30/$U$6)</f>
        <v>1.3535321690888781E-2</v>
      </c>
      <c r="N30" s="12">
        <f>L30*SIN(RADIANS(K30))</f>
        <v>0</v>
      </c>
      <c r="O30" s="12">
        <f>L30*COS(RADIANS(K30))</f>
        <v>-4.642615339974852</v>
      </c>
      <c r="P30" s="5">
        <v>2.0513038462812374</v>
      </c>
      <c r="Q30" s="5">
        <v>0.86788357639862967</v>
      </c>
      <c r="R30" s="6">
        <f>P30/Q30</f>
        <v>2.363570301437584</v>
      </c>
    </row>
    <row r="31" spans="1:18" x14ac:dyDescent="0.35">
      <c r="A31" s="9">
        <v>30</v>
      </c>
      <c r="B31" s="5">
        <v>0.75</v>
      </c>
      <c r="C31" s="5">
        <v>6000000</v>
      </c>
      <c r="D31" s="5">
        <v>0</v>
      </c>
      <c r="E31" s="5">
        <v>0.125</v>
      </c>
      <c r="F31" s="5">
        <v>0.05</v>
      </c>
      <c r="G31" s="12">
        <f>(C31*$U$4)/($U$5*$U$3)</f>
        <v>88.16326530612244</v>
      </c>
      <c r="H31" s="11">
        <f>G31*COS(RADIANS(D31))</f>
        <v>88.16326530612244</v>
      </c>
      <c r="I31" s="11">
        <f>G31*SIN(RADIANS(D31))</f>
        <v>0</v>
      </c>
      <c r="J31" s="12">
        <v>0.2802</v>
      </c>
      <c r="K31" s="12">
        <v>19</v>
      </c>
      <c r="L31" s="12">
        <f>-(F31*G31*$U$3)/J31</f>
        <v>-15.732202945417994</v>
      </c>
      <c r="M31" s="11">
        <f>ABS(L31/$U$6)</f>
        <v>4.5866480890431466E-2</v>
      </c>
      <c r="N31" s="12">
        <f>L31*SIN(RADIANS(K31))</f>
        <v>-5.1219042784851814</v>
      </c>
      <c r="O31" s="12">
        <f>L31*COS(RADIANS(K31))</f>
        <v>-14.875090119990999</v>
      </c>
      <c r="P31" s="5">
        <v>4.9928611529103302</v>
      </c>
      <c r="Q31" s="5">
        <v>-6.0931407556537635E-2</v>
      </c>
      <c r="R31" s="6">
        <f>P31/Q31</f>
        <v>-81.942324215594482</v>
      </c>
    </row>
    <row r="32" spans="1:18" x14ac:dyDescent="0.35">
      <c r="A32" s="9">
        <v>31</v>
      </c>
      <c r="B32" s="5">
        <v>0.1</v>
      </c>
      <c r="C32" s="5">
        <v>4000000</v>
      </c>
      <c r="D32" s="5">
        <v>0</v>
      </c>
      <c r="E32" s="5">
        <v>0.25</v>
      </c>
      <c r="F32" s="5">
        <v>1.4999999999999999E-2</v>
      </c>
      <c r="G32" s="12">
        <f>(C32*$U$4)/($U$5*$U$3)</f>
        <v>58.775510204081627</v>
      </c>
      <c r="H32" s="11">
        <f>G32*COS(RADIANS(D32))</f>
        <v>58.775510204081627</v>
      </c>
      <c r="I32" s="11">
        <f>G32*SIN(RADIANS(D32))</f>
        <v>0</v>
      </c>
      <c r="J32" s="11">
        <v>0.1661</v>
      </c>
      <c r="K32" s="12">
        <v>80</v>
      </c>
      <c r="L32" s="12">
        <f>-(F32*G32*$U$3)/J32</f>
        <v>-5.3078425831500571</v>
      </c>
      <c r="M32" s="11">
        <f>ABS(L32/$U$6)</f>
        <v>1.5474759717638651E-2</v>
      </c>
      <c r="N32" s="12">
        <f>L32*SIN(RADIANS(K32))</f>
        <v>-5.2272045276545214</v>
      </c>
      <c r="O32" s="12">
        <f>L32*COS(RADIANS(K32))</f>
        <v>-0.92169719190693999</v>
      </c>
      <c r="P32" s="5">
        <v>1.3047768853923543</v>
      </c>
      <c r="Q32" s="5">
        <v>0.22792049031448458</v>
      </c>
      <c r="R32" s="6">
        <f>P32/Q32</f>
        <v>5.7247019940682984</v>
      </c>
    </row>
    <row r="33" spans="1:18" x14ac:dyDescent="0.35">
      <c r="A33" s="9">
        <v>32</v>
      </c>
      <c r="B33" s="5">
        <v>0.5</v>
      </c>
      <c r="C33" s="5">
        <v>2000000</v>
      </c>
      <c r="D33" s="5">
        <v>5</v>
      </c>
      <c r="E33" s="5">
        <v>0.375</v>
      </c>
      <c r="F33" s="5">
        <v>0.15</v>
      </c>
      <c r="G33" s="12">
        <f>(C33*$U$4)/($U$5*$U$3)</f>
        <v>29.387755102040813</v>
      </c>
      <c r="H33" s="11">
        <f>G33*COS(RADIANS(D33))</f>
        <v>29.275925821471702</v>
      </c>
      <c r="I33" s="11">
        <f>G33*SIN(RADIANS(D33))</f>
        <v>2.5613116236046478</v>
      </c>
      <c r="J33" s="12">
        <v>0.24809999999999999</v>
      </c>
      <c r="K33" s="12">
        <v>67</v>
      </c>
      <c r="L33" s="12">
        <f>-(F33*G33*$U$3)/J33</f>
        <v>-17.767687486118994</v>
      </c>
      <c r="M33" s="11">
        <f>ABS(L33/$U$6)</f>
        <v>5.1800838151950419E-2</v>
      </c>
      <c r="N33" s="12">
        <f>L33*SIN(RADIANS(K33))</f>
        <v>-16.355242565598722</v>
      </c>
      <c r="O33" s="12">
        <f>L33*COS(RADIANS(K33))</f>
        <v>-6.9423885820960214</v>
      </c>
      <c r="P33" s="5">
        <v>4.6819495502474995</v>
      </c>
      <c r="Q33" s="5">
        <v>-0.32144803261524779</v>
      </c>
      <c r="R33" s="6">
        <f>P33/Q33</f>
        <v>-14.565183405093308</v>
      </c>
    </row>
    <row r="34" spans="1:18" x14ac:dyDescent="0.35">
      <c r="A34" s="9">
        <v>33</v>
      </c>
      <c r="B34" s="5">
        <v>0.75</v>
      </c>
      <c r="C34" s="5">
        <v>2000000</v>
      </c>
      <c r="D34" s="5">
        <v>10</v>
      </c>
      <c r="E34" s="5">
        <v>0.125</v>
      </c>
      <c r="F34" s="5">
        <v>0.15</v>
      </c>
      <c r="G34" s="12">
        <f>(C34*$U$4)/($U$5*$U$3)</f>
        <v>29.387755102040813</v>
      </c>
      <c r="H34" s="11">
        <f>G34*COS(RADIANS(D34))</f>
        <v>28.941289068113864</v>
      </c>
      <c r="I34" s="11">
        <f>G34*SIN(RADIANS(D34))</f>
        <v>5.1031301191914213</v>
      </c>
      <c r="J34" s="12">
        <v>0.2802</v>
      </c>
      <c r="K34" s="12">
        <v>19</v>
      </c>
      <c r="L34" s="12">
        <f>-(F34*G34*$U$3)/J34</f>
        <v>-15.732202945417994</v>
      </c>
      <c r="M34" s="11">
        <f>ABS(L34/$U$6)</f>
        <v>4.5866480890431466E-2</v>
      </c>
      <c r="N34" s="12">
        <f>L34*SIN(RADIANS(K34))</f>
        <v>-5.1219042784851814</v>
      </c>
      <c r="O34" s="12">
        <f>L34*COS(RADIANS(K34))</f>
        <v>-14.875090119990999</v>
      </c>
      <c r="P34" s="5">
        <v>4.3747865422000727</v>
      </c>
      <c r="Q34" s="5">
        <v>0.26039230741233893</v>
      </c>
      <c r="R34" s="6">
        <f>P34/Q34</f>
        <v>16.800751856591788</v>
      </c>
    </row>
    <row r="35" spans="1:18" x14ac:dyDescent="0.35">
      <c r="A35" s="9">
        <v>34</v>
      </c>
      <c r="B35" s="5">
        <v>0.25</v>
      </c>
      <c r="C35" s="5">
        <v>4000000</v>
      </c>
      <c r="D35" s="5">
        <v>0</v>
      </c>
      <c r="E35" s="5">
        <v>0</v>
      </c>
      <c r="F35" s="5">
        <v>7.4999999999999997E-2</v>
      </c>
      <c r="G35" s="12">
        <f>(C35*$U$4)/($U$5*$U$3)</f>
        <v>58.775510204081627</v>
      </c>
      <c r="H35" s="11">
        <f>G35*COS(RADIANS(D35))</f>
        <v>58.775510204081627</v>
      </c>
      <c r="I35" s="11">
        <f>G35*SIN(RADIANS(D35))</f>
        <v>0</v>
      </c>
      <c r="J35" s="12">
        <v>0.18990000000000001</v>
      </c>
      <c r="K35" s="12">
        <v>0</v>
      </c>
      <c r="L35" s="12">
        <f>-(F35*G35*$U$3)/J35</f>
        <v>-23.213076699874257</v>
      </c>
      <c r="M35" s="11">
        <f>ABS(L35/$U$6)</f>
        <v>6.7676608454443898E-2</v>
      </c>
      <c r="N35" s="12">
        <f>L35*SIN(RADIANS(K35))</f>
        <v>0</v>
      </c>
      <c r="O35" s="12">
        <f>L35*COS(RADIANS(K35))</f>
        <v>-23.213076699874257</v>
      </c>
      <c r="P35" s="5">
        <v>2.2691121698055432</v>
      </c>
      <c r="Q35" s="5">
        <v>0.11843698284146949</v>
      </c>
      <c r="R35" s="6">
        <f>P35/Q35</f>
        <v>19.15881437846825</v>
      </c>
    </row>
    <row r="36" spans="1:18" x14ac:dyDescent="0.35">
      <c r="A36" s="9">
        <v>35</v>
      </c>
      <c r="B36" s="5">
        <v>1</v>
      </c>
      <c r="C36" s="5">
        <v>4000000</v>
      </c>
      <c r="D36" s="5">
        <v>10</v>
      </c>
      <c r="E36" s="5">
        <v>0</v>
      </c>
      <c r="F36" s="5">
        <v>3.5000000000000003E-2</v>
      </c>
      <c r="G36" s="12">
        <f>(C36*$U$4)/($U$5*$U$3)</f>
        <v>58.775510204081627</v>
      </c>
      <c r="H36" s="11">
        <f>G36*COS(RADIANS(D36))</f>
        <v>57.882578136227728</v>
      </c>
      <c r="I36" s="11">
        <f>G36*SIN(RADIANS(D36))</f>
        <v>10.206260238382843</v>
      </c>
      <c r="J36" s="11">
        <v>0.33379999999999999</v>
      </c>
      <c r="K36" s="12">
        <v>0</v>
      </c>
      <c r="L36" s="12">
        <f>-(F36*G36*$U$3)/J36</f>
        <v>-6.1628006505178465</v>
      </c>
      <c r="M36" s="11">
        <f>ABS(L36/$U$6)</f>
        <v>1.7967348835328998E-2</v>
      </c>
      <c r="N36" s="12">
        <f>L36*SIN(RADIANS(K36))</f>
        <v>0</v>
      </c>
      <c r="O36" s="12">
        <f>L36*COS(RADIANS(K36))</f>
        <v>-6.1628006505178465</v>
      </c>
      <c r="P36" s="5">
        <v>0.77609317219353779</v>
      </c>
      <c r="Q36" s="5">
        <v>2.3107029884723489</v>
      </c>
      <c r="R36" s="6">
        <f>P36/Q36</f>
        <v>0.33586885725483406</v>
      </c>
    </row>
    <row r="37" spans="1:18" x14ac:dyDescent="0.35">
      <c r="A37" s="9">
        <v>36</v>
      </c>
      <c r="B37" s="5">
        <v>1</v>
      </c>
      <c r="C37" s="5">
        <v>2000000</v>
      </c>
      <c r="D37" s="5">
        <v>5</v>
      </c>
      <c r="E37" s="5">
        <v>0.125</v>
      </c>
      <c r="F37" s="5">
        <v>0.1</v>
      </c>
      <c r="G37" s="12">
        <f>(C37*$U$4)/($U$5*$U$3)</f>
        <v>29.387755102040813</v>
      </c>
      <c r="H37" s="11">
        <f>G37*COS(RADIANS(D37))</f>
        <v>29.275925821471702</v>
      </c>
      <c r="I37" s="11">
        <f>G37*SIN(RADIANS(D37))</f>
        <v>2.5613116236046478</v>
      </c>
      <c r="J37" s="11">
        <v>0.33379999999999999</v>
      </c>
      <c r="K37" s="12">
        <v>14</v>
      </c>
      <c r="L37" s="12">
        <f>-(F37*G37*$U$3)/J37</f>
        <v>-8.8040009293112096</v>
      </c>
      <c r="M37" s="11">
        <f>ABS(L37/$U$6)</f>
        <v>2.566764119332714E-2</v>
      </c>
      <c r="N37" s="12">
        <f>L37*SIN(RADIANS(K37))</f>
        <v>-2.1298805936802041</v>
      </c>
      <c r="O37" s="12">
        <f>L37*COS(RADIANS(K37))</f>
        <v>-8.5424844758405687</v>
      </c>
      <c r="P37" s="5">
        <v>3.0679184121146763</v>
      </c>
      <c r="Q37" s="5">
        <v>0.65412546252679227</v>
      </c>
      <c r="R37" s="6">
        <f>P37/Q37</f>
        <v>4.6901070022006941</v>
      </c>
    </row>
    <row r="38" spans="1:18" x14ac:dyDescent="0.35">
      <c r="A38" s="9">
        <v>37</v>
      </c>
      <c r="B38" s="5">
        <v>1</v>
      </c>
      <c r="C38" s="5">
        <v>6000000</v>
      </c>
      <c r="D38" s="5">
        <v>15</v>
      </c>
      <c r="E38" s="5">
        <v>0.125</v>
      </c>
      <c r="F38" s="5">
        <v>0</v>
      </c>
      <c r="G38" s="12">
        <f>(C38*$U$4)/($U$5*$U$3)</f>
        <v>88.16326530612244</v>
      </c>
      <c r="H38" s="11">
        <f>G38*COS(RADIANS(D38))</f>
        <v>85.159174889158663</v>
      </c>
      <c r="I38" s="11">
        <f>G38*SIN(RADIANS(D38))</f>
        <v>22.818332139650806</v>
      </c>
      <c r="J38" s="11">
        <v>0.33379999999999999</v>
      </c>
      <c r="K38" s="12">
        <v>14</v>
      </c>
      <c r="L38" s="12">
        <f>-(F38*G38*$U$3)/J38</f>
        <v>0</v>
      </c>
      <c r="M38" s="11">
        <f>ABS(L38/$U$6)</f>
        <v>0</v>
      </c>
      <c r="N38" s="12">
        <f>L38*SIN(RADIANS(K38))</f>
        <v>0</v>
      </c>
      <c r="O38" s="12">
        <f>L38*COS(RADIANS(K38))</f>
        <v>0</v>
      </c>
      <c r="P38" s="5">
        <v>5.9999069844028465</v>
      </c>
      <c r="Q38" s="5">
        <v>2.2772080146821407</v>
      </c>
      <c r="R38" s="6">
        <f>P38/Q38</f>
        <v>2.634764565080951</v>
      </c>
    </row>
    <row r="39" spans="1:18" x14ac:dyDescent="0.35">
      <c r="A39" s="9">
        <v>38</v>
      </c>
      <c r="B39" s="5">
        <v>0.75</v>
      </c>
      <c r="C39" s="5">
        <v>4000000</v>
      </c>
      <c r="D39" s="5">
        <v>5</v>
      </c>
      <c r="E39" s="5">
        <v>0.25</v>
      </c>
      <c r="F39" s="5">
        <v>1.4999999999999999E-2</v>
      </c>
      <c r="G39" s="12">
        <f>(C39*$U$4)/($U$5*$U$3)</f>
        <v>58.775510204081627</v>
      </c>
      <c r="H39" s="11">
        <f>G39*COS(RADIANS(D39))</f>
        <v>58.551851642943404</v>
      </c>
      <c r="I39" s="11">
        <f>G39*SIN(RADIANS(D39))</f>
        <v>5.1226232472092956</v>
      </c>
      <c r="J39" s="12">
        <v>0.28370000000000001</v>
      </c>
      <c r="K39" s="11">
        <v>38</v>
      </c>
      <c r="L39" s="12">
        <f>-(F39*G39*$U$3)/J39</f>
        <v>-3.1076230280621231</v>
      </c>
      <c r="M39" s="11">
        <f>ABS(L39/$U$6)</f>
        <v>9.0601254462452565E-3</v>
      </c>
      <c r="N39" s="12">
        <f>L39*SIN(RADIANS(K39))</f>
        <v>-1.9132437782127163</v>
      </c>
      <c r="O39" s="12">
        <f>L39*COS(RADIANS(K39))</f>
        <v>-2.4488403642688366</v>
      </c>
      <c r="P39" s="5">
        <v>4.5709573468606042</v>
      </c>
      <c r="Q39" s="5">
        <v>6.1069230482639777E-2</v>
      </c>
      <c r="R39" s="6">
        <f>P39/Q39</f>
        <v>74.848779176282491</v>
      </c>
    </row>
    <row r="40" spans="1:18" x14ac:dyDescent="0.35">
      <c r="A40" s="9">
        <v>39</v>
      </c>
      <c r="B40" s="5">
        <v>0.75</v>
      </c>
      <c r="C40" s="5">
        <v>6000000</v>
      </c>
      <c r="D40" s="5">
        <v>30</v>
      </c>
      <c r="E40" s="5">
        <v>0.125</v>
      </c>
      <c r="F40" s="5">
        <v>1.4999999999999999E-2</v>
      </c>
      <c r="G40" s="12">
        <f>(C40*$U$4)/($U$5*$U$3)</f>
        <v>88.16326530612244</v>
      </c>
      <c r="H40" s="11">
        <f>G40*COS(RADIANS(D40))</f>
        <v>76.351627435689281</v>
      </c>
      <c r="I40" s="11">
        <f>G40*SIN(RADIANS(D40))</f>
        <v>44.081632653061213</v>
      </c>
      <c r="J40" s="12">
        <v>0.2802</v>
      </c>
      <c r="K40" s="12">
        <v>19</v>
      </c>
      <c r="L40" s="12">
        <f>-(F40*G40*$U$3)/J40</f>
        <v>-4.7196608836253979</v>
      </c>
      <c r="M40" s="11">
        <f>ABS(L40/$U$6)</f>
        <v>1.375994426712944E-2</v>
      </c>
      <c r="N40" s="12">
        <f>L40*SIN(RADIANS(K40))</f>
        <v>-1.5365712835455543</v>
      </c>
      <c r="O40" s="12">
        <f>L40*COS(RADIANS(K40))</f>
        <v>-4.4625270359972991</v>
      </c>
      <c r="P40" s="5">
        <v>3.3620232640407468</v>
      </c>
      <c r="Q40" s="5">
        <v>1.3599300249924291</v>
      </c>
      <c r="R40" s="6">
        <f>P40/Q40</f>
        <v>2.4722031297599032</v>
      </c>
    </row>
    <row r="41" spans="1:18" x14ac:dyDescent="0.35">
      <c r="A41" s="9">
        <v>40</v>
      </c>
      <c r="B41" s="5">
        <v>0.1</v>
      </c>
      <c r="C41" s="5">
        <v>4000000</v>
      </c>
      <c r="D41" s="5">
        <v>10</v>
      </c>
      <c r="E41" s="5">
        <v>0.125</v>
      </c>
      <c r="F41" s="5">
        <v>7.4999999999999997E-2</v>
      </c>
      <c r="G41" s="12">
        <f>(C41*$U$4)/($U$5*$U$3)</f>
        <v>58.775510204081627</v>
      </c>
      <c r="H41" s="11">
        <f>G41*COS(RADIANS(D41))</f>
        <v>57.882578136227728</v>
      </c>
      <c r="I41" s="11">
        <f>G41*SIN(RADIANS(D41))</f>
        <v>10.206260238382843</v>
      </c>
      <c r="J41" s="12">
        <v>0.1658</v>
      </c>
      <c r="K41" s="12">
        <v>69</v>
      </c>
      <c r="L41" s="12">
        <f>-(F41*G41*$U$3)/J41</f>
        <v>-26.587233204500134</v>
      </c>
      <c r="M41" s="11">
        <f>ABS(L41/$U$6)</f>
        <v>7.7513799430029548E-2</v>
      </c>
      <c r="N41" s="12">
        <f>L41*SIN(RADIANS(K41))</f>
        <v>-24.821320514437797</v>
      </c>
      <c r="O41" s="12">
        <f>L41*COS(RADIANS(K41))</f>
        <v>-9.5280122475794382</v>
      </c>
      <c r="P41" s="5">
        <v>1.6245292697316571</v>
      </c>
      <c r="Q41" s="5">
        <v>0.46759146821047981</v>
      </c>
      <c r="R41" s="6">
        <f>P41/Q41</f>
        <v>3.4742491687217822</v>
      </c>
    </row>
    <row r="42" spans="1:18" x14ac:dyDescent="0.35">
      <c r="A42" s="9">
        <v>41</v>
      </c>
      <c r="B42" s="5">
        <v>0.1</v>
      </c>
      <c r="C42" s="5">
        <v>2000000</v>
      </c>
      <c r="D42" s="5">
        <v>0</v>
      </c>
      <c r="E42" s="5">
        <v>0.125</v>
      </c>
      <c r="F42" s="5">
        <v>2.5000000000000001E-2</v>
      </c>
      <c r="G42" s="12">
        <f>(C42*$U$4)/($U$5*$U$3)</f>
        <v>29.387755102040813</v>
      </c>
      <c r="H42" s="11">
        <f>G42*COS(RADIANS(D42))</f>
        <v>29.387755102040813</v>
      </c>
      <c r="I42" s="11">
        <f>G42*SIN(RADIANS(D42))</f>
        <v>0</v>
      </c>
      <c r="J42" s="12">
        <v>0.1658</v>
      </c>
      <c r="K42" s="12">
        <v>69</v>
      </c>
      <c r="L42" s="12">
        <f>-(F42*G42*$U$3)/J42</f>
        <v>-4.4312055340833556</v>
      </c>
      <c r="M42" s="11">
        <f>ABS(L42/$U$6)</f>
        <v>1.2918966571671591E-2</v>
      </c>
      <c r="N42" s="12">
        <f>L42*SIN(RADIANS(K42))</f>
        <v>-4.1368867524062995</v>
      </c>
      <c r="O42" s="12">
        <f>L42*COS(RADIANS(K42))</f>
        <v>-1.5880020412632398</v>
      </c>
      <c r="P42" s="5">
        <v>1.2328822133488262</v>
      </c>
      <c r="Q42" s="5">
        <v>0.23974382936929728</v>
      </c>
      <c r="R42" s="6">
        <f>P42/Q42</f>
        <v>5.1424982098276057</v>
      </c>
    </row>
    <row r="43" spans="1:18" x14ac:dyDescent="0.35">
      <c r="A43" s="9">
        <v>42</v>
      </c>
      <c r="B43" s="5">
        <v>0.25</v>
      </c>
      <c r="C43" s="5">
        <v>2000000</v>
      </c>
      <c r="D43" s="5">
        <v>5</v>
      </c>
      <c r="E43" s="5">
        <v>0.25</v>
      </c>
      <c r="F43" s="5">
        <v>0</v>
      </c>
      <c r="G43" s="12">
        <f>(C43*$U$4)/($U$5*$U$3)</f>
        <v>29.387755102040813</v>
      </c>
      <c r="H43" s="11">
        <f>G43*COS(RADIANS(D43))</f>
        <v>29.275925821471702</v>
      </c>
      <c r="I43" s="11">
        <f>G43*SIN(RADIANS(D43))</f>
        <v>2.5613116236046478</v>
      </c>
      <c r="J43" s="12">
        <v>0.1913</v>
      </c>
      <c r="K43" s="11">
        <v>67</v>
      </c>
      <c r="L43" s="12">
        <f>-(F43*G43*$U$3)/J43</f>
        <v>0</v>
      </c>
      <c r="M43" s="11">
        <f>ABS(L43/$U$6)</f>
        <v>0</v>
      </c>
      <c r="N43" s="12">
        <f>L43*SIN(RADIANS(K43))</f>
        <v>0</v>
      </c>
      <c r="O43" s="12">
        <f>L43*COS(RADIANS(K43))</f>
        <v>0</v>
      </c>
      <c r="P43" s="5">
        <v>2.5061808912538859</v>
      </c>
      <c r="Q43" s="5">
        <v>0.41233887183706486</v>
      </c>
      <c r="R43" s="6">
        <f>P43/Q43</f>
        <v>6.0779641756506519</v>
      </c>
    </row>
    <row r="44" spans="1:18" x14ac:dyDescent="0.35">
      <c r="A44" s="9">
        <v>43</v>
      </c>
      <c r="B44" s="5">
        <v>0.1</v>
      </c>
      <c r="C44" s="5">
        <v>2000000</v>
      </c>
      <c r="D44" s="5">
        <v>15</v>
      </c>
      <c r="E44" s="5">
        <v>0</v>
      </c>
      <c r="F44" s="5">
        <v>2.5000000000000001E-2</v>
      </c>
      <c r="G44" s="12">
        <f>(C44*$U$4)/($U$5*$U$3)</f>
        <v>29.387755102040813</v>
      </c>
      <c r="H44" s="11">
        <f>G44*COS(RADIANS(D44))</f>
        <v>28.386391629719554</v>
      </c>
      <c r="I44" s="11">
        <f>G44*SIN(RADIANS(D44))</f>
        <v>7.6061107132169354</v>
      </c>
      <c r="J44" s="11">
        <v>0.16569999999999999</v>
      </c>
      <c r="K44" s="12">
        <v>0</v>
      </c>
      <c r="L44" s="12">
        <f>-(F44*G44*$U$3)/J44</f>
        <v>-4.4338797679602919</v>
      </c>
      <c r="M44" s="11">
        <f>ABS(L44/$U$6)</f>
        <v>1.2926763171895894E-2</v>
      </c>
      <c r="N44" s="12">
        <f>L44*SIN(RADIANS(K44))</f>
        <v>0</v>
      </c>
      <c r="O44" s="12">
        <f>L44*COS(RADIANS(K44))</f>
        <v>-4.4338797679602919</v>
      </c>
      <c r="P44" s="5">
        <v>1.3220238759629848</v>
      </c>
      <c r="Q44" s="5">
        <v>0.51070299742746683</v>
      </c>
      <c r="R44" s="6">
        <f>P44/Q44</f>
        <v>2.5886354351204814</v>
      </c>
    </row>
    <row r="45" spans="1:18" x14ac:dyDescent="0.35">
      <c r="A45" s="9">
        <v>44</v>
      </c>
      <c r="B45" s="5">
        <v>0.5</v>
      </c>
      <c r="C45" s="5">
        <v>2000000</v>
      </c>
      <c r="D45" s="5">
        <v>0</v>
      </c>
      <c r="E45" s="5">
        <v>0.125</v>
      </c>
      <c r="F45" s="5">
        <v>7.4999999999999997E-2</v>
      </c>
      <c r="G45" s="12">
        <f>(C45*$U$4)/($U$5*$U$3)</f>
        <v>29.387755102040813</v>
      </c>
      <c r="H45" s="11">
        <f>G45*COS(RADIANS(D45))</f>
        <v>29.387755102040813</v>
      </c>
      <c r="I45" s="11">
        <f>G45*SIN(RADIANS(D45))</f>
        <v>0</v>
      </c>
      <c r="J45" s="12">
        <v>0.23300000000000001</v>
      </c>
      <c r="K45" s="11">
        <v>27</v>
      </c>
      <c r="L45" s="12">
        <f>-(F45*G45*$U$3)/J45</f>
        <v>-9.4595778225453255</v>
      </c>
      <c r="M45" s="11">
        <f>ABS(L45/$U$6)</f>
        <v>2.7578944089053429E-2</v>
      </c>
      <c r="N45" s="12">
        <f>L45*SIN(RADIANS(K45))</f>
        <v>-4.2945584629824856</v>
      </c>
      <c r="O45" s="12">
        <f>L45*COS(RADIANS(K45))</f>
        <v>-8.4285455559554805</v>
      </c>
      <c r="P45" s="5">
        <v>4.7471728109507403</v>
      </c>
      <c r="Q45" s="5">
        <v>-5.2088873399671491E-2</v>
      </c>
      <c r="R45" s="6">
        <f>P45/Q45</f>
        <v>-91.136023897584991</v>
      </c>
    </row>
    <row r="46" spans="1:18" x14ac:dyDescent="0.35">
      <c r="A46" s="9">
        <v>45</v>
      </c>
      <c r="B46" s="5">
        <v>1</v>
      </c>
      <c r="C46" s="5">
        <v>4000000</v>
      </c>
      <c r="D46" s="5">
        <v>5</v>
      </c>
      <c r="E46" s="5">
        <v>0.375</v>
      </c>
      <c r="F46" s="5">
        <v>3.5000000000000003E-2</v>
      </c>
      <c r="G46" s="12">
        <f>(C46*$U$4)/($U$5*$U$3)</f>
        <v>58.775510204081627</v>
      </c>
      <c r="H46" s="11">
        <f>G46*COS(RADIANS(D46))</f>
        <v>58.551851642943404</v>
      </c>
      <c r="I46" s="11">
        <f>G46*SIN(RADIANS(D46))</f>
        <v>5.1226232472092956</v>
      </c>
      <c r="J46" s="12">
        <v>0.33379999999999999</v>
      </c>
      <c r="K46" s="11">
        <v>49</v>
      </c>
      <c r="L46" s="12">
        <f>-(F46*G46*$U$3)/J46</f>
        <v>-6.1628006505178465</v>
      </c>
      <c r="M46" s="11">
        <f>ABS(L46/$U$6)</f>
        <v>1.7967348835328998E-2</v>
      </c>
      <c r="N46" s="12">
        <f>L46*SIN(RADIANS(K46))</f>
        <v>-4.65112469194895</v>
      </c>
      <c r="O46" s="12">
        <f>L46*COS(RADIANS(K46))</f>
        <v>-4.0431610106408051</v>
      </c>
      <c r="P46" s="5">
        <v>4.6361126515584665</v>
      </c>
      <c r="Q46" s="5">
        <v>-0.15724622778060524</v>
      </c>
      <c r="R46" s="6">
        <f>P46/Q46</f>
        <v>-29.483140657764544</v>
      </c>
    </row>
    <row r="47" spans="1:18" x14ac:dyDescent="0.35">
      <c r="A47" s="9">
        <v>46</v>
      </c>
      <c r="B47" s="5">
        <v>0.5</v>
      </c>
      <c r="C47" s="5">
        <v>6000000</v>
      </c>
      <c r="D47" s="5">
        <v>30</v>
      </c>
      <c r="E47" s="5">
        <v>0</v>
      </c>
      <c r="F47" s="5">
        <v>0.05</v>
      </c>
      <c r="G47" s="12">
        <f>(C47*$U$4)/($U$5*$U$3)</f>
        <v>88.16326530612244</v>
      </c>
      <c r="H47" s="11">
        <f>G47*COS(RADIANS(D47))</f>
        <v>76.351627435689281</v>
      </c>
      <c r="I47" s="11">
        <f>G47*SIN(RADIANS(D47))</f>
        <v>44.081632653061213</v>
      </c>
      <c r="J47" s="12">
        <v>0.23230000000000001</v>
      </c>
      <c r="K47" s="12">
        <v>0</v>
      </c>
      <c r="L47" s="12">
        <f>-(F47*G47*$U$3)/J47</f>
        <v>-18.976165584615249</v>
      </c>
      <c r="M47" s="11">
        <f>ABS(L47/$U$6)</f>
        <v>5.532409791433017E-2</v>
      </c>
      <c r="N47" s="12">
        <f>L47*SIN(RADIANS(K47))</f>
        <v>0</v>
      </c>
      <c r="O47" s="12">
        <f>L47*COS(RADIANS(K47))</f>
        <v>-18.976165584615249</v>
      </c>
      <c r="P47" s="5">
        <v>3.9298161415045474</v>
      </c>
      <c r="Q47" s="5">
        <v>1.3854599029909389</v>
      </c>
      <c r="R47" s="6">
        <f>P47/Q47</f>
        <v>2.8364704983672477</v>
      </c>
    </row>
    <row r="48" spans="1:18" x14ac:dyDescent="0.35">
      <c r="A48" s="9">
        <v>47</v>
      </c>
      <c r="B48" s="5">
        <v>1</v>
      </c>
      <c r="C48" s="5">
        <v>4000000</v>
      </c>
      <c r="D48" s="5">
        <v>10</v>
      </c>
      <c r="E48" s="5">
        <v>0.25</v>
      </c>
      <c r="F48" s="5">
        <v>0</v>
      </c>
      <c r="G48" s="12">
        <f>(C48*$U$4)/($U$5*$U$3)</f>
        <v>58.775510204081627</v>
      </c>
      <c r="H48" s="11">
        <f>G48*COS(RADIANS(D48))</f>
        <v>57.882578136227728</v>
      </c>
      <c r="I48" s="11">
        <f>G48*SIN(RADIANS(D48))</f>
        <v>10.206260238382843</v>
      </c>
      <c r="J48" s="13">
        <v>0.33379999999999999</v>
      </c>
      <c r="K48" s="12">
        <v>30</v>
      </c>
      <c r="L48" s="12">
        <f>-(F48*G48*$U$3)/J48</f>
        <v>0</v>
      </c>
      <c r="M48" s="11">
        <f>ABS(L48/$U$6)</f>
        <v>0</v>
      </c>
      <c r="N48" s="12">
        <f>L48*SIN(RADIANS(K48))</f>
        <v>0</v>
      </c>
      <c r="O48" s="12">
        <f>L48*COS(RADIANS(K48))</f>
        <v>0</v>
      </c>
      <c r="P48" s="5">
        <v>6.5724978929609623</v>
      </c>
      <c r="Q48" s="5">
        <v>1.6278956159634823</v>
      </c>
      <c r="R48" s="6">
        <f>P48/Q48</f>
        <v>4.0374197390236102</v>
      </c>
    </row>
    <row r="49" spans="1:18" x14ac:dyDescent="0.35">
      <c r="A49" s="9">
        <v>48</v>
      </c>
      <c r="B49" s="5">
        <v>0.1</v>
      </c>
      <c r="C49" s="5">
        <v>2000000</v>
      </c>
      <c r="D49" s="5">
        <v>15</v>
      </c>
      <c r="E49" s="5">
        <v>0</v>
      </c>
      <c r="F49" s="5">
        <v>0.15</v>
      </c>
      <c r="G49" s="12">
        <f>(C49*$U$4)/($U$5*$U$3)</f>
        <v>29.387755102040813</v>
      </c>
      <c r="H49" s="11">
        <f>G49*COS(RADIANS(D49))</f>
        <v>28.386391629719554</v>
      </c>
      <c r="I49" s="11">
        <f>G49*SIN(RADIANS(D49))</f>
        <v>7.6061107132169354</v>
      </c>
      <c r="J49" s="11">
        <v>0.16569999999999999</v>
      </c>
      <c r="K49" s="12">
        <v>0</v>
      </c>
      <c r="L49" s="12">
        <f>-(F49*G49*$U$3)/J49</f>
        <v>-26.603278607761752</v>
      </c>
      <c r="M49" s="11">
        <f>ABS(L49/$U$6)</f>
        <v>7.7560579031375365E-2</v>
      </c>
      <c r="N49" s="12">
        <f>L49*SIN(RADIANS(K49))</f>
        <v>0</v>
      </c>
      <c r="O49" s="12">
        <f>L49*COS(RADIANS(K49))</f>
        <v>-26.603278607761752</v>
      </c>
      <c r="P49" s="5">
        <v>1.795350398041561</v>
      </c>
      <c r="Q49" s="5">
        <v>0.5380563566179184</v>
      </c>
      <c r="R49" s="6">
        <f>P49/Q49</f>
        <v>3.3367329945261948</v>
      </c>
    </row>
    <row r="50" spans="1:18" x14ac:dyDescent="0.35">
      <c r="A50" s="9">
        <v>2148</v>
      </c>
      <c r="B50" s="5">
        <v>0.1</v>
      </c>
      <c r="C50" s="5">
        <v>6000000</v>
      </c>
      <c r="D50" s="5">
        <v>15</v>
      </c>
      <c r="E50" s="5">
        <v>0</v>
      </c>
      <c r="F50" s="5">
        <v>0.15</v>
      </c>
      <c r="G50" s="12">
        <f>(C50*$U$4)/($U$5*$U$3)</f>
        <v>88.16326530612244</v>
      </c>
      <c r="H50" s="11">
        <f>G50*COS(RADIANS(D50))</f>
        <v>85.159174889158663</v>
      </c>
      <c r="I50" s="11">
        <f>G50*SIN(RADIANS(D50))</f>
        <v>22.818332139650806</v>
      </c>
      <c r="J50" s="11">
        <v>0.16569999999999999</v>
      </c>
      <c r="K50" s="12">
        <v>0</v>
      </c>
      <c r="L50" s="12">
        <f>-(F50*G50*$U$3)/J50</f>
        <v>-79.809835823285255</v>
      </c>
      <c r="M50" s="11">
        <f>ABS(L50/$U$6)</f>
        <v>0.2326817370941261</v>
      </c>
      <c r="N50" s="12">
        <f>L50*SIN(RADIANS(K50))</f>
        <v>0</v>
      </c>
      <c r="O50" s="12">
        <f>L50*COS(RADIANS(K50))</f>
        <v>-79.809835823285255</v>
      </c>
      <c r="P50" s="5">
        <v>1.8013548157381027</v>
      </c>
      <c r="Q50" s="5">
        <v>0.53994803690772175</v>
      </c>
      <c r="R50" s="6">
        <f>P50/Q50</f>
        <v>3.336163283516036</v>
      </c>
    </row>
    <row r="51" spans="1:18" x14ac:dyDescent="0.35">
      <c r="A51" s="9">
        <v>50</v>
      </c>
      <c r="B51" s="5">
        <v>0.1</v>
      </c>
      <c r="C51" s="5">
        <v>4000000</v>
      </c>
      <c r="D51" s="5">
        <v>10</v>
      </c>
      <c r="E51" s="5">
        <v>0.375</v>
      </c>
      <c r="F51" s="5">
        <v>2.5000000000000001E-2</v>
      </c>
      <c r="G51" s="12">
        <f>(C51*$U$4)/($U$5*$U$3)</f>
        <v>58.775510204081627</v>
      </c>
      <c r="H51" s="11">
        <f>G51*COS(RADIANS(D51))</f>
        <v>57.882578136227728</v>
      </c>
      <c r="I51" s="11">
        <f>G51*SIN(RADIANS(D51))</f>
        <v>10.206260238382843</v>
      </c>
      <c r="J51" s="12">
        <v>0.16789999999999999</v>
      </c>
      <c r="K51" s="11">
        <v>85</v>
      </c>
      <c r="L51" s="12">
        <f>-(F51*G51*$U$3)/J51</f>
        <v>-8.7515649499823756</v>
      </c>
      <c r="M51" s="11">
        <f>ABS(L51/$U$6)</f>
        <v>2.5514766618024418E-2</v>
      </c>
      <c r="N51" s="12">
        <f>L51*SIN(RADIANS(K51))</f>
        <v>-8.718262603177994</v>
      </c>
      <c r="O51" s="12">
        <f>L51*COS(RADIANS(K51))</f>
        <v>-0.7627491434200856</v>
      </c>
      <c r="P51" s="5">
        <v>1.8127414672143918</v>
      </c>
      <c r="Q51" s="5">
        <v>0.51643567837885052</v>
      </c>
      <c r="R51" s="6">
        <f>P51/Q51</f>
        <v>3.5101011473583514</v>
      </c>
    </row>
    <row r="52" spans="1:18" x14ac:dyDescent="0.35">
      <c r="A52" s="9">
        <v>51</v>
      </c>
      <c r="B52" s="5">
        <v>1</v>
      </c>
      <c r="C52" s="5">
        <v>2000000</v>
      </c>
      <c r="D52" s="5">
        <v>30</v>
      </c>
      <c r="E52" s="5">
        <v>0.125</v>
      </c>
      <c r="F52" s="5">
        <v>0.1</v>
      </c>
      <c r="G52" s="12">
        <f>(C52*$U$4)/($U$5*$U$3)</f>
        <v>29.387755102040813</v>
      </c>
      <c r="H52" s="11">
        <f>G52*COS(RADIANS(D52))</f>
        <v>25.450542478563094</v>
      </c>
      <c r="I52" s="11">
        <f>G52*SIN(RADIANS(D52))</f>
        <v>14.693877551020405</v>
      </c>
      <c r="J52" s="11">
        <v>0.33379999999999999</v>
      </c>
      <c r="K52" s="12">
        <v>14</v>
      </c>
      <c r="L52" s="12">
        <f>-(F52*G52*$U$3)/J52</f>
        <v>-8.8040009293112096</v>
      </c>
      <c r="M52" s="11">
        <f>ABS(L52/$U$6)</f>
        <v>2.566764119332714E-2</v>
      </c>
      <c r="N52" s="12">
        <f>L52*SIN(RADIANS(K52))</f>
        <v>-2.1298805936802041</v>
      </c>
      <c r="O52" s="12">
        <f>L52*COS(RADIANS(K52))</f>
        <v>-8.5424844758405687</v>
      </c>
      <c r="P52" s="5">
        <v>2.8000162791797969</v>
      </c>
      <c r="Q52" s="5">
        <v>1.3177041725030736</v>
      </c>
      <c r="R52" s="6">
        <f>P52/Q52</f>
        <v>2.1249202496346089</v>
      </c>
    </row>
    <row r="53" spans="1:18" x14ac:dyDescent="0.35">
      <c r="A53" s="9">
        <v>52</v>
      </c>
      <c r="B53" s="5">
        <v>1</v>
      </c>
      <c r="C53" s="5">
        <v>6000000</v>
      </c>
      <c r="D53" s="5">
        <v>30</v>
      </c>
      <c r="E53" s="5">
        <v>0</v>
      </c>
      <c r="F53" s="5">
        <v>0.05</v>
      </c>
      <c r="G53" s="12">
        <f>(C53*$U$4)/($U$5*$U$3)</f>
        <v>88.16326530612244</v>
      </c>
      <c r="H53" s="11">
        <f>G53*COS(RADIANS(D53))</f>
        <v>76.351627435689281</v>
      </c>
      <c r="I53" s="11">
        <f>G53*SIN(RADIANS(D53))</f>
        <v>44.081632653061213</v>
      </c>
      <c r="J53" s="11">
        <v>0.33379999999999999</v>
      </c>
      <c r="K53" s="12">
        <v>0</v>
      </c>
      <c r="L53" s="12">
        <f>-(F53*G53*$U$3)/J53</f>
        <v>-13.206001393966813</v>
      </c>
      <c r="M53" s="11">
        <f>ABS(L53/$U$6)</f>
        <v>3.8501461789990712E-2</v>
      </c>
      <c r="N53" s="12">
        <f>L53*SIN(RADIANS(K53))</f>
        <v>0</v>
      </c>
      <c r="O53" s="12">
        <f>L53*COS(RADIANS(K53))</f>
        <v>-13.206001393966813</v>
      </c>
      <c r="P53" s="5">
        <v>0.99273106063378769</v>
      </c>
      <c r="Q53" s="5">
        <v>1.7126282215956306</v>
      </c>
      <c r="R53" s="6">
        <f>P53/Q53</f>
        <v>0.57965356877564167</v>
      </c>
    </row>
    <row r="54" spans="1:18" x14ac:dyDescent="0.35">
      <c r="A54" s="9">
        <v>53</v>
      </c>
      <c r="B54" s="5">
        <v>0.25</v>
      </c>
      <c r="C54" s="5">
        <v>6000000</v>
      </c>
      <c r="D54" s="5">
        <v>15</v>
      </c>
      <c r="E54" s="5">
        <v>0.25</v>
      </c>
      <c r="F54" s="5">
        <v>0</v>
      </c>
      <c r="G54" s="12">
        <f>(C54*$U$4)/($U$5*$U$3)</f>
        <v>88.16326530612244</v>
      </c>
      <c r="H54" s="11">
        <f>G54*COS(RADIANS(D54))</f>
        <v>85.159174889158663</v>
      </c>
      <c r="I54" s="11">
        <f>G54*SIN(RADIANS(D54))</f>
        <v>22.818332139650806</v>
      </c>
      <c r="J54" s="12">
        <v>0.1913</v>
      </c>
      <c r="K54" s="11">
        <v>67</v>
      </c>
      <c r="L54" s="12">
        <f>-(F54*G54*$U$3)/J54</f>
        <v>0</v>
      </c>
      <c r="M54" s="11">
        <f>ABS(L54/$U$6)</f>
        <v>0</v>
      </c>
      <c r="N54" s="12">
        <f>L54*SIN(RADIANS(K54))</f>
        <v>0</v>
      </c>
      <c r="O54" s="12">
        <f>L54*COS(RADIANS(K54))</f>
        <v>0</v>
      </c>
      <c r="P54" s="5">
        <v>2.5657823536295905</v>
      </c>
      <c r="Q54" s="5">
        <v>0.72811592719635299</v>
      </c>
      <c r="R54" s="6">
        <f>P54/Q54</f>
        <v>3.5238651673357353</v>
      </c>
    </row>
    <row r="55" spans="1:18" x14ac:dyDescent="0.35">
      <c r="A55" s="9">
        <v>54</v>
      </c>
      <c r="B55" s="5">
        <v>0.25</v>
      </c>
      <c r="C55" s="5">
        <v>2000000</v>
      </c>
      <c r="D55" s="5">
        <v>5</v>
      </c>
      <c r="E55" s="5">
        <v>0.125</v>
      </c>
      <c r="F55" s="5">
        <v>0</v>
      </c>
      <c r="G55" s="12">
        <f>(C55*$U$4)/($U$5*$U$3)</f>
        <v>29.387755102040813</v>
      </c>
      <c r="H55" s="11">
        <f>G55*COS(RADIANS(D55))</f>
        <v>29.275925821471702</v>
      </c>
      <c r="I55" s="11">
        <f>G55*SIN(RADIANS(D55))</f>
        <v>2.5613116236046478</v>
      </c>
      <c r="J55" s="11">
        <v>0.19020000000000001</v>
      </c>
      <c r="K55" s="12">
        <v>46</v>
      </c>
      <c r="L55" s="12">
        <f>-(F55*G55*$U$3)/J55</f>
        <v>0</v>
      </c>
      <c r="M55" s="11">
        <f>ABS(L55/$U$6)</f>
        <v>0</v>
      </c>
      <c r="N55" s="12">
        <f>L55*SIN(RADIANS(K55))</f>
        <v>0</v>
      </c>
      <c r="O55" s="12">
        <f>L55*COS(RADIANS(K55))</f>
        <v>0</v>
      </c>
      <c r="P55" s="5">
        <v>2.3346155197085481</v>
      </c>
      <c r="Q55" s="5">
        <v>0.40114126557063889</v>
      </c>
      <c r="R55" s="6">
        <f>P55/Q55</f>
        <v>5.8199335747407277</v>
      </c>
    </row>
    <row r="56" spans="1:18" x14ac:dyDescent="0.35">
      <c r="A56" s="9">
        <v>2268</v>
      </c>
      <c r="B56" s="5">
        <v>0.1</v>
      </c>
      <c r="C56" s="5">
        <v>6000000</v>
      </c>
      <c r="D56" s="5">
        <v>30</v>
      </c>
      <c r="E56" s="5">
        <v>0</v>
      </c>
      <c r="F56" s="5">
        <v>0.15</v>
      </c>
      <c r="G56" s="12">
        <f>(C56*$U$4)/($U$5*$U$3)</f>
        <v>88.16326530612244</v>
      </c>
      <c r="H56" s="11">
        <f>G56*COS(RADIANS(D56))</f>
        <v>76.351627435689281</v>
      </c>
      <c r="I56" s="11">
        <f>G56*SIN(RADIANS(D56))</f>
        <v>44.081632653061213</v>
      </c>
      <c r="J56" s="11">
        <v>0.16569999999999999</v>
      </c>
      <c r="K56" s="12">
        <v>0</v>
      </c>
      <c r="L56" s="12">
        <f>-(F56*G56*$U$3)/J56</f>
        <v>-79.809835823285255</v>
      </c>
      <c r="M56" s="11">
        <f>ABS(L56/$U$6)</f>
        <v>0.2326817370941261</v>
      </c>
      <c r="N56" s="12">
        <f>L56*SIN(RADIANS(K56))</f>
        <v>0</v>
      </c>
      <c r="O56" s="12">
        <f>L56*COS(RADIANS(K56))</f>
        <v>-79.809835823285255</v>
      </c>
      <c r="P56" s="5">
        <v>2.0920905753515542</v>
      </c>
      <c r="Q56" s="5">
        <v>1.1410170700207976</v>
      </c>
      <c r="R56" s="6">
        <f>P56/Q56</f>
        <v>1.8335313557696566</v>
      </c>
    </row>
    <row r="57" spans="1:18" x14ac:dyDescent="0.35">
      <c r="A57" s="9">
        <v>56</v>
      </c>
      <c r="B57" s="5">
        <v>1</v>
      </c>
      <c r="C57" s="5">
        <v>4000000</v>
      </c>
      <c r="D57" s="5">
        <v>15</v>
      </c>
      <c r="E57" s="5">
        <v>0.25</v>
      </c>
      <c r="F57" s="5">
        <v>2.5000000000000001E-2</v>
      </c>
      <c r="G57" s="12">
        <f>(C57*$U$4)/($U$5*$U$3)</f>
        <v>58.775510204081627</v>
      </c>
      <c r="H57" s="11">
        <f>G57*COS(RADIANS(D57))</f>
        <v>56.772783259439109</v>
      </c>
      <c r="I57" s="11">
        <f>G57*SIN(RADIANS(D57))</f>
        <v>15.212221426433871</v>
      </c>
      <c r="J57" s="13">
        <v>0.33379999999999999</v>
      </c>
      <c r="K57" s="12">
        <v>30</v>
      </c>
      <c r="L57" s="12">
        <f>-(F57*G57*$U$3)/J57</f>
        <v>-4.4020004646556048</v>
      </c>
      <c r="M57" s="11">
        <f>ABS(L57/$U$6)</f>
        <v>1.283382059666357E-2</v>
      </c>
      <c r="N57" s="12">
        <f>L57*SIN(RADIANS(K57))</f>
        <v>-2.201000232327802</v>
      </c>
      <c r="O57" s="12">
        <f>L57*COS(RADIANS(K57))</f>
        <v>-3.8122442298626571</v>
      </c>
      <c r="P57" s="5">
        <v>4.6057345657767632</v>
      </c>
      <c r="Q57" s="5">
        <v>0.62444316658829002</v>
      </c>
      <c r="R57" s="6">
        <f>P57/Q57</f>
        <v>7.3757466046760856</v>
      </c>
    </row>
    <row r="58" spans="1:18" x14ac:dyDescent="0.35">
      <c r="A58" s="9">
        <v>57</v>
      </c>
      <c r="B58" s="5">
        <v>0.75</v>
      </c>
      <c r="C58" s="5">
        <v>2000000</v>
      </c>
      <c r="D58" s="5">
        <v>15</v>
      </c>
      <c r="E58" s="5">
        <v>0.25</v>
      </c>
      <c r="F58" s="5">
        <v>2.5000000000000001E-2</v>
      </c>
      <c r="G58" s="12">
        <f>(C58*$U$4)/($U$5*$U$3)</f>
        <v>29.387755102040813</v>
      </c>
      <c r="H58" s="11">
        <f>G58*COS(RADIANS(D58))</f>
        <v>28.386391629719554</v>
      </c>
      <c r="I58" s="11">
        <f>G58*SIN(RADIANS(D58))</f>
        <v>7.6061107132169354</v>
      </c>
      <c r="J58" s="12">
        <v>0.28370000000000001</v>
      </c>
      <c r="K58" s="11">
        <v>38</v>
      </c>
      <c r="L58" s="12">
        <f>-(F58*G58*$U$3)/J58</f>
        <v>-2.589685856718436</v>
      </c>
      <c r="M58" s="11">
        <f>ABS(L58/$U$6)</f>
        <v>7.5501045385377146E-3</v>
      </c>
      <c r="N58" s="12">
        <f>L58*SIN(RADIANS(K58))</f>
        <v>-1.5943698151772636</v>
      </c>
      <c r="O58" s="12">
        <f>L58*COS(RADIANS(K58))</f>
        <v>-2.0407003035573639</v>
      </c>
      <c r="P58" s="5">
        <v>4.1664876293594402</v>
      </c>
      <c r="Q58" s="5">
        <v>0.5739942036860971</v>
      </c>
      <c r="R58" s="6">
        <f>P58/Q58</f>
        <v>7.2587625495221673</v>
      </c>
    </row>
    <row r="59" spans="1:18" x14ac:dyDescent="0.35">
      <c r="A59" s="9">
        <v>58</v>
      </c>
      <c r="B59" s="5">
        <v>0.75</v>
      </c>
      <c r="C59" s="5">
        <v>4000000</v>
      </c>
      <c r="D59" s="5">
        <v>10</v>
      </c>
      <c r="E59" s="5">
        <v>0</v>
      </c>
      <c r="F59" s="5">
        <v>0</v>
      </c>
      <c r="G59" s="12">
        <f>(C59*$U$4)/($U$5*$U$3)</f>
        <v>58.775510204081627</v>
      </c>
      <c r="H59" s="11">
        <f>G59*COS(RADIANS(D59))</f>
        <v>57.882578136227728</v>
      </c>
      <c r="I59" s="11">
        <f>G59*SIN(RADIANS(D59))</f>
        <v>10.206260238382843</v>
      </c>
      <c r="J59" s="11">
        <v>0.27929999999999999</v>
      </c>
      <c r="K59" s="12">
        <v>0</v>
      </c>
      <c r="L59" s="12">
        <f>-(F59*G59*$U$3)/J59</f>
        <v>0</v>
      </c>
      <c r="M59" s="11">
        <f>ABS(L59/$U$6)</f>
        <v>0</v>
      </c>
      <c r="N59" s="12">
        <f>L59*SIN(RADIANS(K59))</f>
        <v>0</v>
      </c>
      <c r="O59" s="12">
        <f>L59*COS(RADIANS(K59))</f>
        <v>0</v>
      </c>
      <c r="P59" s="5">
        <v>3.9671518961310492</v>
      </c>
      <c r="Q59" s="5">
        <v>1.4767709392608646</v>
      </c>
      <c r="R59" s="6">
        <f>P59/Q59</f>
        <v>2.6863691522238646</v>
      </c>
    </row>
    <row r="60" spans="1:18" x14ac:dyDescent="0.35">
      <c r="A60" s="9">
        <v>59</v>
      </c>
      <c r="B60" s="5">
        <v>0.5</v>
      </c>
      <c r="C60" s="5">
        <v>2000000</v>
      </c>
      <c r="D60" s="5">
        <v>20</v>
      </c>
      <c r="E60" s="5">
        <v>0</v>
      </c>
      <c r="F60" s="5">
        <v>1.4999999999999999E-2</v>
      </c>
      <c r="G60" s="12">
        <f>(C60*$U$4)/($U$5*$U$3)</f>
        <v>29.387755102040813</v>
      </c>
      <c r="H60" s="11">
        <f>G60*COS(RADIANS(D60))</f>
        <v>27.615456610851183</v>
      </c>
      <c r="I60" s="11">
        <f>G60*SIN(RADIANS(D60))</f>
        <v>10.051204212019652</v>
      </c>
      <c r="J60" s="12">
        <v>0.23230000000000001</v>
      </c>
      <c r="K60" s="12">
        <v>0</v>
      </c>
      <c r="L60" s="12">
        <f>-(F60*G60*$U$3)/J60</f>
        <v>-1.8976165584615248</v>
      </c>
      <c r="M60" s="11">
        <f>ABS(L60/$U$6)</f>
        <v>5.5324097914330166E-3</v>
      </c>
      <c r="N60" s="12">
        <f>L60*SIN(RADIANS(K60))</f>
        <v>0</v>
      </c>
      <c r="O60" s="12">
        <f>L60*COS(RADIANS(K60))</f>
        <v>-1.8976165584615248</v>
      </c>
      <c r="P60" s="5">
        <v>2.5829878836982485</v>
      </c>
      <c r="Q60" s="5">
        <v>0.96820248786342034</v>
      </c>
      <c r="R60" s="6">
        <f>P60/Q60</f>
        <v>2.6678178542984887</v>
      </c>
    </row>
    <row r="61" spans="1:18" x14ac:dyDescent="0.35">
      <c r="A61" s="9">
        <v>60</v>
      </c>
      <c r="B61" s="5">
        <v>1</v>
      </c>
      <c r="C61" s="5">
        <v>2000000</v>
      </c>
      <c r="D61" s="5">
        <v>10</v>
      </c>
      <c r="E61" s="5">
        <v>0.375</v>
      </c>
      <c r="F61" s="5">
        <v>0.15</v>
      </c>
      <c r="G61" s="12">
        <f>(C61*$U$4)/($U$5*$U$3)</f>
        <v>29.387755102040813</v>
      </c>
      <c r="H61" s="11">
        <f>G61*COS(RADIANS(D61))</f>
        <v>28.941289068113864</v>
      </c>
      <c r="I61" s="11">
        <f>G61*SIN(RADIANS(D61))</f>
        <v>5.1031301191914213</v>
      </c>
      <c r="J61" s="12">
        <v>0.33379999999999999</v>
      </c>
      <c r="K61" s="11">
        <v>49</v>
      </c>
      <c r="L61" s="12">
        <f>-(F61*G61*$U$3)/J61</f>
        <v>-13.206001393966813</v>
      </c>
      <c r="M61" s="11">
        <f>ABS(L61/$U$6)</f>
        <v>3.8501461789990712E-2</v>
      </c>
      <c r="N61" s="12">
        <f>L61*SIN(RADIANS(K61))</f>
        <v>-9.9666957684620368</v>
      </c>
      <c r="O61" s="12">
        <f>L61*COS(RADIANS(K61))</f>
        <v>-8.6639164513731526</v>
      </c>
      <c r="P61" s="5">
        <v>8.0626561711774212</v>
      </c>
      <c r="Q61" s="5">
        <v>-0.35505412365444472</v>
      </c>
      <c r="R61" s="6">
        <f>P61/Q61</f>
        <v>-22.708245402676621</v>
      </c>
    </row>
    <row r="62" spans="1:18" x14ac:dyDescent="0.35">
      <c r="A62" s="9">
        <v>61</v>
      </c>
      <c r="B62" s="5">
        <v>0.1</v>
      </c>
      <c r="C62" s="5">
        <v>2000000</v>
      </c>
      <c r="D62" s="5">
        <v>30</v>
      </c>
      <c r="E62" s="5">
        <v>0.125</v>
      </c>
      <c r="F62" s="5">
        <v>0</v>
      </c>
      <c r="G62" s="12">
        <f>(C62*$U$4)/($U$5*$U$3)</f>
        <v>29.387755102040813</v>
      </c>
      <c r="H62" s="11">
        <f>G62*COS(RADIANS(D62))</f>
        <v>25.450542478563094</v>
      </c>
      <c r="I62" s="11">
        <f>G62*SIN(RADIANS(D62))</f>
        <v>14.693877551020405</v>
      </c>
      <c r="J62" s="12">
        <v>0.1658</v>
      </c>
      <c r="K62" s="12">
        <v>69</v>
      </c>
      <c r="L62" s="12">
        <f>-(F62*G62*$U$3)/J62</f>
        <v>0</v>
      </c>
      <c r="M62" s="11">
        <f>ABS(L62/$U$6)</f>
        <v>0</v>
      </c>
      <c r="N62" s="12">
        <f>L62*SIN(RADIANS(K62))</f>
        <v>0</v>
      </c>
      <c r="O62" s="12">
        <f>L62*COS(RADIANS(K62))</f>
        <v>0</v>
      </c>
      <c r="P62" s="5">
        <v>1.1917589965511779</v>
      </c>
      <c r="Q62" s="5">
        <v>0.96806467476357516</v>
      </c>
      <c r="R62" s="6">
        <f>P62/Q62</f>
        <v>1.2310737367234625</v>
      </c>
    </row>
    <row r="63" spans="1:18" x14ac:dyDescent="0.35">
      <c r="A63" s="9">
        <v>62</v>
      </c>
      <c r="B63" s="5">
        <v>0.75</v>
      </c>
      <c r="C63" s="5">
        <v>6000000</v>
      </c>
      <c r="D63" s="5">
        <v>10</v>
      </c>
      <c r="E63" s="5">
        <v>0.125</v>
      </c>
      <c r="F63" s="5">
        <v>0</v>
      </c>
      <c r="G63" s="12">
        <f>(C63*$U$4)/($U$5*$U$3)</f>
        <v>88.16326530612244</v>
      </c>
      <c r="H63" s="11">
        <f>G63*COS(RADIANS(D63))</f>
        <v>86.823867204341596</v>
      </c>
      <c r="I63" s="11">
        <f>G63*SIN(RADIANS(D63))</f>
        <v>15.309390357574264</v>
      </c>
      <c r="J63" s="12">
        <v>0.2802</v>
      </c>
      <c r="K63" s="12">
        <v>19</v>
      </c>
      <c r="L63" s="12">
        <f>-(F63*G63*$U$3)/J63</f>
        <v>0</v>
      </c>
      <c r="M63" s="11">
        <f>ABS(L63/$U$6)</f>
        <v>0</v>
      </c>
      <c r="N63" s="12">
        <f>L63*SIN(RADIANS(K63))</f>
        <v>0</v>
      </c>
      <c r="O63" s="12">
        <f>L63*COS(RADIANS(K63))</f>
        <v>0</v>
      </c>
      <c r="P63" s="5">
        <v>5.2949602489214795</v>
      </c>
      <c r="Q63" s="5">
        <v>1.397644376187154</v>
      </c>
      <c r="R63" s="6">
        <f>P63/Q63</f>
        <v>3.7884889311874916</v>
      </c>
    </row>
    <row r="64" spans="1:18" x14ac:dyDescent="0.35">
      <c r="A64" s="9">
        <v>63</v>
      </c>
      <c r="B64" s="5">
        <v>0.25</v>
      </c>
      <c r="C64" s="5">
        <v>2000000</v>
      </c>
      <c r="D64" s="5">
        <v>5</v>
      </c>
      <c r="E64" s="5">
        <v>0</v>
      </c>
      <c r="F64" s="5">
        <v>0.1</v>
      </c>
      <c r="G64" s="12">
        <f>(C64*$U$4)/($U$5*$U$3)</f>
        <v>29.387755102040813</v>
      </c>
      <c r="H64" s="11">
        <f>G64*COS(RADIANS(D64))</f>
        <v>29.275925821471702</v>
      </c>
      <c r="I64" s="11">
        <f>G64*SIN(RADIANS(D64))</f>
        <v>2.5613116236046478</v>
      </c>
      <c r="J64" s="12">
        <v>0.18990000000000001</v>
      </c>
      <c r="K64" s="12">
        <v>0</v>
      </c>
      <c r="L64" s="12">
        <f>-(F64*G64*$U$3)/J64</f>
        <v>-15.47538446658284</v>
      </c>
      <c r="M64" s="11">
        <f>ABS(L64/$U$6)</f>
        <v>4.511773896962927E-2</v>
      </c>
      <c r="N64" s="12">
        <f>L64*SIN(RADIANS(K64))</f>
        <v>0</v>
      </c>
      <c r="O64" s="12">
        <f>L64*COS(RADIANS(K64))</f>
        <v>-15.47538446658284</v>
      </c>
      <c r="P64" s="5">
        <v>2.3168299303012279</v>
      </c>
      <c r="Q64" s="5">
        <v>0.20956296214920009</v>
      </c>
      <c r="R64" s="6">
        <f>P64/Q64</f>
        <v>11.055531504902769</v>
      </c>
    </row>
    <row r="65" spans="1:18" x14ac:dyDescent="0.35">
      <c r="A65" s="9">
        <v>64</v>
      </c>
      <c r="B65" s="5">
        <v>0.1</v>
      </c>
      <c r="C65" s="5">
        <v>4000000</v>
      </c>
      <c r="D65" s="5">
        <v>15</v>
      </c>
      <c r="E65" s="5">
        <v>0</v>
      </c>
      <c r="F65" s="5">
        <v>0</v>
      </c>
      <c r="G65" s="12">
        <f>(C65*$U$4)/($U$5*$U$3)</f>
        <v>58.775510204081627</v>
      </c>
      <c r="H65" s="11">
        <f>G65*COS(RADIANS(D65))</f>
        <v>56.772783259439109</v>
      </c>
      <c r="I65" s="11">
        <f>G65*SIN(RADIANS(D65))</f>
        <v>15.212221426433871</v>
      </c>
      <c r="J65" s="11">
        <v>0.16569999999999999</v>
      </c>
      <c r="K65" s="12">
        <v>0</v>
      </c>
      <c r="L65" s="12">
        <f>-(F65*G65*$U$3)/J65</f>
        <v>0</v>
      </c>
      <c r="M65" s="11">
        <f>ABS(L65/$U$6)</f>
        <v>0</v>
      </c>
      <c r="N65" s="12">
        <f>L65*SIN(RADIANS(K65))</f>
        <v>0</v>
      </c>
      <c r="O65" s="12">
        <f>L65*COS(RADIANS(K65))</f>
        <v>0</v>
      </c>
      <c r="P65" s="5">
        <v>1.2079952633061233</v>
      </c>
      <c r="Q65" s="5">
        <v>0.58016042291843484</v>
      </c>
      <c r="R65" s="6">
        <f>P65/Q65</f>
        <v>2.0821745427401486</v>
      </c>
    </row>
    <row r="66" spans="1:18" x14ac:dyDescent="0.35">
      <c r="A66" s="9">
        <v>65</v>
      </c>
      <c r="B66" s="5">
        <v>1</v>
      </c>
      <c r="C66" s="5">
        <v>4000000</v>
      </c>
      <c r="D66" s="5">
        <v>10</v>
      </c>
      <c r="E66" s="5">
        <v>0.375</v>
      </c>
      <c r="F66" s="5">
        <v>1.4999999999999999E-2</v>
      </c>
      <c r="G66" s="12">
        <f>(C66*$U$4)/($U$5*$U$3)</f>
        <v>58.775510204081627</v>
      </c>
      <c r="H66" s="11">
        <f>G66*COS(RADIANS(D66))</f>
        <v>57.882578136227728</v>
      </c>
      <c r="I66" s="11">
        <f>G66*SIN(RADIANS(D66))</f>
        <v>10.206260238382843</v>
      </c>
      <c r="J66" s="12">
        <v>0.33379999999999999</v>
      </c>
      <c r="K66" s="11">
        <v>49</v>
      </c>
      <c r="L66" s="12">
        <f>-(F66*G66*$U$3)/J66</f>
        <v>-2.6412002787933626</v>
      </c>
      <c r="M66" s="11">
        <f>ABS(L66/$U$6)</f>
        <v>7.7002923579981416E-3</v>
      </c>
      <c r="N66" s="12">
        <f>L66*SIN(RADIANS(K66))</f>
        <v>-1.9933391536924072</v>
      </c>
      <c r="O66" s="12">
        <f>L66*COS(RADIANS(K66))</f>
        <v>-1.7327832902746305</v>
      </c>
      <c r="P66" s="5">
        <v>5.1242869513143141</v>
      </c>
      <c r="Q66" s="5">
        <v>5.4829988187127351E-2</v>
      </c>
      <c r="R66" s="6">
        <f>P66/Q66</f>
        <v>93.457743120896069</v>
      </c>
    </row>
    <row r="67" spans="1:18" x14ac:dyDescent="0.35">
      <c r="A67" s="9">
        <v>66</v>
      </c>
      <c r="B67" s="5">
        <v>0.1</v>
      </c>
      <c r="C67" s="5">
        <v>2000000</v>
      </c>
      <c r="D67" s="5">
        <v>10</v>
      </c>
      <c r="E67" s="5">
        <v>0.125</v>
      </c>
      <c r="F67" s="5">
        <v>0</v>
      </c>
      <c r="G67" s="12">
        <f>(C67*$U$4)/($U$5*$U$3)</f>
        <v>29.387755102040813</v>
      </c>
      <c r="H67" s="11">
        <f>G67*COS(RADIANS(D67))</f>
        <v>28.941289068113864</v>
      </c>
      <c r="I67" s="11">
        <f>G67*SIN(RADIANS(D67))</f>
        <v>5.1031301191914213</v>
      </c>
      <c r="J67" s="12">
        <v>0.1658</v>
      </c>
      <c r="K67" s="12">
        <v>69</v>
      </c>
      <c r="L67" s="12">
        <f>-(F67*G67*$U$3)/J67</f>
        <v>0</v>
      </c>
      <c r="M67" s="11">
        <f>ABS(L67/$U$6)</f>
        <v>0</v>
      </c>
      <c r="N67" s="12">
        <f>L67*SIN(RADIANS(K67))</f>
        <v>0</v>
      </c>
      <c r="O67" s="12">
        <f>L67*COS(RADIANS(K67))</f>
        <v>0</v>
      </c>
      <c r="P67" s="5">
        <v>1.4004747377952356</v>
      </c>
      <c r="Q67" s="5">
        <v>0.47453141223418405</v>
      </c>
      <c r="R67" s="6">
        <f>P67/Q67</f>
        <v>2.9512793077312511</v>
      </c>
    </row>
    <row r="68" spans="1:18" x14ac:dyDescent="0.35">
      <c r="A68" s="9">
        <v>544</v>
      </c>
      <c r="B68" s="5">
        <v>0.1</v>
      </c>
      <c r="C68" s="5">
        <v>6000000</v>
      </c>
      <c r="D68" s="5">
        <v>15</v>
      </c>
      <c r="E68" s="5">
        <v>0.125</v>
      </c>
      <c r="F68" s="5">
        <v>0.15</v>
      </c>
      <c r="G68" s="12">
        <f>(C68*$U$4)/($U$5*$U$3)</f>
        <v>88.16326530612244</v>
      </c>
      <c r="H68" s="11">
        <f>G68*COS(RADIANS(D68))</f>
        <v>85.159174889158663</v>
      </c>
      <c r="I68" s="11">
        <f>G68*SIN(RADIANS(D68))</f>
        <v>22.818332139650806</v>
      </c>
      <c r="J68" s="19">
        <v>0.1658</v>
      </c>
      <c r="K68" s="12">
        <v>69</v>
      </c>
      <c r="L68" s="12">
        <f>-(F68*G68*$U$3)/J68</f>
        <v>-79.761699613500397</v>
      </c>
      <c r="M68" s="11">
        <f>ABS(L68/$U$6)</f>
        <v>0.23254139829008863</v>
      </c>
      <c r="N68" s="12">
        <f>L68*SIN(RADIANS(K68))</f>
        <v>-74.463961543313388</v>
      </c>
      <c r="O68" s="12">
        <f>L68*COS(RADIANS(K68))</f>
        <v>-28.584036742738316</v>
      </c>
      <c r="P68" s="5">
        <v>1.8805058408797855</v>
      </c>
      <c r="Q68" s="5">
        <v>0.63437938456483656</v>
      </c>
      <c r="R68" s="6">
        <f>P68/Q68</f>
        <v>2.9643236943611444</v>
      </c>
    </row>
    <row r="69" spans="1:18" x14ac:dyDescent="0.35">
      <c r="A69" s="9">
        <v>68</v>
      </c>
      <c r="B69" s="5">
        <v>0.25</v>
      </c>
      <c r="C69" s="5">
        <v>2000000</v>
      </c>
      <c r="D69" s="5">
        <v>30</v>
      </c>
      <c r="E69" s="5">
        <v>0.125</v>
      </c>
      <c r="F69" s="5">
        <v>0.15</v>
      </c>
      <c r="G69" s="12">
        <f>(C69*$U$4)/($U$5*$U$3)</f>
        <v>29.387755102040813</v>
      </c>
      <c r="H69" s="11">
        <f>G69*COS(RADIANS(D69))</f>
        <v>25.450542478563094</v>
      </c>
      <c r="I69" s="11">
        <f>G69*SIN(RADIANS(D69))</f>
        <v>14.693877551020405</v>
      </c>
      <c r="J69" s="11">
        <v>0.19020000000000001</v>
      </c>
      <c r="K69" s="12">
        <v>46</v>
      </c>
      <c r="L69" s="12">
        <f>-(F69*G69*$U$3)/J69</f>
        <v>-23.176463014227771</v>
      </c>
      <c r="M69" s="11">
        <f>ABS(L69/$U$6)</f>
        <v>6.7569863015241316E-2</v>
      </c>
      <c r="N69" s="12">
        <f>L69*SIN(RADIANS(K69))</f>
        <v>-16.671752277210736</v>
      </c>
      <c r="O69" s="12">
        <f>L69*COS(RADIANS(K69))</f>
        <v>-16.099724030466682</v>
      </c>
      <c r="P69" s="5">
        <v>2.9170882316849607</v>
      </c>
      <c r="Q69" s="5">
        <v>0.98784435015350613</v>
      </c>
      <c r="R69" s="6">
        <f>P69/Q69</f>
        <v>2.952983667145193</v>
      </c>
    </row>
    <row r="70" spans="1:18" x14ac:dyDescent="0.35">
      <c r="A70" s="9">
        <v>69</v>
      </c>
      <c r="B70" s="5">
        <v>0.25</v>
      </c>
      <c r="C70" s="5">
        <v>6000000</v>
      </c>
      <c r="D70" s="5">
        <v>10</v>
      </c>
      <c r="E70" s="5">
        <v>0</v>
      </c>
      <c r="F70" s="5">
        <v>3.5000000000000003E-2</v>
      </c>
      <c r="G70" s="12">
        <f>(C70*$U$4)/($U$5*$U$3)</f>
        <v>88.16326530612244</v>
      </c>
      <c r="H70" s="11">
        <f>G70*COS(RADIANS(D70))</f>
        <v>86.823867204341596</v>
      </c>
      <c r="I70" s="11">
        <f>G70*SIN(RADIANS(D70))</f>
        <v>15.309390357574264</v>
      </c>
      <c r="J70" s="12">
        <v>0.18990000000000001</v>
      </c>
      <c r="K70" s="12">
        <v>0</v>
      </c>
      <c r="L70" s="12">
        <f>-(F70*G70*$U$3)/J70</f>
        <v>-16.249153689911985</v>
      </c>
      <c r="M70" s="11">
        <f>ABS(L70/$U$6)</f>
        <v>4.7373625918110743E-2</v>
      </c>
      <c r="N70" s="12">
        <f>L70*SIN(RADIANS(K70))</f>
        <v>0</v>
      </c>
      <c r="O70" s="12">
        <f>L70*COS(RADIANS(K70))</f>
        <v>-16.249153689911985</v>
      </c>
      <c r="P70" s="5">
        <v>2.1540037227214084</v>
      </c>
      <c r="Q70" s="5">
        <v>0.42270561282949198</v>
      </c>
      <c r="R70" s="6">
        <f>P70/Q70</f>
        <v>5.0957537760216001</v>
      </c>
    </row>
    <row r="71" spans="1:18" x14ac:dyDescent="0.35">
      <c r="A71" s="9">
        <v>70</v>
      </c>
      <c r="B71" s="5">
        <v>0.25</v>
      </c>
      <c r="C71" s="5">
        <v>4000000</v>
      </c>
      <c r="D71" s="5">
        <v>10</v>
      </c>
      <c r="E71" s="5">
        <v>0.25</v>
      </c>
      <c r="F71" s="5">
        <v>0</v>
      </c>
      <c r="G71" s="12">
        <f>(C71*$U$4)/($U$5*$U$3)</f>
        <v>58.775510204081627</v>
      </c>
      <c r="H71" s="11">
        <f>G71*COS(RADIANS(D71))</f>
        <v>57.882578136227728</v>
      </c>
      <c r="I71" s="11">
        <f>G71*SIN(RADIANS(D71))</f>
        <v>10.206260238382843</v>
      </c>
      <c r="J71" s="12">
        <v>0.1913</v>
      </c>
      <c r="K71" s="11">
        <v>67</v>
      </c>
      <c r="L71" s="12">
        <f>-(F71*G71*$U$3)/J71</f>
        <v>0</v>
      </c>
      <c r="M71" s="11">
        <f>ABS(L71/$U$6)</f>
        <v>0</v>
      </c>
      <c r="N71" s="12">
        <f>L71*SIN(RADIANS(K71))</f>
        <v>0</v>
      </c>
      <c r="O71" s="12">
        <f>L71*COS(RADIANS(K71))</f>
        <v>0</v>
      </c>
      <c r="P71" s="5">
        <v>2.5572622336759081</v>
      </c>
      <c r="Q71" s="5">
        <v>0.56755632492569097</v>
      </c>
      <c r="R71" s="6">
        <f>P71/Q71</f>
        <v>4.5057417587773783</v>
      </c>
    </row>
    <row r="72" spans="1:18" x14ac:dyDescent="0.35">
      <c r="A72" s="9">
        <v>71</v>
      </c>
      <c r="B72" s="5">
        <v>0.75</v>
      </c>
      <c r="C72" s="5">
        <v>6000000</v>
      </c>
      <c r="D72" s="5">
        <v>15</v>
      </c>
      <c r="E72" s="5">
        <v>0.125</v>
      </c>
      <c r="F72" s="5">
        <v>3.5000000000000003E-2</v>
      </c>
      <c r="G72" s="12">
        <f>(C72*$U$4)/($U$5*$U$3)</f>
        <v>88.16326530612244</v>
      </c>
      <c r="H72" s="11">
        <f>G72*COS(RADIANS(D72))</f>
        <v>85.159174889158663</v>
      </c>
      <c r="I72" s="11">
        <f>G72*SIN(RADIANS(D72))</f>
        <v>22.818332139650806</v>
      </c>
      <c r="J72" s="12">
        <v>0.2802</v>
      </c>
      <c r="K72" s="12">
        <v>19</v>
      </c>
      <c r="L72" s="12">
        <f>-(F72*G72*$U$3)/J72</f>
        <v>-11.012542061792598</v>
      </c>
      <c r="M72" s="11">
        <f>ABS(L72/$U$6)</f>
        <v>3.2106536623302033E-2</v>
      </c>
      <c r="N72" s="12">
        <f>L72*SIN(RADIANS(K72))</f>
        <v>-3.5853329949396273</v>
      </c>
      <c r="O72" s="12">
        <f>L72*COS(RADIANS(K72))</f>
        <v>-10.412563083993701</v>
      </c>
      <c r="P72" s="5">
        <v>2.3424855858576108</v>
      </c>
      <c r="Q72" s="5">
        <v>1.1279571635119521</v>
      </c>
      <c r="R72" s="6">
        <f>P72/Q72</f>
        <v>2.0767504845345037</v>
      </c>
    </row>
    <row r="73" spans="1:18" x14ac:dyDescent="0.35">
      <c r="A73" s="9">
        <v>72</v>
      </c>
      <c r="B73" s="5">
        <v>0.1</v>
      </c>
      <c r="C73" s="5">
        <v>4000000</v>
      </c>
      <c r="D73" s="5">
        <v>20</v>
      </c>
      <c r="E73" s="5">
        <v>0.375</v>
      </c>
      <c r="F73" s="5">
        <v>0</v>
      </c>
      <c r="G73" s="12">
        <f>(C73*$U$4)/($U$5*$U$3)</f>
        <v>58.775510204081627</v>
      </c>
      <c r="H73" s="11">
        <f>G73*COS(RADIANS(D73))</f>
        <v>55.230913221702366</v>
      </c>
      <c r="I73" s="11">
        <f>G73*SIN(RADIANS(D73))</f>
        <v>20.102408424039304</v>
      </c>
      <c r="J73" s="12">
        <v>0.16789999999999999</v>
      </c>
      <c r="K73" s="11">
        <v>85</v>
      </c>
      <c r="L73" s="12">
        <f>-(F73*G73*$U$3)/J73</f>
        <v>0</v>
      </c>
      <c r="M73" s="11">
        <f>ABS(L73/$U$6)</f>
        <v>0</v>
      </c>
      <c r="N73" s="12">
        <f>L73*SIN(RADIANS(K73))</f>
        <v>0</v>
      </c>
      <c r="O73" s="12">
        <f>L73*COS(RADIANS(K73))</f>
        <v>0</v>
      </c>
      <c r="P73" s="5">
        <v>1.6781646033217812</v>
      </c>
      <c r="Q73" s="5">
        <v>0.86737066334214041</v>
      </c>
      <c r="R73" s="6">
        <f>P73/Q73</f>
        <v>1.934772150184906</v>
      </c>
    </row>
    <row r="74" spans="1:18" x14ac:dyDescent="0.35">
      <c r="A74" s="9">
        <v>73</v>
      </c>
      <c r="B74" s="5">
        <v>0.1</v>
      </c>
      <c r="C74" s="5">
        <v>4000000</v>
      </c>
      <c r="D74" s="5">
        <v>5</v>
      </c>
      <c r="E74" s="5">
        <v>0.25</v>
      </c>
      <c r="F74" s="5">
        <v>1.4999999999999999E-2</v>
      </c>
      <c r="G74" s="12">
        <f>(C74*$U$4)/($U$5*$U$3)</f>
        <v>58.775510204081627</v>
      </c>
      <c r="H74" s="11">
        <f>G74*COS(RADIANS(D74))</f>
        <v>58.551851642943404</v>
      </c>
      <c r="I74" s="11">
        <f>G74*SIN(RADIANS(D74))</f>
        <v>5.1226232472092956</v>
      </c>
      <c r="J74" s="11">
        <v>0.1661</v>
      </c>
      <c r="K74" s="12">
        <v>80</v>
      </c>
      <c r="L74" s="12">
        <f>-(F74*G74*$U$3)/J74</f>
        <v>-5.3078425831500571</v>
      </c>
      <c r="M74" s="11">
        <f>ABS(L74/$U$6)</f>
        <v>1.5474759717638651E-2</v>
      </c>
      <c r="N74" s="12">
        <f>L74*SIN(RADIANS(K74))</f>
        <v>-5.2272045276545214</v>
      </c>
      <c r="O74" s="12">
        <f>L74*COS(RADIANS(K74))</f>
        <v>-0.92169719190693999</v>
      </c>
      <c r="P74" s="5">
        <v>1.4620402209399446</v>
      </c>
      <c r="Q74" s="5">
        <v>0.34361602103117572</v>
      </c>
      <c r="R74" s="6">
        <f>P74/Q74</f>
        <v>4.2548662793790282</v>
      </c>
    </row>
    <row r="75" spans="1:18" x14ac:dyDescent="0.35">
      <c r="A75" s="9">
        <v>74</v>
      </c>
      <c r="B75" s="5">
        <v>0.75</v>
      </c>
      <c r="C75" s="5">
        <v>2000000</v>
      </c>
      <c r="D75" s="5">
        <v>10</v>
      </c>
      <c r="E75" s="5">
        <v>0.25</v>
      </c>
      <c r="F75" s="5">
        <v>0.1</v>
      </c>
      <c r="G75" s="12">
        <f>(C75*$U$4)/($U$5*$U$3)</f>
        <v>29.387755102040813</v>
      </c>
      <c r="H75" s="11">
        <f>G75*COS(RADIANS(D75))</f>
        <v>28.941289068113864</v>
      </c>
      <c r="I75" s="11">
        <f>G75*SIN(RADIANS(D75))</f>
        <v>5.1031301191914213</v>
      </c>
      <c r="J75" s="12">
        <v>0.28370000000000001</v>
      </c>
      <c r="K75" s="11">
        <v>38</v>
      </c>
      <c r="L75" s="12">
        <f>-(F75*G75*$U$3)/J75</f>
        <v>-10.358743426873744</v>
      </c>
      <c r="M75" s="11">
        <f>ABS(L75/$U$6)</f>
        <v>3.0200418154150858E-2</v>
      </c>
      <c r="N75" s="12">
        <f>L75*SIN(RADIANS(K75))</f>
        <v>-6.3774792607090545</v>
      </c>
      <c r="O75" s="12">
        <f>L75*COS(RADIANS(K75))</f>
        <v>-8.1628012142294555</v>
      </c>
      <c r="P75" s="5">
        <v>4.5612190071141052</v>
      </c>
      <c r="Q75" s="5">
        <v>0.14287816726390284</v>
      </c>
      <c r="R75" s="6">
        <f>P75/Q75</f>
        <v>31.923834791982699</v>
      </c>
    </row>
    <row r="76" spans="1:18" x14ac:dyDescent="0.35">
      <c r="A76" s="9">
        <v>1383</v>
      </c>
      <c r="B76" s="5">
        <v>0.1</v>
      </c>
      <c r="C76" s="5">
        <v>6000000</v>
      </c>
      <c r="D76" s="5">
        <v>5</v>
      </c>
      <c r="E76" s="5">
        <v>0.125</v>
      </c>
      <c r="F76" s="5">
        <v>0.15</v>
      </c>
      <c r="G76" s="12">
        <f>(C76*$U$4)/($U$5*$U$3)</f>
        <v>88.16326530612244</v>
      </c>
      <c r="H76" s="11">
        <f>G76*COS(RADIANS(D76))</f>
        <v>87.827777464415107</v>
      </c>
      <c r="I76" s="11">
        <f>G76*SIN(RADIANS(D76))</f>
        <v>7.6839348708139434</v>
      </c>
      <c r="J76" s="12">
        <v>0.1658</v>
      </c>
      <c r="K76" s="19">
        <v>69</v>
      </c>
      <c r="L76" s="12">
        <f>-(F76*G76*$U$3)/J76</f>
        <v>-79.761699613500397</v>
      </c>
      <c r="M76" s="11">
        <f>ABS(L76/$U$6)</f>
        <v>0.23254139829008863</v>
      </c>
      <c r="N76" s="12">
        <f>L76*SIN(RADIANS(K76))</f>
        <v>-74.463961543313388</v>
      </c>
      <c r="O76" s="12">
        <f>L76*COS(RADIANS(K76))</f>
        <v>-28.584036742738316</v>
      </c>
      <c r="P76" s="5">
        <v>1.6071737292909221</v>
      </c>
      <c r="Q76" s="5">
        <v>0.33197399096143715</v>
      </c>
      <c r="R76" s="6">
        <f>P76/Q76</f>
        <v>4.8412639937133362</v>
      </c>
    </row>
    <row r="77" spans="1:18" x14ac:dyDescent="0.35">
      <c r="A77" s="9">
        <v>1768</v>
      </c>
      <c r="B77" s="5">
        <v>0.1</v>
      </c>
      <c r="C77" s="5">
        <v>6000000</v>
      </c>
      <c r="D77" s="5">
        <v>0</v>
      </c>
      <c r="E77" s="5">
        <v>0.125</v>
      </c>
      <c r="F77" s="5">
        <v>0.15</v>
      </c>
      <c r="G77" s="12">
        <f>(C77*$U$4)/($U$5*$U$3)</f>
        <v>88.16326530612244</v>
      </c>
      <c r="H77" s="11">
        <f>G77*COS(RADIANS(D77))</f>
        <v>88.16326530612244</v>
      </c>
      <c r="I77" s="11">
        <f>G77*SIN(RADIANS(D77))</f>
        <v>0</v>
      </c>
      <c r="J77" s="12">
        <v>0.1658</v>
      </c>
      <c r="K77" s="19">
        <v>69</v>
      </c>
      <c r="L77" s="12">
        <f>-(F77*G77*$U$3)/J77</f>
        <v>-79.761699613500397</v>
      </c>
      <c r="M77" s="11">
        <f>ABS(L77/$U$6)</f>
        <v>0.23254139829008863</v>
      </c>
      <c r="N77" s="12">
        <f>L77*SIN(RADIANS(K77))</f>
        <v>-74.463961543313388</v>
      </c>
      <c r="O77" s="12">
        <f>L77*COS(RADIANS(K77))</f>
        <v>-28.584036742738316</v>
      </c>
      <c r="P77" s="5">
        <v>1.4455444347648312</v>
      </c>
      <c r="Q77" s="5">
        <v>0.21334022333054425</v>
      </c>
      <c r="R77" s="6">
        <f>P77/Q77</f>
        <v>6.7757707018293454</v>
      </c>
    </row>
    <row r="78" spans="1:18" x14ac:dyDescent="0.35">
      <c r="A78" s="9">
        <v>77</v>
      </c>
      <c r="B78" s="5">
        <v>0.75</v>
      </c>
      <c r="C78" s="5">
        <v>2000000</v>
      </c>
      <c r="D78" s="5">
        <v>0</v>
      </c>
      <c r="E78" s="5">
        <v>0.125</v>
      </c>
      <c r="F78" s="5">
        <v>3.5000000000000003E-2</v>
      </c>
      <c r="G78" s="12">
        <f>(C78*$U$4)/($U$5*$U$3)</f>
        <v>29.387755102040813</v>
      </c>
      <c r="H78" s="11">
        <f>G78*COS(RADIANS(D78))</f>
        <v>29.387755102040813</v>
      </c>
      <c r="I78" s="11">
        <f>G78*SIN(RADIANS(D78))</f>
        <v>0</v>
      </c>
      <c r="J78" s="12">
        <v>0.2802</v>
      </c>
      <c r="K78" s="12">
        <v>19</v>
      </c>
      <c r="L78" s="12">
        <f>-(F78*G78*$U$3)/J78</f>
        <v>-3.6708473539308653</v>
      </c>
      <c r="M78" s="11">
        <f>ABS(L78/$U$6)</f>
        <v>1.0702178874434009E-2</v>
      </c>
      <c r="N78" s="12">
        <f>L78*SIN(RADIANS(K78))</f>
        <v>-1.1951109983132089</v>
      </c>
      <c r="O78" s="12">
        <f>L78*COS(RADIANS(K78))</f>
        <v>-3.470854361331233</v>
      </c>
      <c r="P78" s="5">
        <v>2.9538147144180398</v>
      </c>
      <c r="Q78" s="5">
        <v>0.5292925027444445</v>
      </c>
      <c r="R78" s="6">
        <f>P78/Q78</f>
        <v>5.580684969279103</v>
      </c>
    </row>
    <row r="79" spans="1:18" x14ac:dyDescent="0.35">
      <c r="A79" s="9">
        <v>1911</v>
      </c>
      <c r="B79" s="5">
        <v>0.1</v>
      </c>
      <c r="C79" s="5">
        <v>6000000</v>
      </c>
      <c r="D79" s="5">
        <v>10</v>
      </c>
      <c r="E79" s="5">
        <v>0.125</v>
      </c>
      <c r="F79" s="5">
        <v>0.15</v>
      </c>
      <c r="G79" s="12">
        <f>(C79*$U$4)/($U$5*$U$3)</f>
        <v>88.16326530612244</v>
      </c>
      <c r="H79" s="11">
        <f>G79*COS(RADIANS(D79))</f>
        <v>86.823867204341596</v>
      </c>
      <c r="I79" s="11">
        <f>G79*SIN(RADIANS(D79))</f>
        <v>15.309390357574264</v>
      </c>
      <c r="J79" s="12">
        <v>0.1658</v>
      </c>
      <c r="K79" s="19">
        <v>69</v>
      </c>
      <c r="L79" s="12">
        <f>-(F79*G79*$U$3)/J79</f>
        <v>-79.761699613500397</v>
      </c>
      <c r="M79" s="11">
        <f>ABS(L79/$U$6)</f>
        <v>0.23254139829008863</v>
      </c>
      <c r="N79" s="12">
        <f>L79*SIN(RADIANS(K79))</f>
        <v>-74.463961543313388</v>
      </c>
      <c r="O79" s="12">
        <f>L79*COS(RADIANS(K79))</f>
        <v>-28.584036742738316</v>
      </c>
      <c r="P79" s="5">
        <v>1.7571400936089483</v>
      </c>
      <c r="Q79" s="5">
        <v>0.47551934595384593</v>
      </c>
      <c r="R79" s="6">
        <f>P79/Q79</f>
        <v>3.695202116507573</v>
      </c>
    </row>
    <row r="80" spans="1:18" x14ac:dyDescent="0.35">
      <c r="A80" s="9">
        <v>79</v>
      </c>
      <c r="B80" s="5">
        <v>0.5</v>
      </c>
      <c r="C80" s="5">
        <v>2000000</v>
      </c>
      <c r="D80" s="5">
        <v>10</v>
      </c>
      <c r="E80" s="5">
        <v>0.25</v>
      </c>
      <c r="F80" s="5">
        <v>2.5000000000000001E-2</v>
      </c>
      <c r="G80" s="12">
        <f>(C80*$U$4)/($U$5*$U$3)</f>
        <v>29.387755102040813</v>
      </c>
      <c r="H80" s="11">
        <f>G80*COS(RADIANS(D80))</f>
        <v>28.941289068113864</v>
      </c>
      <c r="I80" s="11">
        <f>G80*SIN(RADIANS(D80))</f>
        <v>5.1031301191914213</v>
      </c>
      <c r="J80" s="11">
        <v>0.23580000000000001</v>
      </c>
      <c r="K80" s="11">
        <v>49</v>
      </c>
      <c r="L80" s="12">
        <f>-(F80*G80*$U$3)/J80</f>
        <v>-3.115750116840629</v>
      </c>
      <c r="M80" s="11">
        <f>ABS(L80/$U$6)</f>
        <v>9.083819582625741E-3</v>
      </c>
      <c r="N80" s="12">
        <f>L80*SIN(RADIANS(K80))</f>
        <v>-2.3514864627598437</v>
      </c>
      <c r="O80" s="12">
        <f>L80*COS(RADIANS(K80))</f>
        <v>-2.0441159962315227</v>
      </c>
      <c r="P80" s="5">
        <v>3.7633318179677833</v>
      </c>
      <c r="Q80" s="5">
        <v>0.38638731518717284</v>
      </c>
      <c r="R80" s="6">
        <f>P80/Q80</f>
        <v>9.7397913183168523</v>
      </c>
    </row>
    <row r="81" spans="1:18" x14ac:dyDescent="0.35">
      <c r="A81" s="9">
        <v>80</v>
      </c>
      <c r="B81" s="5">
        <v>0.1</v>
      </c>
      <c r="C81" s="5">
        <v>4000000</v>
      </c>
      <c r="D81" s="5">
        <v>10</v>
      </c>
      <c r="E81" s="5">
        <v>0.375</v>
      </c>
      <c r="F81" s="5">
        <v>3.5000000000000003E-2</v>
      </c>
      <c r="G81" s="12">
        <f>(C81*$U$4)/($U$5*$U$3)</f>
        <v>58.775510204081627</v>
      </c>
      <c r="H81" s="11">
        <f>G81*COS(RADIANS(D81))</f>
        <v>57.882578136227728</v>
      </c>
      <c r="I81" s="11">
        <f>G81*SIN(RADIANS(D81))</f>
        <v>10.206260238382843</v>
      </c>
      <c r="J81" s="12">
        <v>0.16789999999999999</v>
      </c>
      <c r="K81" s="11">
        <v>85</v>
      </c>
      <c r="L81" s="12">
        <f>-(F81*G81*$U$3)/J81</f>
        <v>-12.252190929975324</v>
      </c>
      <c r="M81" s="11">
        <f>ABS(L81/$U$6)</f>
        <v>3.5720673265234183E-2</v>
      </c>
      <c r="N81" s="12">
        <f>L81*SIN(RADIANS(K81))</f>
        <v>-12.205567644449191</v>
      </c>
      <c r="O81" s="12">
        <f>L81*COS(RADIANS(K81))</f>
        <v>-1.0678488007881197</v>
      </c>
      <c r="P81" s="5">
        <v>1.8589658677542646</v>
      </c>
      <c r="Q81" s="5">
        <v>0.51267663217896042</v>
      </c>
      <c r="R81" s="6">
        <f>P81/Q81</f>
        <v>3.6260007791916564</v>
      </c>
    </row>
    <row r="82" spans="1:18" x14ac:dyDescent="0.35">
      <c r="A82" s="9">
        <v>282</v>
      </c>
      <c r="B82" s="5">
        <v>0.1</v>
      </c>
      <c r="C82" s="5">
        <v>6000000</v>
      </c>
      <c r="D82" s="5">
        <v>10</v>
      </c>
      <c r="E82" s="5">
        <v>0.25</v>
      </c>
      <c r="F82" s="5">
        <v>0.15</v>
      </c>
      <c r="G82" s="12">
        <f>(C82*$U$4)/($U$5*$U$3)</f>
        <v>88.16326530612244</v>
      </c>
      <c r="H82" s="11">
        <f>G82*COS(RADIANS(D82))</f>
        <v>86.823867204341596</v>
      </c>
      <c r="I82" s="11">
        <f>G82*SIN(RADIANS(D82))</f>
        <v>15.309390357574264</v>
      </c>
      <c r="J82" s="20">
        <v>0.1661</v>
      </c>
      <c r="K82" s="19">
        <v>80</v>
      </c>
      <c r="L82" s="12">
        <f>-(F82*G82*$U$3)/J82</f>
        <v>-79.617638747250851</v>
      </c>
      <c r="M82" s="11">
        <f>ABS(L82/$U$6)</f>
        <v>0.23212139576457974</v>
      </c>
      <c r="N82" s="12">
        <f>L82*SIN(RADIANS(K82))</f>
        <v>-78.408067914817821</v>
      </c>
      <c r="O82" s="12">
        <f>L82*COS(RADIANS(K82))</f>
        <v>-13.825457878604098</v>
      </c>
      <c r="P82" s="5">
        <v>2.0042064406795976</v>
      </c>
      <c r="Q82" s="5">
        <v>0.50911079476210963</v>
      </c>
      <c r="R82" s="6">
        <f>P82/Q82</f>
        <v>3.9366803086862379</v>
      </c>
    </row>
    <row r="83" spans="1:18" x14ac:dyDescent="0.35">
      <c r="A83" s="9">
        <v>82</v>
      </c>
      <c r="B83" s="5">
        <v>0.25</v>
      </c>
      <c r="C83" s="5">
        <v>2000000</v>
      </c>
      <c r="D83" s="5">
        <v>10</v>
      </c>
      <c r="E83" s="5">
        <v>0.125</v>
      </c>
      <c r="F83" s="5">
        <v>0</v>
      </c>
      <c r="G83" s="12">
        <f>(C83*$U$4)/($U$5*$U$3)</f>
        <v>29.387755102040813</v>
      </c>
      <c r="H83" s="11">
        <f>G83*COS(RADIANS(D83))</f>
        <v>28.941289068113864</v>
      </c>
      <c r="I83" s="11">
        <f>G83*SIN(RADIANS(D83))</f>
        <v>5.1031301191914213</v>
      </c>
      <c r="J83" s="11">
        <v>0.19020000000000001</v>
      </c>
      <c r="K83" s="12">
        <v>46</v>
      </c>
      <c r="L83" s="12">
        <f>-(F83*G83*$U$3)/J83</f>
        <v>0</v>
      </c>
      <c r="M83" s="11">
        <f>ABS(L83/$U$6)</f>
        <v>0</v>
      </c>
      <c r="N83" s="12">
        <f>L83*SIN(RADIANS(K83))</f>
        <v>0</v>
      </c>
      <c r="O83" s="12">
        <f>L83*COS(RADIANS(K83))</f>
        <v>0</v>
      </c>
      <c r="P83" s="5">
        <v>2.4410146973597651</v>
      </c>
      <c r="Q83" s="5">
        <v>0.5647317473647615</v>
      </c>
      <c r="R83" s="6">
        <f>P83/Q83</f>
        <v>4.3224322144990159</v>
      </c>
    </row>
    <row r="84" spans="1:18" x14ac:dyDescent="0.35">
      <c r="A84" s="9">
        <v>83</v>
      </c>
      <c r="B84" s="5">
        <v>0.25</v>
      </c>
      <c r="C84" s="5">
        <v>6000000</v>
      </c>
      <c r="D84" s="5">
        <v>0</v>
      </c>
      <c r="E84" s="5">
        <v>0</v>
      </c>
      <c r="F84" s="5">
        <v>1.4999999999999999E-2</v>
      </c>
      <c r="G84" s="12">
        <f>(C84*$U$4)/($U$5*$U$3)</f>
        <v>88.16326530612244</v>
      </c>
      <c r="H84" s="11">
        <f>G84*COS(RADIANS(D84))</f>
        <v>88.16326530612244</v>
      </c>
      <c r="I84" s="11">
        <f>G84*SIN(RADIANS(D84))</f>
        <v>0</v>
      </c>
      <c r="J84" s="12">
        <v>0.18990000000000001</v>
      </c>
      <c r="K84" s="12">
        <v>0</v>
      </c>
      <c r="L84" s="12">
        <f>-(F84*G84*$U$3)/J84</f>
        <v>-6.9639230099622775</v>
      </c>
      <c r="M84" s="11">
        <f>ABS(L84/$U$6)</f>
        <v>2.030298253633317E-2</v>
      </c>
      <c r="N84" s="12">
        <f>L84*SIN(RADIANS(K84))</f>
        <v>0</v>
      </c>
      <c r="O84" s="12">
        <f>L84*COS(RADIANS(K84))</f>
        <v>-6.9639230099622775</v>
      </c>
      <c r="P84" s="5">
        <v>1.9779518729052623</v>
      </c>
      <c r="Q84" s="5">
        <v>0.22660804800718984</v>
      </c>
      <c r="R84" s="6">
        <f>P84/Q84</f>
        <v>8.7285155593525339</v>
      </c>
    </row>
    <row r="85" spans="1:18" x14ac:dyDescent="0.35">
      <c r="A85" s="9">
        <v>84</v>
      </c>
      <c r="B85" s="5">
        <v>1</v>
      </c>
      <c r="C85" s="5">
        <v>6000000</v>
      </c>
      <c r="D85" s="5">
        <v>10</v>
      </c>
      <c r="E85" s="5">
        <v>0.25</v>
      </c>
      <c r="F85" s="5">
        <v>0.1</v>
      </c>
      <c r="G85" s="12">
        <f>(C85*$U$4)/($U$5*$U$3)</f>
        <v>88.16326530612244</v>
      </c>
      <c r="H85" s="11">
        <f>G85*COS(RADIANS(D85))</f>
        <v>86.823867204341596</v>
      </c>
      <c r="I85" s="11">
        <f>G85*SIN(RADIANS(D85))</f>
        <v>15.309390357574264</v>
      </c>
      <c r="J85" s="13">
        <v>0.33379999999999999</v>
      </c>
      <c r="K85" s="12">
        <v>30</v>
      </c>
      <c r="L85" s="12">
        <f>-(F85*G85*$U$3)/J85</f>
        <v>-26.412002787933627</v>
      </c>
      <c r="M85" s="11">
        <f>ABS(L85/$U$6)</f>
        <v>7.7002923579981425E-2</v>
      </c>
      <c r="N85" s="12">
        <f>L85*SIN(RADIANS(K85))</f>
        <v>-13.206001393966812</v>
      </c>
      <c r="O85" s="12">
        <f>L85*COS(RADIANS(K85))</f>
        <v>-22.87346537917594</v>
      </c>
      <c r="P85" s="5">
        <v>9.5008219663425049</v>
      </c>
      <c r="Q85" s="5">
        <v>-0.66516898112657374</v>
      </c>
      <c r="R85" s="6">
        <f>P85/Q85</f>
        <v>-14.283320834130436</v>
      </c>
    </row>
    <row r="86" spans="1:18" x14ac:dyDescent="0.35">
      <c r="A86" s="9">
        <v>85</v>
      </c>
      <c r="B86" s="5">
        <v>0.75</v>
      </c>
      <c r="C86" s="5">
        <v>6000000</v>
      </c>
      <c r="D86" s="5">
        <v>15</v>
      </c>
      <c r="E86" s="5">
        <v>0.25</v>
      </c>
      <c r="F86" s="5">
        <v>1.4999999999999999E-2</v>
      </c>
      <c r="G86" s="12">
        <f>(C86*$U$4)/($U$5*$U$3)</f>
        <v>88.16326530612244</v>
      </c>
      <c r="H86" s="11">
        <f>G86*COS(RADIANS(D86))</f>
        <v>85.159174889158663</v>
      </c>
      <c r="I86" s="11">
        <f>G86*SIN(RADIANS(D86))</f>
        <v>22.818332139650806</v>
      </c>
      <c r="J86" s="12">
        <v>0.28370000000000001</v>
      </c>
      <c r="K86" s="11">
        <v>38</v>
      </c>
      <c r="L86" s="12">
        <f>-(F86*G86*$U$3)/J86</f>
        <v>-4.6614345420931853</v>
      </c>
      <c r="M86" s="11">
        <f>ABS(L86/$U$6)</f>
        <v>1.3590188169367887E-2</v>
      </c>
      <c r="N86" s="12">
        <f>L86*SIN(RADIANS(K86))</f>
        <v>-2.869865667319075</v>
      </c>
      <c r="O86" s="12">
        <f>L86*COS(RADIANS(K86))</f>
        <v>-3.6732605464032555</v>
      </c>
      <c r="P86" s="5">
        <v>4.5964056420086159</v>
      </c>
      <c r="Q86" s="5">
        <v>0.59918515980604925</v>
      </c>
      <c r="R86" s="6">
        <f>P86/Q86</f>
        <v>7.6710939294565144</v>
      </c>
    </row>
    <row r="87" spans="1:18" x14ac:dyDescent="0.35">
      <c r="A87" s="9">
        <v>86</v>
      </c>
      <c r="B87" s="5">
        <v>0.75</v>
      </c>
      <c r="C87" s="5">
        <v>2000000</v>
      </c>
      <c r="D87" s="5">
        <v>5</v>
      </c>
      <c r="E87" s="5">
        <v>0.125</v>
      </c>
      <c r="F87" s="5">
        <v>0.05</v>
      </c>
      <c r="G87" s="12">
        <f>(C87*$U$4)/($U$5*$U$3)</f>
        <v>29.387755102040813</v>
      </c>
      <c r="H87" s="11">
        <f>G87*COS(RADIANS(D87))</f>
        <v>29.275925821471702</v>
      </c>
      <c r="I87" s="11">
        <f>G87*SIN(RADIANS(D87))</f>
        <v>2.5613116236046478</v>
      </c>
      <c r="J87" s="12">
        <v>0.2802</v>
      </c>
      <c r="K87" s="12">
        <v>19</v>
      </c>
      <c r="L87" s="12">
        <f>-(F87*G87*$U$3)/J87</f>
        <v>-5.2440676484726643</v>
      </c>
      <c r="M87" s="11">
        <f>ABS(L87/$U$6)</f>
        <v>1.5288826963477156E-2</v>
      </c>
      <c r="N87" s="12">
        <f>L87*SIN(RADIANS(K87))</f>
        <v>-1.707301426161727</v>
      </c>
      <c r="O87" s="12">
        <f>L87*COS(RADIANS(K87))</f>
        <v>-4.9583633733303323</v>
      </c>
      <c r="P87" s="5">
        <v>4.9768021352367153</v>
      </c>
      <c r="Q87" s="5">
        <v>0.18291634370235632</v>
      </c>
      <c r="R87" s="6">
        <f>P87/Q87</f>
        <v>27.208077936081139</v>
      </c>
    </row>
    <row r="88" spans="1:18" x14ac:dyDescent="0.35">
      <c r="A88" s="9">
        <v>87</v>
      </c>
      <c r="B88" s="5">
        <v>0.75</v>
      </c>
      <c r="C88" s="5">
        <v>6000000</v>
      </c>
      <c r="D88" s="5">
        <v>5</v>
      </c>
      <c r="E88" s="5">
        <v>0.125</v>
      </c>
      <c r="F88" s="5">
        <v>1.4999999999999999E-2</v>
      </c>
      <c r="G88" s="12">
        <f>(C88*$U$4)/($U$5*$U$3)</f>
        <v>88.16326530612244</v>
      </c>
      <c r="H88" s="11">
        <f>G88*COS(RADIANS(D88))</f>
        <v>87.827777464415107</v>
      </c>
      <c r="I88" s="11">
        <f>G88*SIN(RADIANS(D88))</f>
        <v>7.6839348708139434</v>
      </c>
      <c r="J88" s="12">
        <v>0.2802</v>
      </c>
      <c r="K88" s="12">
        <v>19</v>
      </c>
      <c r="L88" s="12">
        <f>-(F88*G88*$U$3)/J88</f>
        <v>-4.7196608836253979</v>
      </c>
      <c r="M88" s="11">
        <f>ABS(L88/$U$6)</f>
        <v>1.375994426712944E-2</v>
      </c>
      <c r="N88" s="12">
        <f>L88*SIN(RADIANS(K88))</f>
        <v>-1.5365712835455543</v>
      </c>
      <c r="O88" s="12">
        <f>L88*COS(RADIANS(K88))</f>
        <v>-4.4625270359972991</v>
      </c>
      <c r="P88" s="5">
        <v>4.1773629044747498</v>
      </c>
      <c r="Q88" s="5">
        <v>0.46258517617719908</v>
      </c>
      <c r="R88" s="6">
        <f>P88/Q88</f>
        <v>9.0304729152724903</v>
      </c>
    </row>
    <row r="89" spans="1:18" x14ac:dyDescent="0.35">
      <c r="A89" s="9">
        <v>88</v>
      </c>
      <c r="B89" s="5">
        <v>1</v>
      </c>
      <c r="C89" s="5">
        <v>6000000</v>
      </c>
      <c r="D89" s="5">
        <v>0</v>
      </c>
      <c r="E89" s="5">
        <v>0</v>
      </c>
      <c r="F89" s="5">
        <v>0</v>
      </c>
      <c r="G89" s="12">
        <f>(C89*$U$4)/($U$5*$U$3)</f>
        <v>88.16326530612244</v>
      </c>
      <c r="H89" s="11">
        <f>G89*COS(RADIANS(D89))</f>
        <v>88.16326530612244</v>
      </c>
      <c r="I89" s="11">
        <f>G89*SIN(RADIANS(D89))</f>
        <v>0</v>
      </c>
      <c r="J89" s="11">
        <v>0.33379999999999999</v>
      </c>
      <c r="K89" s="12">
        <v>0</v>
      </c>
      <c r="L89" s="12">
        <f>-(F89*G89*$U$3)/J89</f>
        <v>0</v>
      </c>
      <c r="M89" s="11">
        <f>ABS(L89/$U$6)</f>
        <v>0</v>
      </c>
      <c r="N89" s="12">
        <f>L89*SIN(RADIANS(K89))</f>
        <v>0</v>
      </c>
      <c r="O89" s="12">
        <f>L89*COS(RADIANS(K89))</f>
        <v>0</v>
      </c>
      <c r="P89" s="5">
        <v>6.2657987807755795</v>
      </c>
      <c r="Q89" s="5">
        <v>1.209568940939364</v>
      </c>
      <c r="R89" s="6">
        <f>P89/Q89</f>
        <v>5.1801915283220605</v>
      </c>
    </row>
    <row r="90" spans="1:18" x14ac:dyDescent="0.35">
      <c r="A90" s="9">
        <v>89</v>
      </c>
      <c r="B90" s="5">
        <v>0.75</v>
      </c>
      <c r="C90" s="5">
        <v>2000000</v>
      </c>
      <c r="D90" s="5">
        <v>10</v>
      </c>
      <c r="E90" s="5">
        <v>0</v>
      </c>
      <c r="F90" s="5">
        <v>1.4999999999999999E-2</v>
      </c>
      <c r="G90" s="12">
        <f>(C90*$U$4)/($U$5*$U$3)</f>
        <v>29.387755102040813</v>
      </c>
      <c r="H90" s="11">
        <f>G90*COS(RADIANS(D90))</f>
        <v>28.941289068113864</v>
      </c>
      <c r="I90" s="11">
        <f>G90*SIN(RADIANS(D90))</f>
        <v>5.1031301191914213</v>
      </c>
      <c r="J90" s="11">
        <v>0.27929999999999999</v>
      </c>
      <c r="K90" s="12">
        <v>0</v>
      </c>
      <c r="L90" s="12">
        <f>-(F90*G90*$U$3)/J90</f>
        <v>-1.5782897476928472</v>
      </c>
      <c r="M90" s="11">
        <f>ABS(L90/$U$6)</f>
        <v>4.6014278358392051E-3</v>
      </c>
      <c r="N90" s="12">
        <f>L90*SIN(RADIANS(K90))</f>
        <v>0</v>
      </c>
      <c r="O90" s="12">
        <f>L90*COS(RADIANS(K90))</f>
        <v>-1.5782897476928472</v>
      </c>
      <c r="P90" s="5">
        <v>2.4826147909308025</v>
      </c>
      <c r="Q90" s="5">
        <v>1.1723865546233787</v>
      </c>
      <c r="R90" s="6">
        <f>P90/Q90</f>
        <v>2.1175735777081868</v>
      </c>
    </row>
    <row r="91" spans="1:18" x14ac:dyDescent="0.35">
      <c r="A91" s="9">
        <v>90</v>
      </c>
      <c r="B91" s="5">
        <v>0.75</v>
      </c>
      <c r="C91" s="5">
        <v>2000000</v>
      </c>
      <c r="D91" s="5">
        <v>30</v>
      </c>
      <c r="E91" s="5">
        <v>0.125</v>
      </c>
      <c r="F91" s="5">
        <v>0.05</v>
      </c>
      <c r="G91" s="12">
        <f>(C91*$U$4)/($U$5*$U$3)</f>
        <v>29.387755102040813</v>
      </c>
      <c r="H91" s="11">
        <f>G91*COS(RADIANS(D91))</f>
        <v>25.450542478563094</v>
      </c>
      <c r="I91" s="11">
        <f>G91*SIN(RADIANS(D91))</f>
        <v>14.693877551020405</v>
      </c>
      <c r="J91" s="12">
        <v>0.2802</v>
      </c>
      <c r="K91" s="12">
        <v>19</v>
      </c>
      <c r="L91" s="12">
        <f>-(F91*G91*$U$3)/J91</f>
        <v>-5.2440676484726643</v>
      </c>
      <c r="M91" s="11">
        <f>ABS(L91/$U$6)</f>
        <v>1.5288826963477156E-2</v>
      </c>
      <c r="N91" s="12">
        <f>L91*SIN(RADIANS(K91))</f>
        <v>-1.707301426161727</v>
      </c>
      <c r="O91" s="12">
        <f>L91*COS(RADIANS(K91))</f>
        <v>-4.9583633733303323</v>
      </c>
      <c r="P91" s="5">
        <v>4.3555349126349059</v>
      </c>
      <c r="Q91" s="5">
        <v>1.370033699925848</v>
      </c>
      <c r="R91" s="6">
        <f>P91/Q91</f>
        <v>3.1791443618289432</v>
      </c>
    </row>
    <row r="92" spans="1:18" x14ac:dyDescent="0.35">
      <c r="A92" s="9">
        <v>91</v>
      </c>
      <c r="B92" s="5">
        <v>0.25</v>
      </c>
      <c r="C92" s="5">
        <v>4000000</v>
      </c>
      <c r="D92" s="5">
        <v>20</v>
      </c>
      <c r="E92" s="5">
        <v>0</v>
      </c>
      <c r="F92" s="5">
        <v>1.4999999999999999E-2</v>
      </c>
      <c r="G92" s="12">
        <f>(C92*$U$4)/($U$5*$U$3)</f>
        <v>58.775510204081627</v>
      </c>
      <c r="H92" s="11">
        <f>G92*COS(RADIANS(D92))</f>
        <v>55.230913221702366</v>
      </c>
      <c r="I92" s="11">
        <f>G92*SIN(RADIANS(D92))</f>
        <v>20.102408424039304</v>
      </c>
      <c r="J92" s="12">
        <v>0.18990000000000001</v>
      </c>
      <c r="K92" s="12">
        <v>0</v>
      </c>
      <c r="L92" s="12">
        <f>-(F92*G92*$U$3)/J92</f>
        <v>-4.642615339974852</v>
      </c>
      <c r="M92" s="11">
        <f>ABS(L92/$U$6)</f>
        <v>1.3535321690888781E-2</v>
      </c>
      <c r="N92" s="12">
        <f>L92*SIN(RADIANS(K92))</f>
        <v>0</v>
      </c>
      <c r="O92" s="12">
        <f>L92*COS(RADIANS(K92))</f>
        <v>-4.642615339974852</v>
      </c>
      <c r="P92" s="5">
        <v>2.0810036395640399</v>
      </c>
      <c r="Q92" s="5">
        <v>0.67043561326472512</v>
      </c>
      <c r="R92" s="6">
        <f>P92/Q92</f>
        <v>3.1039574843443534</v>
      </c>
    </row>
    <row r="93" spans="1:18" x14ac:dyDescent="0.35">
      <c r="A93" s="9">
        <v>92</v>
      </c>
      <c r="B93" s="5">
        <v>0.25</v>
      </c>
      <c r="C93" s="5">
        <v>6000000</v>
      </c>
      <c r="D93" s="5">
        <v>0</v>
      </c>
      <c r="E93" s="5">
        <v>0.375</v>
      </c>
      <c r="F93" s="5">
        <v>0.05</v>
      </c>
      <c r="G93" s="12">
        <f>(C93*$U$4)/($U$5*$U$3)</f>
        <v>88.16326530612244</v>
      </c>
      <c r="H93" s="11">
        <f>G93*COS(RADIANS(D93))</f>
        <v>88.16326530612244</v>
      </c>
      <c r="I93" s="11">
        <f>G93*SIN(RADIANS(D93))</f>
        <v>0</v>
      </c>
      <c r="J93" s="11">
        <v>0.1976</v>
      </c>
      <c r="K93" s="12">
        <v>78</v>
      </c>
      <c r="L93" s="12">
        <f>-(F93*G93*$U$3)/J93</f>
        <v>-22.308518549120052</v>
      </c>
      <c r="M93" s="11">
        <f>ABS(L93/$U$6)</f>
        <v>6.5039412679650299E-2</v>
      </c>
      <c r="N93" s="12">
        <f>L93*SIN(RADIANS(K93))</f>
        <v>-21.821023894747377</v>
      </c>
      <c r="O93" s="12">
        <f>L93*COS(RADIANS(K93))</f>
        <v>-4.6382018111869003</v>
      </c>
      <c r="P93" s="5">
        <v>2.2976537362765987</v>
      </c>
      <c r="Q93" s="5">
        <v>0.11666792810870537</v>
      </c>
      <c r="R93" s="6">
        <f>P93/Q93</f>
        <v>19.693961944157948</v>
      </c>
    </row>
    <row r="94" spans="1:18" x14ac:dyDescent="0.35">
      <c r="A94" s="9">
        <v>93</v>
      </c>
      <c r="B94" s="5">
        <v>0.5</v>
      </c>
      <c r="C94" s="5">
        <v>2000000</v>
      </c>
      <c r="D94" s="5">
        <v>10</v>
      </c>
      <c r="E94" s="5">
        <v>0.125</v>
      </c>
      <c r="F94" s="5">
        <v>0</v>
      </c>
      <c r="G94" s="12">
        <f>(C94*$U$4)/($U$5*$U$3)</f>
        <v>29.387755102040813</v>
      </c>
      <c r="H94" s="11">
        <f>G94*COS(RADIANS(D94))</f>
        <v>28.941289068113864</v>
      </c>
      <c r="I94" s="11">
        <f>G94*SIN(RADIANS(D94))</f>
        <v>5.1031301191914213</v>
      </c>
      <c r="J94" s="12">
        <v>0.23300000000000001</v>
      </c>
      <c r="K94" s="11">
        <v>27</v>
      </c>
      <c r="L94" s="12">
        <f>-(F94*G94*$U$3)/J94</f>
        <v>0</v>
      </c>
      <c r="M94" s="11">
        <f>ABS(L94/$U$6)</f>
        <v>0</v>
      </c>
      <c r="N94" s="12">
        <f>L94*SIN(RADIANS(K94))</f>
        <v>0</v>
      </c>
      <c r="O94" s="12">
        <f>L94*COS(RADIANS(K94))</f>
        <v>0</v>
      </c>
      <c r="P94" s="5">
        <v>3.9872206266289152</v>
      </c>
      <c r="Q94" s="5">
        <v>0.92147190889342323</v>
      </c>
      <c r="R94" s="6">
        <f>P94/Q94</f>
        <v>4.3270126719512119</v>
      </c>
    </row>
    <row r="95" spans="1:18" x14ac:dyDescent="0.35">
      <c r="A95" s="9">
        <v>94</v>
      </c>
      <c r="B95" s="5">
        <v>0.5</v>
      </c>
      <c r="C95" s="5">
        <v>2000000</v>
      </c>
      <c r="D95" s="5">
        <v>30</v>
      </c>
      <c r="E95" s="5">
        <v>0.125</v>
      </c>
      <c r="F95" s="5">
        <v>2.5000000000000001E-2</v>
      </c>
      <c r="G95" s="12">
        <f>(C95*$U$4)/($U$5*$U$3)</f>
        <v>29.387755102040813</v>
      </c>
      <c r="H95" s="11">
        <f>G95*COS(RADIANS(D95))</f>
        <v>25.450542478563094</v>
      </c>
      <c r="I95" s="11">
        <f>G95*SIN(RADIANS(D95))</f>
        <v>14.693877551020405</v>
      </c>
      <c r="J95" s="12">
        <v>0.23300000000000001</v>
      </c>
      <c r="K95" s="11">
        <v>27</v>
      </c>
      <c r="L95" s="12">
        <f>-(F95*G95*$U$3)/J95</f>
        <v>-3.1531926075151087</v>
      </c>
      <c r="M95" s="11">
        <f>ABS(L95/$U$6)</f>
        <v>9.1929813630178096E-3</v>
      </c>
      <c r="N95" s="12">
        <f>L95*SIN(RADIANS(K95))</f>
        <v>-1.4315194876608286</v>
      </c>
      <c r="O95" s="12">
        <f>L95*COS(RADIANS(K95))</f>
        <v>-2.8095151853184936</v>
      </c>
      <c r="P95" s="5">
        <v>3.295590757754991</v>
      </c>
      <c r="Q95" s="5">
        <v>1.2660385103802805</v>
      </c>
      <c r="R95" s="6">
        <f>P95/Q95</f>
        <v>2.6030730745821415</v>
      </c>
    </row>
    <row r="96" spans="1:18" x14ac:dyDescent="0.35">
      <c r="A96" s="9">
        <v>95</v>
      </c>
      <c r="B96" s="5">
        <v>0.75</v>
      </c>
      <c r="C96" s="5">
        <v>4000000</v>
      </c>
      <c r="D96" s="5">
        <v>10</v>
      </c>
      <c r="E96" s="5">
        <v>0.375</v>
      </c>
      <c r="F96" s="5">
        <v>3.5000000000000003E-2</v>
      </c>
      <c r="G96" s="12">
        <f>(C96*$U$4)/($U$5*$U$3)</f>
        <v>58.775510204081627</v>
      </c>
      <c r="H96" s="11">
        <f>G96*COS(RADIANS(D96))</f>
        <v>57.882578136227728</v>
      </c>
      <c r="I96" s="11">
        <f>G96*SIN(RADIANS(D96))</f>
        <v>10.206260238382843</v>
      </c>
      <c r="J96" s="11">
        <v>0.29299999999999998</v>
      </c>
      <c r="K96" s="12">
        <v>57</v>
      </c>
      <c r="L96" s="12">
        <f>-(F96*G96*$U$3)/J96</f>
        <v>-7.0209653827401262</v>
      </c>
      <c r="M96" s="11">
        <f>ABS(L96/$U$6)</f>
        <v>2.0469286830146139E-2</v>
      </c>
      <c r="N96" s="12">
        <f>L96*SIN(RADIANS(K96))</f>
        <v>-5.8882770250678229</v>
      </c>
      <c r="O96" s="12">
        <f>L96*COS(RADIANS(K96))</f>
        <v>-3.8238918109294926</v>
      </c>
      <c r="P96" s="5">
        <v>3.9072566324181546</v>
      </c>
      <c r="Q96" s="5">
        <v>0.23858548785635805</v>
      </c>
      <c r="R96" s="6">
        <f>P96/Q96</f>
        <v>16.376757310446912</v>
      </c>
    </row>
    <row r="97" spans="1:18" x14ac:dyDescent="0.35">
      <c r="A97" s="9">
        <v>96</v>
      </c>
      <c r="B97" s="5">
        <v>0.25</v>
      </c>
      <c r="C97" s="5">
        <v>4000000</v>
      </c>
      <c r="D97" s="5">
        <v>10</v>
      </c>
      <c r="E97" s="5">
        <v>0</v>
      </c>
      <c r="F97" s="5">
        <v>0.1</v>
      </c>
      <c r="G97" s="12">
        <f>(C97*$U$4)/($U$5*$U$3)</f>
        <v>58.775510204081627</v>
      </c>
      <c r="H97" s="11">
        <f>G97*COS(RADIANS(D97))</f>
        <v>57.882578136227728</v>
      </c>
      <c r="I97" s="11">
        <f>G97*SIN(RADIANS(D97))</f>
        <v>10.206260238382843</v>
      </c>
      <c r="J97" s="12">
        <v>0.18990000000000001</v>
      </c>
      <c r="K97" s="12">
        <v>0</v>
      </c>
      <c r="L97" s="12">
        <f>-(F97*G97*$U$3)/J97</f>
        <v>-30.95076893316568</v>
      </c>
      <c r="M97" s="11">
        <f>ABS(L97/$U$6)</f>
        <v>9.023547793925854E-2</v>
      </c>
      <c r="N97" s="12">
        <f>L97*SIN(RADIANS(K97))</f>
        <v>0</v>
      </c>
      <c r="O97" s="12">
        <f>L97*COS(RADIANS(K97))</f>
        <v>-30.95076893316568</v>
      </c>
      <c r="P97" s="5">
        <v>2.3811392579798101</v>
      </c>
      <c r="Q97" s="5">
        <v>0.33508113945445767</v>
      </c>
      <c r="R97" s="6">
        <f>P97/Q97</f>
        <v>7.106157218685957</v>
      </c>
    </row>
    <row r="98" spans="1:18" x14ac:dyDescent="0.35">
      <c r="A98" s="9">
        <v>97</v>
      </c>
      <c r="B98" s="5">
        <v>0.75</v>
      </c>
      <c r="C98" s="5">
        <v>6000000</v>
      </c>
      <c r="D98" s="5">
        <v>15</v>
      </c>
      <c r="E98" s="5">
        <v>0.25</v>
      </c>
      <c r="F98" s="5">
        <v>7.4999999999999997E-2</v>
      </c>
      <c r="G98" s="12">
        <f>(C98*$U$4)/($U$5*$U$3)</f>
        <v>88.16326530612244</v>
      </c>
      <c r="H98" s="11">
        <f>G98*COS(RADIANS(D98))</f>
        <v>85.159174889158663</v>
      </c>
      <c r="I98" s="11">
        <f>G98*SIN(RADIANS(D98))</f>
        <v>22.818332139650806</v>
      </c>
      <c r="J98" s="12">
        <v>0.28370000000000001</v>
      </c>
      <c r="K98" s="11">
        <v>38</v>
      </c>
      <c r="L98" s="12">
        <f>-(F98*G98*$U$3)/J98</f>
        <v>-23.307172710465924</v>
      </c>
      <c r="M98" s="11">
        <f>ABS(L98/$U$6)</f>
        <v>6.7950940846839433E-2</v>
      </c>
      <c r="N98" s="12">
        <f>L98*SIN(RADIANS(K98))</f>
        <v>-14.349328336595372</v>
      </c>
      <c r="O98" s="12">
        <f>L98*COS(RADIANS(K98))</f>
        <v>-18.366302732016276</v>
      </c>
      <c r="P98" s="5">
        <v>3.8750941069270515</v>
      </c>
      <c r="Q98" s="5">
        <v>0.56737212175391516</v>
      </c>
      <c r="R98" s="6">
        <f>P98/Q98</f>
        <v>6.8298986826282349</v>
      </c>
    </row>
    <row r="99" spans="1:18" x14ac:dyDescent="0.35">
      <c r="A99" s="9">
        <v>924</v>
      </c>
      <c r="B99" s="5">
        <v>0.1</v>
      </c>
      <c r="C99" s="5">
        <v>6000000</v>
      </c>
      <c r="D99" s="5">
        <v>20</v>
      </c>
      <c r="E99" s="5">
        <v>0.25</v>
      </c>
      <c r="F99" s="5">
        <v>0.15</v>
      </c>
      <c r="G99" s="12">
        <f>(C99*$U$4)/($U$5*$U$3)</f>
        <v>88.16326530612244</v>
      </c>
      <c r="H99" s="11">
        <f>G99*COS(RADIANS(D99))</f>
        <v>82.846369832553549</v>
      </c>
      <c r="I99" s="11">
        <f>G99*SIN(RADIANS(D99))</f>
        <v>30.153612636058952</v>
      </c>
      <c r="J99" s="11">
        <v>0.1661</v>
      </c>
      <c r="K99" s="12">
        <v>80</v>
      </c>
      <c r="L99" s="12">
        <f>-(F99*G99*$U$3)/J99</f>
        <v>-79.617638747250851</v>
      </c>
      <c r="M99" s="11">
        <f>ABS(L99/$U$6)</f>
        <v>0.23212139576457974</v>
      </c>
      <c r="N99" s="12">
        <f>L99*SIN(RADIANS(K99))</f>
        <v>-78.408067914817821</v>
      </c>
      <c r="O99" s="12">
        <f>L99*COS(RADIANS(K99))</f>
        <v>-13.825457878604098</v>
      </c>
      <c r="P99" s="5">
        <v>2.0778260360992671</v>
      </c>
      <c r="Q99" s="5">
        <v>0.88183428052033486</v>
      </c>
      <c r="R99" s="6">
        <f>P99/Q99</f>
        <v>2.3562545503144032</v>
      </c>
    </row>
    <row r="100" spans="1:18" x14ac:dyDescent="0.35">
      <c r="A100" s="9">
        <v>99</v>
      </c>
      <c r="B100" s="5">
        <v>0.5</v>
      </c>
      <c r="C100" s="5">
        <v>2000000</v>
      </c>
      <c r="D100" s="5">
        <v>10</v>
      </c>
      <c r="E100" s="5">
        <v>0</v>
      </c>
      <c r="F100" s="5">
        <v>0.1</v>
      </c>
      <c r="G100" s="12">
        <f>(C100*$U$4)/($U$5*$U$3)</f>
        <v>29.387755102040813</v>
      </c>
      <c r="H100" s="11">
        <f>G100*COS(RADIANS(D100))</f>
        <v>28.941289068113864</v>
      </c>
      <c r="I100" s="11">
        <f>G100*SIN(RADIANS(D100))</f>
        <v>5.1031301191914213</v>
      </c>
      <c r="J100" s="12">
        <v>0.23230000000000001</v>
      </c>
      <c r="K100" s="12">
        <v>0</v>
      </c>
      <c r="L100" s="12">
        <f>-(F100*G100*$U$3)/J100</f>
        <v>-12.650777056410165</v>
      </c>
      <c r="M100" s="11">
        <f>ABS(L100/$U$6)</f>
        <v>3.6882731942886778E-2</v>
      </c>
      <c r="N100" s="12">
        <f>L100*SIN(RADIANS(K100))</f>
        <v>0</v>
      </c>
      <c r="O100" s="12">
        <f>L100*COS(RADIANS(K100))</f>
        <v>-12.650777056410165</v>
      </c>
      <c r="P100" s="5">
        <v>4.4730184135269955</v>
      </c>
      <c r="Q100" s="5">
        <v>0.53157288159935479</v>
      </c>
      <c r="R100" s="6">
        <f>P100/Q100</f>
        <v>8.414685113486092</v>
      </c>
    </row>
    <row r="101" spans="1:18" x14ac:dyDescent="0.35">
      <c r="A101" s="9">
        <v>100</v>
      </c>
      <c r="B101" s="5">
        <v>1</v>
      </c>
      <c r="C101" s="5">
        <v>6000000</v>
      </c>
      <c r="D101" s="5">
        <v>0</v>
      </c>
      <c r="E101" s="5">
        <v>0</v>
      </c>
      <c r="F101" s="5">
        <v>1.4999999999999999E-2</v>
      </c>
      <c r="G101" s="12">
        <f>(C101*$U$4)/($U$5*$U$3)</f>
        <v>88.16326530612244</v>
      </c>
      <c r="H101" s="11">
        <f>G101*COS(RADIANS(D101))</f>
        <v>88.16326530612244</v>
      </c>
      <c r="I101" s="11">
        <f>G101*SIN(RADIANS(D101))</f>
        <v>0</v>
      </c>
      <c r="J101" s="11">
        <v>0.33379999999999999</v>
      </c>
      <c r="K101" s="12">
        <v>0</v>
      </c>
      <c r="L101" s="12">
        <f>-(F101*G101*$U$3)/J101</f>
        <v>-3.9618004181900441</v>
      </c>
      <c r="M101" s="11">
        <f>ABS(L101/$U$6)</f>
        <v>1.1550438536997214E-2</v>
      </c>
      <c r="N101" s="12">
        <f>L101*SIN(RADIANS(K101))</f>
        <v>0</v>
      </c>
      <c r="O101" s="12">
        <f>L101*COS(RADIANS(K101))</f>
        <v>-3.9618004181900441</v>
      </c>
      <c r="P101" s="5">
        <v>1.2905135768793683</v>
      </c>
      <c r="Q101" s="5">
        <v>2.2445571696097062</v>
      </c>
      <c r="R101" s="6">
        <f>P101/Q101</f>
        <v>0.57495242017104364</v>
      </c>
    </row>
    <row r="102" spans="1:18" x14ac:dyDescent="0.35">
      <c r="A102" s="9">
        <v>101</v>
      </c>
      <c r="B102" s="5">
        <v>0.1</v>
      </c>
      <c r="C102" s="5">
        <v>6000000</v>
      </c>
      <c r="D102" s="5">
        <v>5</v>
      </c>
      <c r="E102" s="5">
        <v>0.125</v>
      </c>
      <c r="F102" s="5">
        <v>1.4999999999999999E-2</v>
      </c>
      <c r="G102" s="12">
        <f>(C102*$U$4)/($U$5*$U$3)</f>
        <v>88.16326530612244</v>
      </c>
      <c r="H102" s="11">
        <f>G102*COS(RADIANS(D102))</f>
        <v>87.827777464415107</v>
      </c>
      <c r="I102" s="11">
        <f>G102*SIN(RADIANS(D102))</f>
        <v>7.6839348708139434</v>
      </c>
      <c r="J102" s="12">
        <v>0.1658</v>
      </c>
      <c r="K102" s="12">
        <v>69</v>
      </c>
      <c r="L102" s="12">
        <f>-(F102*G102*$U$3)/J102</f>
        <v>-7.9761699613500401</v>
      </c>
      <c r="M102" s="11">
        <f>ABS(L102/$U$6)</f>
        <v>2.3254139829008862E-2</v>
      </c>
      <c r="N102" s="12">
        <f>L102*SIN(RADIANS(K102))</f>
        <v>-7.4463961543313397</v>
      </c>
      <c r="O102" s="12">
        <f>L102*COS(RADIANS(K102))</f>
        <v>-2.8584036742738315</v>
      </c>
      <c r="P102" s="5">
        <v>1.2775980158775517</v>
      </c>
      <c r="Q102" s="5">
        <v>0.33496067596573098</v>
      </c>
      <c r="R102" s="6">
        <f>P102/Q102</f>
        <v>3.8141731479197865</v>
      </c>
    </row>
    <row r="103" spans="1:18" x14ac:dyDescent="0.35">
      <c r="A103" s="9">
        <v>102</v>
      </c>
      <c r="B103" s="5">
        <v>0.75</v>
      </c>
      <c r="C103" s="5">
        <v>2000000</v>
      </c>
      <c r="D103" s="5">
        <v>5</v>
      </c>
      <c r="E103" s="5">
        <v>0.25</v>
      </c>
      <c r="F103" s="5">
        <v>7.4999999999999997E-2</v>
      </c>
      <c r="G103" s="12">
        <f>(C103*$U$4)/($U$5*$U$3)</f>
        <v>29.387755102040813</v>
      </c>
      <c r="H103" s="11">
        <f>G103*COS(RADIANS(D103))</f>
        <v>29.275925821471702</v>
      </c>
      <c r="I103" s="11">
        <f>G103*SIN(RADIANS(D103))</f>
        <v>2.5613116236046478</v>
      </c>
      <c r="J103" s="12">
        <v>0.28370000000000001</v>
      </c>
      <c r="K103" s="11">
        <v>38</v>
      </c>
      <c r="L103" s="12">
        <f>-(F103*G103*$U$3)/J103</f>
        <v>-7.769057570155308</v>
      </c>
      <c r="M103" s="11">
        <f>ABS(L103/$U$6)</f>
        <v>2.2650313615613142E-2</v>
      </c>
      <c r="N103" s="12">
        <f>L103*SIN(RADIANS(K103))</f>
        <v>-4.7831094455317906</v>
      </c>
      <c r="O103" s="12">
        <f>L103*COS(RADIANS(K103))</f>
        <v>-6.1221009106720921</v>
      </c>
      <c r="P103" s="5">
        <v>3.7356586647571932</v>
      </c>
      <c r="Q103" s="5">
        <v>0.14273594898039668</v>
      </c>
      <c r="R103" s="6">
        <f>P103/Q103</f>
        <v>26.171813698245337</v>
      </c>
    </row>
    <row r="104" spans="1:18" x14ac:dyDescent="0.35">
      <c r="A104" s="9">
        <v>103</v>
      </c>
      <c r="B104" s="5">
        <v>1</v>
      </c>
      <c r="C104" s="5">
        <v>4000000</v>
      </c>
      <c r="D104" s="5">
        <v>0</v>
      </c>
      <c r="E104" s="5">
        <v>0.25</v>
      </c>
      <c r="F104" s="5">
        <v>2.5000000000000001E-2</v>
      </c>
      <c r="G104" s="12">
        <f>(C104*$U$4)/($U$5*$U$3)</f>
        <v>58.775510204081627</v>
      </c>
      <c r="H104" s="11">
        <f>G104*COS(RADIANS(D104))</f>
        <v>58.775510204081627</v>
      </c>
      <c r="I104" s="11">
        <f>G104*SIN(RADIANS(D104))</f>
        <v>0</v>
      </c>
      <c r="J104" s="13">
        <v>0.33379999999999999</v>
      </c>
      <c r="K104" s="12">
        <v>30</v>
      </c>
      <c r="L104" s="12">
        <f>-(F104*G104*$U$3)/J104</f>
        <v>-4.4020004646556048</v>
      </c>
      <c r="M104" s="11">
        <f>ABS(L104/$U$6)</f>
        <v>1.283382059666357E-2</v>
      </c>
      <c r="N104" s="12">
        <f>L104*SIN(RADIANS(K104))</f>
        <v>-2.201000232327802</v>
      </c>
      <c r="O104" s="12">
        <f>L104*COS(RADIANS(K104))</f>
        <v>-3.8122442298626571</v>
      </c>
      <c r="P104" s="5">
        <v>4.5898679588221984</v>
      </c>
      <c r="Q104" s="5">
        <v>-0.26510989046639566</v>
      </c>
      <c r="R104" s="6">
        <f>P104/Q104</f>
        <v>-17.31307704419271</v>
      </c>
    </row>
    <row r="105" spans="1:18" x14ac:dyDescent="0.35">
      <c r="A105" s="9">
        <v>104</v>
      </c>
      <c r="B105" s="5">
        <v>0.75</v>
      </c>
      <c r="C105" s="5">
        <v>6000000</v>
      </c>
      <c r="D105" s="5">
        <v>10</v>
      </c>
      <c r="E105" s="5">
        <v>0.125</v>
      </c>
      <c r="F105" s="5">
        <v>0.1</v>
      </c>
      <c r="G105" s="12">
        <f>(C105*$U$4)/($U$5*$U$3)</f>
        <v>88.16326530612244</v>
      </c>
      <c r="H105" s="11">
        <f>G105*COS(RADIANS(D105))</f>
        <v>86.823867204341596</v>
      </c>
      <c r="I105" s="11">
        <f>G105*SIN(RADIANS(D105))</f>
        <v>15.309390357574264</v>
      </c>
      <c r="J105" s="12">
        <v>0.2802</v>
      </c>
      <c r="K105" s="12">
        <v>19</v>
      </c>
      <c r="L105" s="12">
        <f>-(F105*G105*$U$3)/J105</f>
        <v>-31.464405890835987</v>
      </c>
      <c r="M105" s="11">
        <f>ABS(L105/$U$6)</f>
        <v>9.1732961780862932E-2</v>
      </c>
      <c r="N105" s="12">
        <f>L105*SIN(RADIANS(K105))</f>
        <v>-10.243808556970363</v>
      </c>
      <c r="O105" s="12">
        <f>L105*COS(RADIANS(K105))</f>
        <v>-29.750180239981997</v>
      </c>
      <c r="P105" s="5">
        <v>3.5916737177866707</v>
      </c>
      <c r="Q105" s="5">
        <v>0.57893672562644238</v>
      </c>
      <c r="R105" s="6">
        <f>P105/Q105</f>
        <v>6.2039141046031858</v>
      </c>
    </row>
    <row r="106" spans="1:18" x14ac:dyDescent="0.35">
      <c r="A106" s="9">
        <v>105</v>
      </c>
      <c r="B106" s="5">
        <v>0.25</v>
      </c>
      <c r="C106" s="5">
        <v>4000000</v>
      </c>
      <c r="D106" s="5">
        <v>30</v>
      </c>
      <c r="E106" s="5">
        <v>0.25</v>
      </c>
      <c r="F106" s="5">
        <v>0.1</v>
      </c>
      <c r="G106" s="12">
        <f>(C106*$U$4)/($U$5*$U$3)</f>
        <v>58.775510204081627</v>
      </c>
      <c r="H106" s="11">
        <f>G106*COS(RADIANS(D106))</f>
        <v>50.901084957126187</v>
      </c>
      <c r="I106" s="11">
        <f>G106*SIN(RADIANS(D106))</f>
        <v>29.38775510204081</v>
      </c>
      <c r="J106" s="12">
        <v>0.1913</v>
      </c>
      <c r="K106" s="11">
        <v>67</v>
      </c>
      <c r="L106" s="12">
        <f>-(F106*G106*$U$3)/J106</f>
        <v>-30.724260430779733</v>
      </c>
      <c r="M106" s="11">
        <f>ABS(L106/$U$6)</f>
        <v>8.9575103296733918E-2</v>
      </c>
      <c r="N106" s="12">
        <f>L106*SIN(RADIANS(K106))</f>
        <v>-28.281830845269511</v>
      </c>
      <c r="O106" s="12">
        <f>L106*COS(RADIANS(K106))</f>
        <v>-12.004924950116903</v>
      </c>
      <c r="P106" s="5">
        <v>2.6374676959382506</v>
      </c>
      <c r="Q106" s="5">
        <v>0.98874026789238489</v>
      </c>
      <c r="R106" s="6">
        <f>P106/Q106</f>
        <v>2.6675030658560317</v>
      </c>
    </row>
    <row r="107" spans="1:18" x14ac:dyDescent="0.35">
      <c r="A107" s="9">
        <v>106</v>
      </c>
      <c r="B107" s="5">
        <v>0.5</v>
      </c>
      <c r="C107" s="5">
        <v>6000000</v>
      </c>
      <c r="D107" s="5">
        <v>10</v>
      </c>
      <c r="E107" s="5">
        <v>0</v>
      </c>
      <c r="F107" s="5">
        <v>1.4999999999999999E-2</v>
      </c>
      <c r="G107" s="12">
        <f>(C107*$U$4)/($U$5*$U$3)</f>
        <v>88.16326530612244</v>
      </c>
      <c r="H107" s="11">
        <f>G107*COS(RADIANS(D107))</f>
        <v>86.823867204341596</v>
      </c>
      <c r="I107" s="11">
        <f>G107*SIN(RADIANS(D107))</f>
        <v>15.309390357574264</v>
      </c>
      <c r="J107" s="12">
        <v>0.23230000000000001</v>
      </c>
      <c r="K107" s="12">
        <v>0</v>
      </c>
      <c r="L107" s="12">
        <f>-(F107*G107*$U$3)/J107</f>
        <v>-5.6928496753845739</v>
      </c>
      <c r="M107" s="11">
        <f>ABS(L107/$U$6)</f>
        <v>1.6597229374299048E-2</v>
      </c>
      <c r="N107" s="12">
        <f>L107*SIN(RADIANS(K107))</f>
        <v>0</v>
      </c>
      <c r="O107" s="12">
        <f>L107*COS(RADIANS(K107))</f>
        <v>-5.6928496753845739</v>
      </c>
      <c r="P107" s="5">
        <v>3.097583955721336</v>
      </c>
      <c r="Q107" s="5">
        <v>0.69626655437239982</v>
      </c>
      <c r="R107" s="6">
        <f>P107/Q107</f>
        <v>4.4488478389047907</v>
      </c>
    </row>
    <row r="108" spans="1:18" x14ac:dyDescent="0.35">
      <c r="A108" s="9">
        <v>107</v>
      </c>
      <c r="B108" s="5">
        <v>0.1</v>
      </c>
      <c r="C108" s="5">
        <v>2000000</v>
      </c>
      <c r="D108" s="5">
        <v>30</v>
      </c>
      <c r="E108" s="5">
        <v>0.125</v>
      </c>
      <c r="F108" s="5">
        <v>1.4999999999999999E-2</v>
      </c>
      <c r="G108" s="12">
        <f>(C108*$U$4)/($U$5*$U$3)</f>
        <v>29.387755102040813</v>
      </c>
      <c r="H108" s="11">
        <f>G108*COS(RADIANS(D108))</f>
        <v>25.450542478563094</v>
      </c>
      <c r="I108" s="11">
        <f>G108*SIN(RADIANS(D108))</f>
        <v>14.693877551020405</v>
      </c>
      <c r="J108" s="12">
        <v>0.1658</v>
      </c>
      <c r="K108" s="12">
        <v>69</v>
      </c>
      <c r="L108" s="12">
        <f>-(F108*G108*$U$3)/J108</f>
        <v>-2.6587233204500134</v>
      </c>
      <c r="M108" s="11">
        <f>ABS(L108/$U$6)</f>
        <v>7.7513799430029545E-3</v>
      </c>
      <c r="N108" s="12">
        <f>L108*SIN(RADIANS(K108))</f>
        <v>-2.4821320514437799</v>
      </c>
      <c r="O108" s="12">
        <f>L108*COS(RADIANS(K108))</f>
        <v>-0.95280122475794393</v>
      </c>
      <c r="P108" s="5">
        <v>1.0445863794673051</v>
      </c>
      <c r="Q108" s="5">
        <v>0.88776318779397811</v>
      </c>
      <c r="R108" s="6">
        <f>P108/Q108</f>
        <v>1.1766498023679268</v>
      </c>
    </row>
    <row r="109" spans="1:18" x14ac:dyDescent="0.35">
      <c r="A109" s="9">
        <v>108</v>
      </c>
      <c r="B109" s="5">
        <v>1</v>
      </c>
      <c r="C109" s="5">
        <v>4000000</v>
      </c>
      <c r="D109" s="5">
        <v>30</v>
      </c>
      <c r="E109" s="5">
        <v>0.25</v>
      </c>
      <c r="F109" s="5">
        <v>0.05</v>
      </c>
      <c r="G109" s="12">
        <f>(C109*$U$4)/($U$5*$U$3)</f>
        <v>58.775510204081627</v>
      </c>
      <c r="H109" s="11">
        <f>G109*COS(RADIANS(D109))</f>
        <v>50.901084957126187</v>
      </c>
      <c r="I109" s="11">
        <f>G109*SIN(RADIANS(D109))</f>
        <v>29.38775510204081</v>
      </c>
      <c r="J109" s="13">
        <v>0.33379999999999999</v>
      </c>
      <c r="K109" s="12">
        <v>30</v>
      </c>
      <c r="L109" s="12">
        <f>-(F109*G109*$U$3)/J109</f>
        <v>-8.8040009293112096</v>
      </c>
      <c r="M109" s="11">
        <f>ABS(L109/$U$6)</f>
        <v>2.566764119332714E-2</v>
      </c>
      <c r="N109" s="12">
        <f>L109*SIN(RADIANS(K109))</f>
        <v>-4.4020004646556039</v>
      </c>
      <c r="O109" s="12">
        <f>L109*COS(RADIANS(K109))</f>
        <v>-7.6244884597253142</v>
      </c>
      <c r="P109" s="5">
        <v>3.5554245831991835</v>
      </c>
      <c r="Q109" s="5">
        <v>1.6488503391372642</v>
      </c>
      <c r="R109" s="6">
        <f>P109/Q109</f>
        <v>2.1563052138858794</v>
      </c>
    </row>
    <row r="110" spans="1:18" x14ac:dyDescent="0.35">
      <c r="A110" s="9">
        <v>2065</v>
      </c>
      <c r="B110" s="5">
        <v>0.1</v>
      </c>
      <c r="C110" s="5">
        <v>6000000</v>
      </c>
      <c r="D110" s="5">
        <v>0</v>
      </c>
      <c r="E110" s="5">
        <v>0.25</v>
      </c>
      <c r="F110" s="5">
        <v>0.15</v>
      </c>
      <c r="G110" s="12">
        <f>(C110*$U$4)/($U$5*$U$3)</f>
        <v>88.16326530612244</v>
      </c>
      <c r="H110" s="11">
        <f>G110*COS(RADIANS(D110))</f>
        <v>88.16326530612244</v>
      </c>
      <c r="I110" s="11">
        <f>G110*SIN(RADIANS(D110))</f>
        <v>0</v>
      </c>
      <c r="J110" s="11">
        <v>0.1661</v>
      </c>
      <c r="K110" s="12">
        <v>80</v>
      </c>
      <c r="L110" s="12">
        <f>-(F110*G110*$U$3)/J110</f>
        <v>-79.617638747250851</v>
      </c>
      <c r="M110" s="11">
        <f>ABS(L110/$U$6)</f>
        <v>0.23212139576457974</v>
      </c>
      <c r="N110" s="12">
        <f>L110*SIN(RADIANS(K110))</f>
        <v>-78.408067914817821</v>
      </c>
      <c r="O110" s="12">
        <f>L110*COS(RADIANS(K110))</f>
        <v>-13.825457878604098</v>
      </c>
      <c r="P110" s="5">
        <v>1.6466777104765491</v>
      </c>
      <c r="Q110" s="5">
        <v>0.20535839998404318</v>
      </c>
      <c r="R110" s="6">
        <f>P110/Q110</f>
        <v>8.0185554163087538</v>
      </c>
    </row>
    <row r="111" spans="1:18" x14ac:dyDescent="0.35">
      <c r="A111" s="9">
        <v>247</v>
      </c>
      <c r="B111" s="5">
        <v>0.1</v>
      </c>
      <c r="C111" s="5">
        <v>6000000</v>
      </c>
      <c r="D111" s="5">
        <v>0</v>
      </c>
      <c r="E111" s="5">
        <v>0.375</v>
      </c>
      <c r="F111" s="5">
        <v>0.15</v>
      </c>
      <c r="G111" s="12">
        <f>(C111*$U$4)/($U$5*$U$3)</f>
        <v>88.16326530612244</v>
      </c>
      <c r="H111" s="11">
        <f>G111*COS(RADIANS(D111))</f>
        <v>88.16326530612244</v>
      </c>
      <c r="I111" s="11">
        <f>G111*SIN(RADIANS(D111))</f>
        <v>0</v>
      </c>
      <c r="J111" s="12">
        <v>0.16789999999999999</v>
      </c>
      <c r="K111" s="11">
        <v>85</v>
      </c>
      <c r="L111" s="12">
        <f>-(F111*G111*$U$3)/J111</f>
        <v>-78.764084549841371</v>
      </c>
      <c r="M111" s="11">
        <f>ABS(L111/$U$6)</f>
        <v>0.22963289956221974</v>
      </c>
      <c r="N111" s="12">
        <f>L111*SIN(RADIANS(K111))</f>
        <v>-78.464363428601942</v>
      </c>
      <c r="O111" s="12">
        <f>L111*COS(RADIANS(K111))</f>
        <v>-6.8647422907807698</v>
      </c>
      <c r="P111" s="5">
        <v>1.9197585366925081</v>
      </c>
      <c r="Q111" s="5">
        <v>0.15560128667819004</v>
      </c>
      <c r="R111" s="6">
        <f>P111/Q111</f>
        <v>12.337677776809748</v>
      </c>
    </row>
    <row r="112" spans="1:18" x14ac:dyDescent="0.35">
      <c r="A112" s="9">
        <v>111</v>
      </c>
      <c r="B112" s="5">
        <v>0.1</v>
      </c>
      <c r="C112" s="5">
        <v>2000000</v>
      </c>
      <c r="D112" s="5">
        <v>10</v>
      </c>
      <c r="E112" s="5">
        <v>0.25</v>
      </c>
      <c r="F112" s="5">
        <v>0.1</v>
      </c>
      <c r="G112" s="12">
        <f>(C112*$U$4)/($U$5*$U$3)</f>
        <v>29.387755102040813</v>
      </c>
      <c r="H112" s="11">
        <f>G112*COS(RADIANS(D112))</f>
        <v>28.941289068113864</v>
      </c>
      <c r="I112" s="11">
        <f>G112*SIN(RADIANS(D112))</f>
        <v>5.1031301191914213</v>
      </c>
      <c r="J112" s="11">
        <v>0.1661</v>
      </c>
      <c r="K112" s="12">
        <v>80</v>
      </c>
      <c r="L112" s="12">
        <f>-(F112*G112*$U$3)/J112</f>
        <v>-17.69280861050019</v>
      </c>
      <c r="M112" s="11">
        <f>ABS(L112/$U$6)</f>
        <v>5.1582532392128837E-2</v>
      </c>
      <c r="N112" s="12">
        <f>L112*SIN(RADIANS(K112))</f>
        <v>-17.42401509218174</v>
      </c>
      <c r="O112" s="12">
        <f>L112*COS(RADIANS(K112))</f>
        <v>-3.0723239730231331</v>
      </c>
      <c r="P112" s="5">
        <v>1.8895427690831448</v>
      </c>
      <c r="Q112" s="5">
        <v>0.49711720645784724</v>
      </c>
      <c r="R112" s="6">
        <f>P112/Q112</f>
        <v>3.8010005377743195</v>
      </c>
    </row>
    <row r="113" spans="1:18" x14ac:dyDescent="0.35">
      <c r="A113" s="9">
        <v>112</v>
      </c>
      <c r="B113" s="5">
        <v>0.75</v>
      </c>
      <c r="C113" s="5">
        <v>2000000</v>
      </c>
      <c r="D113" s="5">
        <v>0</v>
      </c>
      <c r="E113" s="5">
        <v>0.375</v>
      </c>
      <c r="F113" s="5">
        <v>0.15</v>
      </c>
      <c r="G113" s="12">
        <f>(C113*$U$4)/($U$5*$U$3)</f>
        <v>29.387755102040813</v>
      </c>
      <c r="H113" s="11">
        <f>G113*COS(RADIANS(D113))</f>
        <v>29.387755102040813</v>
      </c>
      <c r="I113" s="11">
        <f>G113*SIN(RADIANS(D113))</f>
        <v>0</v>
      </c>
      <c r="J113" s="11">
        <v>0.29299999999999998</v>
      </c>
      <c r="K113" s="12">
        <v>57</v>
      </c>
      <c r="L113" s="12">
        <f>-(F113*G113*$U$3)/J113</f>
        <v>-15.044925820157413</v>
      </c>
      <c r="M113" s="11">
        <f>ABS(L113/$U$6)</f>
        <v>4.3862757493170298E-2</v>
      </c>
      <c r="N113" s="12">
        <f>L113*SIN(RADIANS(K113))</f>
        <v>-12.617736482288192</v>
      </c>
      <c r="O113" s="12">
        <f>L113*COS(RADIANS(K113))</f>
        <v>-8.1940538805631977</v>
      </c>
      <c r="P113" s="5">
        <v>5.5961714513647109</v>
      </c>
      <c r="Q113" s="5">
        <v>-0.88266404246042462</v>
      </c>
      <c r="R113" s="6">
        <f>P113/Q113</f>
        <v>-6.3400922459301636</v>
      </c>
    </row>
    <row r="114" spans="1:18" x14ac:dyDescent="0.35">
      <c r="A114" s="9">
        <v>113</v>
      </c>
      <c r="B114" s="5">
        <v>1</v>
      </c>
      <c r="C114" s="5">
        <v>2000000</v>
      </c>
      <c r="D114" s="5">
        <v>5</v>
      </c>
      <c r="E114" s="5">
        <v>0</v>
      </c>
      <c r="F114" s="5">
        <v>0.05</v>
      </c>
      <c r="G114" s="12">
        <f>(C114*$U$4)/($U$5*$U$3)</f>
        <v>29.387755102040813</v>
      </c>
      <c r="H114" s="11">
        <f>G114*COS(RADIANS(D114))</f>
        <v>29.275925821471702</v>
      </c>
      <c r="I114" s="11">
        <f>G114*SIN(RADIANS(D114))</f>
        <v>2.5613116236046478</v>
      </c>
      <c r="J114" s="11">
        <v>0.33379999999999999</v>
      </c>
      <c r="K114" s="12">
        <v>0</v>
      </c>
      <c r="L114" s="12">
        <f>-(F114*G114*$U$3)/J114</f>
        <v>-4.4020004646556048</v>
      </c>
      <c r="M114" s="11">
        <f>ABS(L114/$U$6)</f>
        <v>1.283382059666357E-2</v>
      </c>
      <c r="N114" s="12">
        <f>L114*SIN(RADIANS(K114))</f>
        <v>0</v>
      </c>
      <c r="O114" s="12">
        <f>L114*COS(RADIANS(K114))</f>
        <v>-4.4020004646556048</v>
      </c>
      <c r="P114" s="5">
        <v>2.7888655020768534</v>
      </c>
      <c r="Q114" s="5">
        <v>1.3866663846942979</v>
      </c>
      <c r="R114" s="6">
        <f>P114/Q114</f>
        <v>2.011201492197189</v>
      </c>
    </row>
    <row r="115" spans="1:18" x14ac:dyDescent="0.35">
      <c r="A115" s="9">
        <v>114</v>
      </c>
      <c r="B115" s="5">
        <v>1</v>
      </c>
      <c r="C115" s="5">
        <v>2000000</v>
      </c>
      <c r="D115" s="5">
        <v>30</v>
      </c>
      <c r="E115" s="5">
        <v>0.375</v>
      </c>
      <c r="F115" s="5">
        <v>0</v>
      </c>
      <c r="G115" s="12">
        <f>(C115*$U$4)/($U$5*$U$3)</f>
        <v>29.387755102040813</v>
      </c>
      <c r="H115" s="11">
        <f>G115*COS(RADIANS(D115))</f>
        <v>25.450542478563094</v>
      </c>
      <c r="I115" s="11">
        <f>G115*SIN(RADIANS(D115))</f>
        <v>14.693877551020405</v>
      </c>
      <c r="J115" s="12">
        <v>0.33379999999999999</v>
      </c>
      <c r="K115" s="11">
        <v>49</v>
      </c>
      <c r="L115" s="12">
        <f>-(F115*G115*$U$3)/J115</f>
        <v>0</v>
      </c>
      <c r="M115" s="11">
        <f>ABS(L115/$U$6)</f>
        <v>0</v>
      </c>
      <c r="N115" s="12">
        <f>L115*SIN(RADIANS(K115))</f>
        <v>0</v>
      </c>
      <c r="O115" s="12">
        <f>L115*COS(RADIANS(K115))</f>
        <v>0</v>
      </c>
      <c r="P115" s="5">
        <v>5.5767531618278259</v>
      </c>
      <c r="Q115" s="5">
        <v>2.6339053659155334</v>
      </c>
      <c r="R115" s="6">
        <f>P115/Q115</f>
        <v>2.1172944305420676</v>
      </c>
    </row>
    <row r="116" spans="1:18" x14ac:dyDescent="0.35">
      <c r="A116" s="9">
        <v>115</v>
      </c>
      <c r="B116" s="5">
        <v>0.1</v>
      </c>
      <c r="C116" s="5">
        <v>2000000</v>
      </c>
      <c r="D116" s="5">
        <v>15</v>
      </c>
      <c r="E116" s="5">
        <v>0.125</v>
      </c>
      <c r="F116" s="5">
        <v>0.1</v>
      </c>
      <c r="G116" s="12">
        <f>(C116*$U$4)/($U$5*$U$3)</f>
        <v>29.387755102040813</v>
      </c>
      <c r="H116" s="11">
        <f>G116*COS(RADIANS(D116))</f>
        <v>28.386391629719554</v>
      </c>
      <c r="I116" s="11">
        <f>G116*SIN(RADIANS(D116))</f>
        <v>7.6061107132169354</v>
      </c>
      <c r="J116" s="12">
        <v>0.1658</v>
      </c>
      <c r="K116" s="12">
        <v>69</v>
      </c>
      <c r="L116" s="12">
        <f>-(F116*G116*$U$3)/J116</f>
        <v>-17.724822136333422</v>
      </c>
      <c r="M116" s="11">
        <f>ABS(L116/$U$6)</f>
        <v>5.1675866286686363E-2</v>
      </c>
      <c r="N116" s="12">
        <f>L116*SIN(RADIANS(K116))</f>
        <v>-16.547547009625198</v>
      </c>
      <c r="O116" s="12">
        <f>L116*COS(RADIANS(K116))</f>
        <v>-6.3520081650529594</v>
      </c>
      <c r="P116" s="5">
        <v>1.754551847746916</v>
      </c>
      <c r="Q116" s="5">
        <v>0.61524034541148442</v>
      </c>
      <c r="R116" s="6">
        <f>P116/Q116</f>
        <v>2.8518153284850629</v>
      </c>
    </row>
    <row r="117" spans="1:18" x14ac:dyDescent="0.35">
      <c r="A117" s="9">
        <v>894</v>
      </c>
      <c r="B117" s="5">
        <v>0.1</v>
      </c>
      <c r="C117" s="5">
        <v>6000000</v>
      </c>
      <c r="D117" s="5">
        <v>5</v>
      </c>
      <c r="E117" s="5">
        <v>0.375</v>
      </c>
      <c r="F117" s="5">
        <v>0.15</v>
      </c>
      <c r="G117" s="12">
        <f>(C117*$U$4)/($U$5*$U$3)</f>
        <v>88.16326530612244</v>
      </c>
      <c r="H117" s="11">
        <f>G117*COS(RADIANS(D117))</f>
        <v>87.827777464415107</v>
      </c>
      <c r="I117" s="11">
        <f>G117*SIN(RADIANS(D117))</f>
        <v>7.6839348708139434</v>
      </c>
      <c r="J117" s="12">
        <v>0.16789999999999999</v>
      </c>
      <c r="K117" s="11">
        <v>85</v>
      </c>
      <c r="L117" s="12">
        <f>-(F117*G117*$U$3)/J117</f>
        <v>-78.764084549841371</v>
      </c>
      <c r="M117" s="11">
        <f>ABS(L117/$U$6)</f>
        <v>0.22963289956221974</v>
      </c>
      <c r="N117" s="12">
        <f>L117*SIN(RADIANS(K117))</f>
        <v>-78.464363428601942</v>
      </c>
      <c r="O117" s="12">
        <f>L117*COS(RADIANS(K117))</f>
        <v>-6.8647422907807698</v>
      </c>
      <c r="P117" s="5">
        <v>2.1626545326537867</v>
      </c>
      <c r="Q117" s="5">
        <v>0.3235279939187381</v>
      </c>
      <c r="R117" s="6">
        <f>P117/Q117</f>
        <v>6.6845978502774939</v>
      </c>
    </row>
    <row r="118" spans="1:18" x14ac:dyDescent="0.35">
      <c r="A118" s="9">
        <v>117</v>
      </c>
      <c r="B118" s="5">
        <v>1</v>
      </c>
      <c r="C118" s="5">
        <v>2000000</v>
      </c>
      <c r="D118" s="5">
        <v>5</v>
      </c>
      <c r="E118" s="5">
        <v>0.375</v>
      </c>
      <c r="F118" s="5">
        <v>0.15</v>
      </c>
      <c r="G118" s="12">
        <f>(C118*$U$4)/($U$5*$U$3)</f>
        <v>29.387755102040813</v>
      </c>
      <c r="H118" s="11">
        <f>G118*COS(RADIANS(D118))</f>
        <v>29.275925821471702</v>
      </c>
      <c r="I118" s="11">
        <f>G118*SIN(RADIANS(D118))</f>
        <v>2.5613116236046478</v>
      </c>
      <c r="J118" s="12">
        <v>0.33379999999999999</v>
      </c>
      <c r="K118" s="11">
        <v>49</v>
      </c>
      <c r="L118" s="12">
        <f>-(F118*G118*$U$3)/J118</f>
        <v>-13.206001393966813</v>
      </c>
      <c r="M118" s="11">
        <f>ABS(L118/$U$6)</f>
        <v>3.8501461789990712E-2</v>
      </c>
      <c r="N118" s="12">
        <f>L118*SIN(RADIANS(K118))</f>
        <v>-9.9666957684620368</v>
      </c>
      <c r="O118" s="12">
        <f>L118*COS(RADIANS(K118))</f>
        <v>-8.6639164513731526</v>
      </c>
      <c r="P118" s="5">
        <v>7.9900356492565541</v>
      </c>
      <c r="Q118" s="5">
        <v>-0.89296276210648318</v>
      </c>
      <c r="R118" s="6">
        <f>P118/Q118</f>
        <v>-8.9477814622506795</v>
      </c>
    </row>
    <row r="119" spans="1:18" x14ac:dyDescent="0.35">
      <c r="A119" s="9">
        <v>118</v>
      </c>
      <c r="B119" s="5">
        <v>1</v>
      </c>
      <c r="C119" s="5">
        <v>4000000</v>
      </c>
      <c r="D119" s="5">
        <v>5</v>
      </c>
      <c r="E119" s="5">
        <v>0.25</v>
      </c>
      <c r="F119" s="5">
        <v>0.15</v>
      </c>
      <c r="G119" s="12">
        <f>(C119*$U$4)/($U$5*$U$3)</f>
        <v>58.775510204081627</v>
      </c>
      <c r="H119" s="11">
        <f>G119*COS(RADIANS(D119))</f>
        <v>58.551851642943404</v>
      </c>
      <c r="I119" s="11">
        <f>G119*SIN(RADIANS(D119))</f>
        <v>5.1226232472092956</v>
      </c>
      <c r="J119" s="13">
        <v>0.33379999999999999</v>
      </c>
      <c r="K119" s="12">
        <v>30</v>
      </c>
      <c r="L119" s="12">
        <f>-(F119*G119*$U$3)/J119</f>
        <v>-26.412002787933627</v>
      </c>
      <c r="M119" s="11">
        <f>ABS(L119/$U$6)</f>
        <v>7.7002923579981425E-2</v>
      </c>
      <c r="N119" s="12">
        <f>L119*SIN(RADIANS(K119))</f>
        <v>-13.206001393966812</v>
      </c>
      <c r="O119" s="12">
        <f>L119*COS(RADIANS(K119))</f>
        <v>-22.87346537917594</v>
      </c>
      <c r="P119" s="5">
        <v>5.206267799108252</v>
      </c>
      <c r="Q119" s="5">
        <v>-0.23878830475016008</v>
      </c>
      <c r="R119" s="6">
        <f>P119/Q119</f>
        <v>-21.80285925039535</v>
      </c>
    </row>
    <row r="120" spans="1:18" x14ac:dyDescent="0.35">
      <c r="A120" s="9">
        <v>1648</v>
      </c>
      <c r="B120" s="5">
        <v>0.1</v>
      </c>
      <c r="C120" s="5">
        <v>6000000</v>
      </c>
      <c r="D120" s="5">
        <v>10</v>
      </c>
      <c r="E120" s="5">
        <v>0.375</v>
      </c>
      <c r="F120" s="5">
        <v>0.15</v>
      </c>
      <c r="G120" s="12">
        <f>(C120*$U$4)/($U$5*$U$3)</f>
        <v>88.16326530612244</v>
      </c>
      <c r="H120" s="11">
        <f>G120*COS(RADIANS(D120))</f>
        <v>86.823867204341596</v>
      </c>
      <c r="I120" s="11">
        <f>G120*SIN(RADIANS(D120))</f>
        <v>15.309390357574264</v>
      </c>
      <c r="J120" s="12">
        <v>0.16789999999999999</v>
      </c>
      <c r="K120" s="11">
        <v>85</v>
      </c>
      <c r="L120" s="12">
        <f>-(F120*G120*$U$3)/J120</f>
        <v>-78.764084549841371</v>
      </c>
      <c r="M120" s="11">
        <f>ABS(L120/$U$6)</f>
        <v>0.22963289956221974</v>
      </c>
      <c r="N120" s="12">
        <f>L120*SIN(RADIANS(K120))</f>
        <v>-78.464363428601942</v>
      </c>
      <c r="O120" s="12">
        <f>L120*COS(RADIANS(K120))</f>
        <v>-6.8647422907807698</v>
      </c>
      <c r="P120" s="5">
        <v>2.3999423900987593</v>
      </c>
      <c r="Q120" s="5">
        <v>0.53799357358458999</v>
      </c>
      <c r="R120" s="6">
        <f>P120/Q120</f>
        <v>4.460912746797729</v>
      </c>
    </row>
    <row r="121" spans="1:18" x14ac:dyDescent="0.35">
      <c r="A121" s="9">
        <v>120</v>
      </c>
      <c r="B121" s="5">
        <v>0.25</v>
      </c>
      <c r="C121" s="5">
        <v>4000000</v>
      </c>
      <c r="D121" s="5">
        <v>10</v>
      </c>
      <c r="E121" s="5">
        <v>0</v>
      </c>
      <c r="F121" s="5">
        <v>3.5000000000000003E-2</v>
      </c>
      <c r="G121" s="12">
        <f>(C121*$U$4)/($U$5*$U$3)</f>
        <v>58.775510204081627</v>
      </c>
      <c r="H121" s="11">
        <f>G121*COS(RADIANS(D121))</f>
        <v>57.882578136227728</v>
      </c>
      <c r="I121" s="11">
        <f>G121*SIN(RADIANS(D121))</f>
        <v>10.206260238382843</v>
      </c>
      <c r="J121" s="12">
        <v>0.18990000000000001</v>
      </c>
      <c r="K121" s="12">
        <v>0</v>
      </c>
      <c r="L121" s="12">
        <f>-(F121*G121*$U$3)/J121</f>
        <v>-10.832769126607987</v>
      </c>
      <c r="M121" s="11">
        <f>ABS(L121/$U$6)</f>
        <v>3.1582417278740491E-2</v>
      </c>
      <c r="N121" s="12">
        <f>L121*SIN(RADIANS(K121))</f>
        <v>0</v>
      </c>
      <c r="O121" s="12">
        <f>L121*COS(RADIANS(K121))</f>
        <v>-10.832769126607987</v>
      </c>
      <c r="P121" s="5">
        <v>2.1492127874349376</v>
      </c>
      <c r="Q121" s="5">
        <v>0.42192160357598213</v>
      </c>
      <c r="R121" s="6">
        <f>P121/Q121</f>
        <v>5.093867602937034</v>
      </c>
    </row>
    <row r="122" spans="1:18" x14ac:dyDescent="0.35">
      <c r="A122" s="9">
        <v>121</v>
      </c>
      <c r="B122" s="5">
        <v>0.1</v>
      </c>
      <c r="C122" s="5">
        <v>6000000</v>
      </c>
      <c r="D122" s="5">
        <v>30</v>
      </c>
      <c r="E122" s="5">
        <v>0.125</v>
      </c>
      <c r="F122" s="5">
        <v>0.05</v>
      </c>
      <c r="G122" s="12">
        <f>(C122*$U$4)/($U$5*$U$3)</f>
        <v>88.16326530612244</v>
      </c>
      <c r="H122" s="11">
        <f>G122*COS(RADIANS(D122))</f>
        <v>76.351627435689281</v>
      </c>
      <c r="I122" s="11">
        <f>G122*SIN(RADIANS(D122))</f>
        <v>44.081632653061213</v>
      </c>
      <c r="J122" s="12">
        <v>0.1658</v>
      </c>
      <c r="K122" s="12">
        <v>69</v>
      </c>
      <c r="L122" s="12">
        <f>-(F122*G122*$U$3)/J122</f>
        <v>-26.587233204500134</v>
      </c>
      <c r="M122" s="11">
        <f>ABS(L122/$U$6)</f>
        <v>7.7513799430029548E-2</v>
      </c>
      <c r="N122" s="12">
        <f>L122*SIN(RADIANS(K122))</f>
        <v>-24.821320514437797</v>
      </c>
      <c r="O122" s="12">
        <f>L122*COS(RADIANS(K122))</f>
        <v>-9.5280122475794382</v>
      </c>
      <c r="P122" s="5">
        <v>1.1399137894135627</v>
      </c>
      <c r="Q122" s="5">
        <v>0.91186090566465738</v>
      </c>
      <c r="R122" s="6">
        <f>P122/Q122</f>
        <v>1.2500961301577866</v>
      </c>
    </row>
    <row r="123" spans="1:18" x14ac:dyDescent="0.35">
      <c r="A123" s="9">
        <v>122</v>
      </c>
      <c r="B123" s="5">
        <v>0.5</v>
      </c>
      <c r="C123" s="5">
        <v>2000000</v>
      </c>
      <c r="D123" s="5">
        <v>30</v>
      </c>
      <c r="E123" s="5">
        <v>0</v>
      </c>
      <c r="F123" s="5">
        <v>1.4999999999999999E-2</v>
      </c>
      <c r="G123" s="12">
        <f>(C123*$U$4)/($U$5*$U$3)</f>
        <v>29.387755102040813</v>
      </c>
      <c r="H123" s="11">
        <f>G123*COS(RADIANS(D123))</f>
        <v>25.450542478563094</v>
      </c>
      <c r="I123" s="11">
        <f>G123*SIN(RADIANS(D123))</f>
        <v>14.693877551020405</v>
      </c>
      <c r="J123" s="12">
        <v>0.23230000000000001</v>
      </c>
      <c r="K123" s="12">
        <v>0</v>
      </c>
      <c r="L123" s="12">
        <f>-(F123*G123*$U$3)/J123</f>
        <v>-1.8976165584615248</v>
      </c>
      <c r="M123" s="11">
        <f>ABS(L123/$U$6)</f>
        <v>5.5324097914330166E-3</v>
      </c>
      <c r="N123" s="12">
        <f>L123*SIN(RADIANS(K123))</f>
        <v>0</v>
      </c>
      <c r="O123" s="12">
        <f>L123*COS(RADIANS(K123))</f>
        <v>-1.8976165584615248</v>
      </c>
      <c r="P123" s="5">
        <v>2.1480316553415406</v>
      </c>
      <c r="Q123" s="5">
        <v>1.152301896956033</v>
      </c>
      <c r="R123" s="6">
        <f>P123/Q123</f>
        <v>1.8641222938327771</v>
      </c>
    </row>
    <row r="124" spans="1:18" x14ac:dyDescent="0.35">
      <c r="A124" s="9">
        <v>123</v>
      </c>
      <c r="B124" s="5">
        <v>0.75</v>
      </c>
      <c r="C124" s="5">
        <v>2000000</v>
      </c>
      <c r="D124" s="5">
        <v>5</v>
      </c>
      <c r="E124" s="5">
        <v>0.375</v>
      </c>
      <c r="F124" s="5">
        <v>2.5000000000000001E-2</v>
      </c>
      <c r="G124" s="12">
        <f>(C124*$U$4)/($U$5*$U$3)</f>
        <v>29.387755102040813</v>
      </c>
      <c r="H124" s="11">
        <f>G124*COS(RADIANS(D124))</f>
        <v>29.275925821471702</v>
      </c>
      <c r="I124" s="11">
        <f>G124*SIN(RADIANS(D124))</f>
        <v>2.5613116236046478</v>
      </c>
      <c r="J124" s="11">
        <v>0.29299999999999998</v>
      </c>
      <c r="K124" s="12">
        <v>57</v>
      </c>
      <c r="L124" s="12">
        <f>-(F124*G124*$U$3)/J124</f>
        <v>-2.5074876366929022</v>
      </c>
      <c r="M124" s="11">
        <f>ABS(L124/$U$6)</f>
        <v>7.31045958219505E-3</v>
      </c>
      <c r="N124" s="12">
        <f>L124*SIN(RADIANS(K124))</f>
        <v>-2.1029560803813654</v>
      </c>
      <c r="O124" s="12">
        <f>L124*COS(RADIANS(K124))</f>
        <v>-1.3656756467605331</v>
      </c>
      <c r="P124" s="5">
        <v>3.9400440926505071</v>
      </c>
      <c r="Q124" s="5">
        <v>-6.495910467663521E-2</v>
      </c>
      <c r="R124" s="6">
        <f>P124/Q124</f>
        <v>-60.654224103979693</v>
      </c>
    </row>
    <row r="125" spans="1:18" x14ac:dyDescent="0.35">
      <c r="A125" s="9">
        <v>1900</v>
      </c>
      <c r="B125" s="5">
        <v>0.1</v>
      </c>
      <c r="C125" s="5">
        <v>6000000</v>
      </c>
      <c r="D125" s="5">
        <v>30</v>
      </c>
      <c r="E125" s="5">
        <v>0.375</v>
      </c>
      <c r="F125" s="5">
        <v>0.15</v>
      </c>
      <c r="G125" s="12">
        <f>(C125*$U$4)/($U$5*$U$3)</f>
        <v>88.16326530612244</v>
      </c>
      <c r="H125" s="11">
        <f>G125*COS(RADIANS(D125))</f>
        <v>76.351627435689281</v>
      </c>
      <c r="I125" s="11">
        <f>G125*SIN(RADIANS(D125))</f>
        <v>44.081632653061213</v>
      </c>
      <c r="J125" s="12">
        <v>0.16789999999999999</v>
      </c>
      <c r="K125" s="20">
        <v>85</v>
      </c>
      <c r="L125" s="12">
        <f>-(F125*G125*$U$3)/J125</f>
        <v>-78.764084549841371</v>
      </c>
      <c r="M125" s="11">
        <f>ABS(L125/$U$6)</f>
        <v>0.22963289956221974</v>
      </c>
      <c r="N125" s="12">
        <f>L125*SIN(RADIANS(K125))</f>
        <v>-78.464363428601942</v>
      </c>
      <c r="O125" s="12">
        <f>L125*COS(RADIANS(K125))</f>
        <v>-6.8647422907807698</v>
      </c>
      <c r="P125" s="5">
        <v>1.8208883147790036</v>
      </c>
      <c r="Q125" s="5">
        <v>1.2683142310224196</v>
      </c>
      <c r="R125" s="6">
        <f>P125/Q125</f>
        <v>1.4356760101249832</v>
      </c>
    </row>
    <row r="126" spans="1:18" x14ac:dyDescent="0.35">
      <c r="A126" s="9">
        <v>2292</v>
      </c>
      <c r="B126" s="5">
        <v>0.1</v>
      </c>
      <c r="C126" s="5">
        <v>6000000</v>
      </c>
      <c r="D126" s="5">
        <v>20</v>
      </c>
      <c r="E126" s="5">
        <v>0.375</v>
      </c>
      <c r="F126" s="5">
        <v>0.15</v>
      </c>
      <c r="G126" s="12">
        <f>(C126*$U$4)/($U$5*$U$3)</f>
        <v>88.16326530612244</v>
      </c>
      <c r="H126" s="11">
        <f>G126*COS(RADIANS(D126))</f>
        <v>82.846369832553549</v>
      </c>
      <c r="I126" s="11">
        <f>G126*SIN(RADIANS(D126))</f>
        <v>30.153612636058952</v>
      </c>
      <c r="J126" s="12">
        <v>0.16789999999999999</v>
      </c>
      <c r="K126" s="20">
        <v>85</v>
      </c>
      <c r="L126" s="12">
        <f>-(F126*G126*$U$3)/J126</f>
        <v>-78.764084549841371</v>
      </c>
      <c r="M126" s="11">
        <f>ABS(L126/$U$6)</f>
        <v>0.22963289956221974</v>
      </c>
      <c r="N126" s="12">
        <f>L126*SIN(RADIANS(K126))</f>
        <v>-78.464363428601942</v>
      </c>
      <c r="O126" s="12">
        <f>L126*COS(RADIANS(K126))</f>
        <v>-6.8647422907807698</v>
      </c>
      <c r="P126" s="5">
        <v>2.1387524931260451</v>
      </c>
      <c r="Q126" s="5">
        <v>0.94323939653892952</v>
      </c>
      <c r="R126" s="6">
        <f>P126/Q126</f>
        <v>2.2674545836124587</v>
      </c>
    </row>
    <row r="127" spans="1:18" x14ac:dyDescent="0.35">
      <c r="A127" s="9">
        <v>126</v>
      </c>
      <c r="B127" s="5">
        <v>0.1</v>
      </c>
      <c r="C127" s="5">
        <v>2000000</v>
      </c>
      <c r="D127" s="5">
        <v>0</v>
      </c>
      <c r="E127" s="5">
        <v>0.375</v>
      </c>
      <c r="F127" s="5">
        <v>3.5000000000000003E-2</v>
      </c>
      <c r="G127" s="12">
        <f>(C127*$U$4)/($U$5*$U$3)</f>
        <v>29.387755102040813</v>
      </c>
      <c r="H127" s="11">
        <f>G127*COS(RADIANS(D127))</f>
        <v>29.387755102040813</v>
      </c>
      <c r="I127" s="11">
        <f>G127*SIN(RADIANS(D127))</f>
        <v>0</v>
      </c>
      <c r="J127" s="12">
        <v>0.16789999999999999</v>
      </c>
      <c r="K127" s="11">
        <v>85</v>
      </c>
      <c r="L127" s="12">
        <f>-(F127*G127*$U$3)/J127</f>
        <v>-6.126095464987662</v>
      </c>
      <c r="M127" s="11">
        <f>ABS(L127/$U$6)</f>
        <v>1.7860336632617092E-2</v>
      </c>
      <c r="N127" s="12">
        <f>L127*SIN(RADIANS(K127))</f>
        <v>-6.1027838222245956</v>
      </c>
      <c r="O127" s="12">
        <f>L127*COS(RADIANS(K127))</f>
        <v>-0.53392440039405986</v>
      </c>
      <c r="P127" s="5">
        <v>1.5184619848394405</v>
      </c>
      <c r="Q127" s="5">
        <v>0.19288000854073681</v>
      </c>
      <c r="R127" s="6">
        <f>P127/Q127</f>
        <v>7.8725731937052306</v>
      </c>
    </row>
    <row r="128" spans="1:18" x14ac:dyDescent="0.35">
      <c r="A128" s="9">
        <v>127</v>
      </c>
      <c r="B128" s="5">
        <v>0.75</v>
      </c>
      <c r="C128" s="5">
        <v>4000000</v>
      </c>
      <c r="D128" s="5">
        <v>20</v>
      </c>
      <c r="E128" s="5">
        <v>0.375</v>
      </c>
      <c r="F128" s="5">
        <v>3.5000000000000003E-2</v>
      </c>
      <c r="G128" s="12">
        <f>(C128*$U$4)/($U$5*$U$3)</f>
        <v>58.775510204081627</v>
      </c>
      <c r="H128" s="11">
        <f>G128*COS(RADIANS(D128))</f>
        <v>55.230913221702366</v>
      </c>
      <c r="I128" s="11">
        <f>G128*SIN(RADIANS(D128))</f>
        <v>20.102408424039304</v>
      </c>
      <c r="J128" s="11">
        <v>0.29299999999999998</v>
      </c>
      <c r="K128" s="12">
        <v>57</v>
      </c>
      <c r="L128" s="12">
        <f>-(F128*G128*$U$3)/J128</f>
        <v>-7.0209653827401262</v>
      </c>
      <c r="M128" s="11">
        <f>ABS(L128/$U$6)</f>
        <v>2.0469286830146139E-2</v>
      </c>
      <c r="N128" s="12">
        <f>L128*SIN(RADIANS(K128))</f>
        <v>-5.8882770250678229</v>
      </c>
      <c r="O128" s="12">
        <f>L128*COS(RADIANS(K128))</f>
        <v>-3.8238918109294926</v>
      </c>
      <c r="P128" s="5">
        <v>4.0889801674734496</v>
      </c>
      <c r="Q128" s="5">
        <v>0.74928977159824128</v>
      </c>
      <c r="R128" s="6">
        <f>P128/Q128</f>
        <v>5.4571413123011423</v>
      </c>
    </row>
    <row r="129" spans="1:18" x14ac:dyDescent="0.35">
      <c r="A129" s="9">
        <v>128</v>
      </c>
      <c r="B129" s="5">
        <v>0.5</v>
      </c>
      <c r="C129" s="5">
        <v>6000000</v>
      </c>
      <c r="D129" s="5">
        <v>5</v>
      </c>
      <c r="E129" s="5">
        <v>0</v>
      </c>
      <c r="F129" s="5">
        <v>0</v>
      </c>
      <c r="G129" s="12">
        <f>(C129*$U$4)/($U$5*$U$3)</f>
        <v>88.16326530612244</v>
      </c>
      <c r="H129" s="11">
        <f>G129*COS(RADIANS(D129))</f>
        <v>87.827777464415107</v>
      </c>
      <c r="I129" s="11">
        <f>G129*SIN(RADIANS(D129))</f>
        <v>7.6839348708139434</v>
      </c>
      <c r="J129" s="12">
        <v>0.23230000000000001</v>
      </c>
      <c r="K129" s="12">
        <v>0</v>
      </c>
      <c r="L129" s="12">
        <f>-(F129*G129*$U$3)/J129</f>
        <v>0</v>
      </c>
      <c r="M129" s="11">
        <f>ABS(L129/$U$6)</f>
        <v>0</v>
      </c>
      <c r="N129" s="12">
        <f>L129*SIN(RADIANS(K129))</f>
        <v>0</v>
      </c>
      <c r="O129" s="12">
        <f>L129*COS(RADIANS(K129))</f>
        <v>0</v>
      </c>
      <c r="P129" s="5">
        <v>3.6833282903667119</v>
      </c>
      <c r="Q129" s="5">
        <v>0.6966947176510031</v>
      </c>
      <c r="R129" s="6">
        <f>P129/Q129</f>
        <v>5.2868612278065381</v>
      </c>
    </row>
    <row r="130" spans="1:18" x14ac:dyDescent="0.35">
      <c r="A130" s="9">
        <v>129</v>
      </c>
      <c r="B130" s="5">
        <v>0.25</v>
      </c>
      <c r="C130" s="5">
        <v>4000000</v>
      </c>
      <c r="D130" s="5">
        <v>20</v>
      </c>
      <c r="E130" s="5">
        <v>0.25</v>
      </c>
      <c r="F130" s="5">
        <v>0.05</v>
      </c>
      <c r="G130" s="12">
        <f>(C130*$U$4)/($U$5*$U$3)</f>
        <v>58.775510204081627</v>
      </c>
      <c r="H130" s="11">
        <f>G130*COS(RADIANS(D130))</f>
        <v>55.230913221702366</v>
      </c>
      <c r="I130" s="11">
        <f>G130*SIN(RADIANS(D130))</f>
        <v>20.102408424039304</v>
      </c>
      <c r="J130" s="12">
        <v>0.1913</v>
      </c>
      <c r="K130" s="11">
        <v>67</v>
      </c>
      <c r="L130" s="12">
        <f>-(F130*G130*$U$3)/J130</f>
        <v>-15.362130215389866</v>
      </c>
      <c r="M130" s="11">
        <f>ABS(L130/$U$6)</f>
        <v>4.4787551648366959E-2</v>
      </c>
      <c r="N130" s="12">
        <f>L130*SIN(RADIANS(K130))</f>
        <v>-14.140915422634755</v>
      </c>
      <c r="O130" s="12">
        <f>L130*COS(RADIANS(K130))</f>
        <v>-6.0024624750584517</v>
      </c>
      <c r="P130" s="5">
        <v>2.1986171071827321</v>
      </c>
      <c r="Q130" s="5">
        <v>0.64450021948876279</v>
      </c>
      <c r="R130" s="6">
        <f>P130/Q130</f>
        <v>3.4113519913565615</v>
      </c>
    </row>
    <row r="131" spans="1:18" x14ac:dyDescent="0.35">
      <c r="A131" s="9">
        <v>130</v>
      </c>
      <c r="B131" s="5">
        <v>1</v>
      </c>
      <c r="C131" s="5">
        <v>2000000</v>
      </c>
      <c r="D131" s="5">
        <v>20</v>
      </c>
      <c r="E131" s="5">
        <v>0.25</v>
      </c>
      <c r="F131" s="5">
        <v>2.5000000000000001E-2</v>
      </c>
      <c r="G131" s="12">
        <f>(C131*$U$4)/($U$5*$U$3)</f>
        <v>29.387755102040813</v>
      </c>
      <c r="H131" s="11">
        <f>G131*COS(RADIANS(D131))</f>
        <v>27.615456610851183</v>
      </c>
      <c r="I131" s="11">
        <f>G131*SIN(RADIANS(D131))</f>
        <v>10.051204212019652</v>
      </c>
      <c r="J131" s="13">
        <v>0.33379999999999999</v>
      </c>
      <c r="K131" s="12">
        <v>30</v>
      </c>
      <c r="L131" s="12">
        <f>-(F131*G131*$U$3)/J131</f>
        <v>-2.2010002323278024</v>
      </c>
      <c r="M131" s="11">
        <f>ABS(L131/$U$6)</f>
        <v>6.4169102983317851E-3</v>
      </c>
      <c r="N131" s="12">
        <f>L131*SIN(RADIANS(K131))</f>
        <v>-1.100500116163901</v>
      </c>
      <c r="O131" s="12">
        <f>L131*COS(RADIANS(K131))</f>
        <v>-1.9061221149313285</v>
      </c>
      <c r="P131" s="5">
        <v>4.4966933079753835</v>
      </c>
      <c r="Q131" s="5">
        <v>0.90943878242935061</v>
      </c>
      <c r="R131" s="6">
        <f>P131/Q131</f>
        <v>4.9444705843350238</v>
      </c>
    </row>
    <row r="132" spans="1:18" x14ac:dyDescent="0.35">
      <c r="A132" s="9">
        <v>131</v>
      </c>
      <c r="B132" s="5">
        <v>0.1</v>
      </c>
      <c r="C132" s="5">
        <v>4000000</v>
      </c>
      <c r="D132" s="5">
        <v>30</v>
      </c>
      <c r="E132" s="5">
        <v>0.25</v>
      </c>
      <c r="F132" s="5">
        <v>7.4999999999999997E-2</v>
      </c>
      <c r="G132" s="12">
        <f>(C132*$U$4)/($U$5*$U$3)</f>
        <v>58.775510204081627</v>
      </c>
      <c r="H132" s="11">
        <f>G132*COS(RADIANS(D132))</f>
        <v>50.901084957126187</v>
      </c>
      <c r="I132" s="11">
        <f>G132*SIN(RADIANS(D132))</f>
        <v>29.38775510204081</v>
      </c>
      <c r="J132" s="11">
        <v>0.1661</v>
      </c>
      <c r="K132" s="12">
        <v>80</v>
      </c>
      <c r="L132" s="12">
        <f>-(F132*G132*$U$3)/J132</f>
        <v>-26.539212915750284</v>
      </c>
      <c r="M132" s="11">
        <f>ABS(L132/$U$6)</f>
        <v>7.7373798588193252E-2</v>
      </c>
      <c r="N132" s="12">
        <f>L132*SIN(RADIANS(K132))</f>
        <v>-26.136022638272607</v>
      </c>
      <c r="O132" s="12">
        <f>L132*COS(RADIANS(K132))</f>
        <v>-4.6084859595346996</v>
      </c>
      <c r="P132" s="5">
        <v>1.3784546024385838</v>
      </c>
      <c r="Q132" s="5">
        <v>1.0429157170493064</v>
      </c>
      <c r="R132" s="6">
        <f>P132/Q132</f>
        <v>1.3217315454201886</v>
      </c>
    </row>
    <row r="133" spans="1:18" x14ac:dyDescent="0.35">
      <c r="A133" s="9">
        <v>132</v>
      </c>
      <c r="B133" s="5">
        <v>1</v>
      </c>
      <c r="C133" s="5">
        <v>4000000</v>
      </c>
      <c r="D133" s="5">
        <v>5</v>
      </c>
      <c r="E133" s="5">
        <v>0.375</v>
      </c>
      <c r="F133" s="5">
        <v>2.5000000000000001E-2</v>
      </c>
      <c r="G133" s="12">
        <f>(C133*$U$4)/($U$5*$U$3)</f>
        <v>58.775510204081627</v>
      </c>
      <c r="H133" s="11">
        <f>G133*COS(RADIANS(D133))</f>
        <v>58.551851642943404</v>
      </c>
      <c r="I133" s="11">
        <f>G133*SIN(RADIANS(D133))</f>
        <v>5.1226232472092956</v>
      </c>
      <c r="J133" s="12">
        <v>0.33379999999999999</v>
      </c>
      <c r="K133" s="11">
        <v>49</v>
      </c>
      <c r="L133" s="12">
        <f>-(F133*G133*$U$3)/J133</f>
        <v>-4.4020004646556048</v>
      </c>
      <c r="M133" s="11">
        <f>ABS(L133/$U$6)</f>
        <v>1.283382059666357E-2</v>
      </c>
      <c r="N133" s="12">
        <f>L133*SIN(RADIANS(K133))</f>
        <v>-3.3222319228206789</v>
      </c>
      <c r="O133" s="12">
        <f>L133*COS(RADIANS(K133))</f>
        <v>-2.8879721504577178</v>
      </c>
      <c r="P133" s="5">
        <v>4.9756264281659117</v>
      </c>
      <c r="Q133" s="5">
        <v>-0.13373747552729792</v>
      </c>
      <c r="R133" s="6">
        <f>P133/Q133</f>
        <v>-37.204429114188777</v>
      </c>
    </row>
    <row r="134" spans="1:18" x14ac:dyDescent="0.35">
      <c r="A134" s="9">
        <v>133</v>
      </c>
      <c r="B134" s="5">
        <v>0.75</v>
      </c>
      <c r="C134" s="5">
        <v>2000000</v>
      </c>
      <c r="D134" s="5">
        <v>15</v>
      </c>
      <c r="E134" s="5">
        <v>0.25</v>
      </c>
      <c r="F134" s="5">
        <v>0.15</v>
      </c>
      <c r="G134" s="12">
        <f>(C134*$U$4)/($U$5*$U$3)</f>
        <v>29.387755102040813</v>
      </c>
      <c r="H134" s="11">
        <f>G134*COS(RADIANS(D134))</f>
        <v>28.386391629719554</v>
      </c>
      <c r="I134" s="11">
        <f>G134*SIN(RADIANS(D134))</f>
        <v>7.6061107132169354</v>
      </c>
      <c r="J134" s="12">
        <v>0.28370000000000001</v>
      </c>
      <c r="K134" s="11">
        <v>38</v>
      </c>
      <c r="L134" s="12">
        <f>-(F134*G134*$U$3)/J134</f>
        <v>-15.538115140310616</v>
      </c>
      <c r="M134" s="11">
        <f>ABS(L134/$U$6)</f>
        <v>4.5300627231226284E-2</v>
      </c>
      <c r="N134" s="12">
        <f>L134*SIN(RADIANS(K134))</f>
        <v>-9.5662188910635813</v>
      </c>
      <c r="O134" s="12">
        <f>L134*COS(RADIANS(K134))</f>
        <v>-12.244201821344184</v>
      </c>
      <c r="P134" s="5">
        <v>4.7824888336609845</v>
      </c>
      <c r="Q134" s="5">
        <v>0.31959734253677108</v>
      </c>
      <c r="R134" s="6">
        <f>P134/Q134</f>
        <v>14.964107009465319</v>
      </c>
    </row>
    <row r="135" spans="1:18" x14ac:dyDescent="0.35">
      <c r="A135" s="9">
        <v>134</v>
      </c>
      <c r="B135" s="5">
        <v>0.25</v>
      </c>
      <c r="C135" s="5">
        <v>2000000</v>
      </c>
      <c r="D135" s="5">
        <v>5</v>
      </c>
      <c r="E135" s="5">
        <v>0.375</v>
      </c>
      <c r="F135" s="5">
        <v>2.5000000000000001E-2</v>
      </c>
      <c r="G135" s="12">
        <f>(C135*$U$4)/($U$5*$U$3)</f>
        <v>29.387755102040813</v>
      </c>
      <c r="H135" s="11">
        <f>G135*COS(RADIANS(D135))</f>
        <v>29.275925821471702</v>
      </c>
      <c r="I135" s="11">
        <f>G135*SIN(RADIANS(D135))</f>
        <v>2.5613116236046478</v>
      </c>
      <c r="J135" s="11">
        <v>0.1976</v>
      </c>
      <c r="K135" s="12">
        <v>78</v>
      </c>
      <c r="L135" s="12">
        <f>-(F135*G135*$U$3)/J135</f>
        <v>-3.7180864248533418</v>
      </c>
      <c r="M135" s="11">
        <f>ABS(L135/$U$6)</f>
        <v>1.0839902113275049E-2</v>
      </c>
      <c r="N135" s="12">
        <f>L135*SIN(RADIANS(K135))</f>
        <v>-3.636837315791229</v>
      </c>
      <c r="O135" s="12">
        <f>L135*COS(RADIANS(K135))</f>
        <v>-0.77303363519781665</v>
      </c>
      <c r="P135" s="5">
        <v>2.1608536279967554</v>
      </c>
      <c r="Q135" s="5">
        <v>0.33875653584209592</v>
      </c>
      <c r="R135" s="6">
        <f>P135/Q135</f>
        <v>6.3787806266976084</v>
      </c>
    </row>
    <row r="136" spans="1:18" x14ac:dyDescent="0.35">
      <c r="A136" s="9">
        <v>135</v>
      </c>
      <c r="B136" s="5">
        <v>1</v>
      </c>
      <c r="C136" s="5">
        <v>6000000</v>
      </c>
      <c r="D136" s="5">
        <v>5</v>
      </c>
      <c r="E136" s="5">
        <v>0.375</v>
      </c>
      <c r="F136" s="5">
        <v>0.05</v>
      </c>
      <c r="G136" s="12">
        <f>(C136*$U$4)/($U$5*$U$3)</f>
        <v>88.16326530612244</v>
      </c>
      <c r="H136" s="11">
        <f>G136*COS(RADIANS(D136))</f>
        <v>87.827777464415107</v>
      </c>
      <c r="I136" s="11">
        <f>G136*SIN(RADIANS(D136))</f>
        <v>7.6839348708139434</v>
      </c>
      <c r="J136" s="12">
        <v>0.33379999999999999</v>
      </c>
      <c r="K136" s="11">
        <v>49</v>
      </c>
      <c r="L136" s="12">
        <f>-(F136*G136*$U$3)/J136</f>
        <v>-13.206001393966813</v>
      </c>
      <c r="M136" s="11">
        <f>ABS(L136/$U$6)</f>
        <v>3.8501461789990712E-2</v>
      </c>
      <c r="N136" s="12">
        <f>L136*SIN(RADIANS(K136))</f>
        <v>-9.9666957684620368</v>
      </c>
      <c r="O136" s="12">
        <f>L136*COS(RADIANS(K136))</f>
        <v>-8.6639164513731526</v>
      </c>
      <c r="P136" s="5">
        <v>4.9983167548038816</v>
      </c>
      <c r="Q136" s="5">
        <v>-0.26415497777315128</v>
      </c>
      <c r="R136" s="6">
        <f>P136/Q136</f>
        <v>-18.92191014888348</v>
      </c>
    </row>
    <row r="137" spans="1:18" x14ac:dyDescent="0.35">
      <c r="A137" s="9">
        <v>174</v>
      </c>
      <c r="B137" s="5">
        <v>0.25</v>
      </c>
      <c r="C137" s="5">
        <v>6000000</v>
      </c>
      <c r="D137" s="5">
        <v>0</v>
      </c>
      <c r="E137" s="5">
        <v>0</v>
      </c>
      <c r="F137" s="5">
        <v>0.15</v>
      </c>
      <c r="G137" s="12">
        <f>(C137*$U$4)/($U$5*$U$3)</f>
        <v>88.16326530612244</v>
      </c>
      <c r="H137" s="11">
        <f>G137*COS(RADIANS(D137))</f>
        <v>88.16326530612244</v>
      </c>
      <c r="I137" s="11">
        <f>G137*SIN(RADIANS(D137))</f>
        <v>0</v>
      </c>
      <c r="J137" s="12">
        <v>0.18990000000000001</v>
      </c>
      <c r="K137" s="19">
        <v>0</v>
      </c>
      <c r="L137" s="12">
        <f>-(F137*G137*$U$3)/J137</f>
        <v>-69.639230099622779</v>
      </c>
      <c r="M137" s="11">
        <f>ABS(L137/$U$6)</f>
        <v>0.20302982536333172</v>
      </c>
      <c r="N137" s="12">
        <f>L137*SIN(RADIANS(K137))</f>
        <v>0</v>
      </c>
      <c r="O137" s="12">
        <f>L137*COS(RADIANS(K137))</f>
        <v>-69.639230099622779</v>
      </c>
      <c r="P137" s="5">
        <v>2.2976873396986286</v>
      </c>
      <c r="Q137" s="5">
        <v>1.6854265507070264E-2</v>
      </c>
      <c r="R137" s="6">
        <f>P137/Q137</f>
        <v>136.32675590251989</v>
      </c>
    </row>
    <row r="138" spans="1:18" x14ac:dyDescent="0.35">
      <c r="A138" s="9">
        <v>137</v>
      </c>
      <c r="B138" s="5">
        <v>0.5</v>
      </c>
      <c r="C138" s="5">
        <v>2000000</v>
      </c>
      <c r="D138" s="5">
        <v>15</v>
      </c>
      <c r="E138" s="5">
        <v>0.375</v>
      </c>
      <c r="F138" s="5">
        <v>0.05</v>
      </c>
      <c r="G138" s="12">
        <f>(C138*$U$4)/($U$5*$U$3)</f>
        <v>29.387755102040813</v>
      </c>
      <c r="H138" s="11">
        <f>G138*COS(RADIANS(D138))</f>
        <v>28.386391629719554</v>
      </c>
      <c r="I138" s="11">
        <f>G138*SIN(RADIANS(D138))</f>
        <v>7.6061107132169354</v>
      </c>
      <c r="J138" s="12">
        <v>0.24809999999999999</v>
      </c>
      <c r="K138" s="12">
        <v>67</v>
      </c>
      <c r="L138" s="12">
        <f>-(F138*G138*$U$3)/J138</f>
        <v>-5.9225624953729978</v>
      </c>
      <c r="M138" s="11">
        <f>ABS(L138/$U$6)</f>
        <v>1.7266946050650139E-2</v>
      </c>
      <c r="N138" s="12">
        <f>L138*SIN(RADIANS(K138))</f>
        <v>-5.451747521866241</v>
      </c>
      <c r="O138" s="12">
        <f>L138*COS(RADIANS(K138))</f>
        <v>-2.3141295273653402</v>
      </c>
      <c r="P138" s="5">
        <v>3.6799799024785176</v>
      </c>
      <c r="Q138" s="5">
        <v>0.4124913061143497</v>
      </c>
      <c r="R138" s="6">
        <f>P138/Q138</f>
        <v>8.9213514271216265</v>
      </c>
    </row>
    <row r="139" spans="1:18" x14ac:dyDescent="0.35">
      <c r="A139" s="9">
        <v>353</v>
      </c>
      <c r="B139" s="5">
        <v>0.25</v>
      </c>
      <c r="C139" s="5">
        <v>6000000</v>
      </c>
      <c r="D139" s="5">
        <v>10</v>
      </c>
      <c r="E139" s="5">
        <v>0</v>
      </c>
      <c r="F139" s="5">
        <v>0.15</v>
      </c>
      <c r="G139" s="12">
        <f>(C139*$U$4)/($U$5*$U$3)</f>
        <v>88.16326530612244</v>
      </c>
      <c r="H139" s="11">
        <f>G139*COS(RADIANS(D139))</f>
        <v>86.823867204341596</v>
      </c>
      <c r="I139" s="11">
        <f>G139*SIN(RADIANS(D139))</f>
        <v>15.309390357574264</v>
      </c>
      <c r="J139" s="12">
        <v>0.18990000000000001</v>
      </c>
      <c r="K139" s="19">
        <v>0</v>
      </c>
      <c r="L139" s="12">
        <f>-(F139*G139*$U$3)/J139</f>
        <v>-69.639230099622779</v>
      </c>
      <c r="M139" s="11">
        <f>ABS(L139/$U$6)</f>
        <v>0.20302982536333172</v>
      </c>
      <c r="N139" s="12">
        <f>L139*SIN(RADIANS(K139))</f>
        <v>0</v>
      </c>
      <c r="O139" s="12">
        <f>L139*COS(RADIANS(K139))</f>
        <v>-69.639230099622779</v>
      </c>
      <c r="P139" s="5">
        <v>2.4554093904470649</v>
      </c>
      <c r="Q139" s="5">
        <v>0.27390199186346753</v>
      </c>
      <c r="R139" s="6">
        <f>P139/Q139</f>
        <v>8.9645547071122351</v>
      </c>
    </row>
    <row r="140" spans="1:18" x14ac:dyDescent="0.35">
      <c r="A140" s="9">
        <v>139</v>
      </c>
      <c r="B140" s="5">
        <v>0.1</v>
      </c>
      <c r="C140" s="5">
        <v>4000000</v>
      </c>
      <c r="D140" s="5">
        <v>15</v>
      </c>
      <c r="E140" s="5">
        <v>0.375</v>
      </c>
      <c r="F140" s="5">
        <v>2.5000000000000001E-2</v>
      </c>
      <c r="G140" s="12">
        <f>(C140*$U$4)/($U$5*$U$3)</f>
        <v>58.775510204081627</v>
      </c>
      <c r="H140" s="11">
        <f>G140*COS(RADIANS(D140))</f>
        <v>56.772783259439109</v>
      </c>
      <c r="I140" s="11">
        <f>G140*SIN(RADIANS(D140))</f>
        <v>15.212221426433871</v>
      </c>
      <c r="J140" s="12">
        <v>0.16789999999999999</v>
      </c>
      <c r="K140" s="11">
        <v>85</v>
      </c>
      <c r="L140" s="12">
        <f>-(F140*G140*$U$3)/J140</f>
        <v>-8.7515649499823756</v>
      </c>
      <c r="M140" s="11">
        <f>ABS(L140/$U$6)</f>
        <v>2.5514766618024418E-2</v>
      </c>
      <c r="N140" s="12">
        <f>L140*SIN(RADIANS(K140))</f>
        <v>-8.718262603177994</v>
      </c>
      <c r="O140" s="12">
        <f>L140*COS(RADIANS(K140))</f>
        <v>-0.7627491434200856</v>
      </c>
      <c r="P140" s="5">
        <v>1.8026622167501782</v>
      </c>
      <c r="Q140" s="5">
        <v>0.68268410097470278</v>
      </c>
      <c r="R140" s="6">
        <f>P140/Q140</f>
        <v>2.640551045756633</v>
      </c>
    </row>
    <row r="141" spans="1:18" x14ac:dyDescent="0.35">
      <c r="A141" s="9">
        <v>140</v>
      </c>
      <c r="B141" s="5">
        <v>0.5</v>
      </c>
      <c r="C141" s="5">
        <v>6000000</v>
      </c>
      <c r="D141" s="5">
        <v>20</v>
      </c>
      <c r="E141" s="5">
        <v>0.25</v>
      </c>
      <c r="F141" s="5">
        <v>0.05</v>
      </c>
      <c r="G141" s="12">
        <f>(C141*$U$4)/($U$5*$U$3)</f>
        <v>88.16326530612244</v>
      </c>
      <c r="H141" s="11">
        <f>G141*COS(RADIANS(D141))</f>
        <v>82.846369832553549</v>
      </c>
      <c r="I141" s="11">
        <f>G141*SIN(RADIANS(D141))</f>
        <v>30.153612636058952</v>
      </c>
      <c r="J141" s="11">
        <v>0.23580000000000001</v>
      </c>
      <c r="K141" s="11">
        <v>49</v>
      </c>
      <c r="L141" s="12">
        <f>-(F141*G141*$U$3)/J141</f>
        <v>-18.694500701043772</v>
      </c>
      <c r="M141" s="11">
        <f>ABS(L141/$U$6)</f>
        <v>5.4502917495754435E-2</v>
      </c>
      <c r="N141" s="12">
        <f>L141*SIN(RADIANS(K141))</f>
        <v>-14.108918776559062</v>
      </c>
      <c r="O141" s="12">
        <f>L141*COS(RADIANS(K141))</f>
        <v>-12.264695977389135</v>
      </c>
      <c r="P141" s="5">
        <v>3.1798257280611635</v>
      </c>
      <c r="Q141" s="5">
        <v>0.73020027824734712</v>
      </c>
      <c r="R141" s="6">
        <f>P141/Q141</f>
        <v>4.3547309180619527</v>
      </c>
    </row>
    <row r="142" spans="1:18" x14ac:dyDescent="0.35">
      <c r="A142" s="9">
        <v>141</v>
      </c>
      <c r="B142" s="5">
        <v>0.5</v>
      </c>
      <c r="C142" s="5">
        <v>2000000</v>
      </c>
      <c r="D142" s="5">
        <v>0</v>
      </c>
      <c r="E142" s="5">
        <v>0.25</v>
      </c>
      <c r="F142" s="5">
        <v>2.5000000000000001E-2</v>
      </c>
      <c r="G142" s="12">
        <f>(C142*$U$4)/($U$5*$U$3)</f>
        <v>29.387755102040813</v>
      </c>
      <c r="H142" s="11">
        <f>G142*COS(RADIANS(D142))</f>
        <v>29.387755102040813</v>
      </c>
      <c r="I142" s="11">
        <f>G142*SIN(RADIANS(D142))</f>
        <v>0</v>
      </c>
      <c r="J142" s="11">
        <v>0.23580000000000001</v>
      </c>
      <c r="K142" s="11">
        <v>49</v>
      </c>
      <c r="L142" s="12">
        <f>-(F142*G142*$U$3)/J142</f>
        <v>-3.115750116840629</v>
      </c>
      <c r="M142" s="11">
        <f>ABS(L142/$U$6)</f>
        <v>9.083819582625741E-3</v>
      </c>
      <c r="N142" s="12">
        <f>L142*SIN(RADIANS(K142))</f>
        <v>-2.3514864627598437</v>
      </c>
      <c r="O142" s="12">
        <f>L142*COS(RADIANS(K142))</f>
        <v>-2.0441159962315227</v>
      </c>
      <c r="P142" s="5">
        <v>2.5009067183161844</v>
      </c>
      <c r="Q142" s="5">
        <v>0.19347752223832956</v>
      </c>
      <c r="R142" s="6">
        <f>P142/Q142</f>
        <v>12.926084071076311</v>
      </c>
    </row>
    <row r="143" spans="1:18" x14ac:dyDescent="0.35">
      <c r="A143" s="9">
        <v>142</v>
      </c>
      <c r="B143" s="5">
        <v>0.75</v>
      </c>
      <c r="C143" s="5">
        <v>6000000</v>
      </c>
      <c r="D143" s="5">
        <v>15</v>
      </c>
      <c r="E143" s="5">
        <v>0.375</v>
      </c>
      <c r="F143" s="5">
        <v>0.05</v>
      </c>
      <c r="G143" s="12">
        <f>(C143*$U$4)/($U$5*$U$3)</f>
        <v>88.16326530612244</v>
      </c>
      <c r="H143" s="11">
        <f>G143*COS(RADIANS(D143))</f>
        <v>85.159174889158663</v>
      </c>
      <c r="I143" s="11">
        <f>G143*SIN(RADIANS(D143))</f>
        <v>22.818332139650806</v>
      </c>
      <c r="J143" s="11">
        <v>0.29299999999999998</v>
      </c>
      <c r="K143" s="12">
        <v>57</v>
      </c>
      <c r="L143" s="12">
        <f>-(F143*G143*$U$3)/J143</f>
        <v>-15.044925820157413</v>
      </c>
      <c r="M143" s="11">
        <f>ABS(L143/$U$6)</f>
        <v>4.3862757493170298E-2</v>
      </c>
      <c r="N143" s="12">
        <f>L143*SIN(RADIANS(K143))</f>
        <v>-12.617736482288192</v>
      </c>
      <c r="O143" s="12">
        <f>L143*COS(RADIANS(K143))</f>
        <v>-8.1940538805631977</v>
      </c>
      <c r="P143" s="5">
        <v>4.7318301624785208</v>
      </c>
      <c r="Q143" s="5">
        <v>0.37074596459297626</v>
      </c>
      <c r="R143" s="6">
        <f>P143/Q143</f>
        <v>12.762998425817971</v>
      </c>
    </row>
    <row r="144" spans="1:18" x14ac:dyDescent="0.35">
      <c r="A144" s="9">
        <v>143</v>
      </c>
      <c r="B144" s="5">
        <v>1</v>
      </c>
      <c r="C144" s="5">
        <v>6000000</v>
      </c>
      <c r="D144" s="5">
        <v>15</v>
      </c>
      <c r="E144" s="5">
        <v>0</v>
      </c>
      <c r="F144" s="5">
        <v>7.4999999999999997E-2</v>
      </c>
      <c r="G144" s="12">
        <f>(C144*$U$4)/($U$5*$U$3)</f>
        <v>88.16326530612244</v>
      </c>
      <c r="H144" s="11">
        <f>G144*COS(RADIANS(D144))</f>
        <v>85.159174889158663</v>
      </c>
      <c r="I144" s="11">
        <f>G144*SIN(RADIANS(D144))</f>
        <v>22.818332139650806</v>
      </c>
      <c r="J144" s="11">
        <v>0.33379999999999999</v>
      </c>
      <c r="K144" s="12">
        <v>0</v>
      </c>
      <c r="L144" s="12">
        <f>-(F144*G144*$U$3)/J144</f>
        <v>-19.809002090950219</v>
      </c>
      <c r="M144" s="11">
        <f>ABS(L144/$U$6)</f>
        <v>5.7752192684986062E-2</v>
      </c>
      <c r="N144" s="12">
        <f>L144*SIN(RADIANS(K144))</f>
        <v>0</v>
      </c>
      <c r="O144" s="12">
        <f>L144*COS(RADIANS(K144))</f>
        <v>-19.809002090950219</v>
      </c>
      <c r="P144" s="5">
        <v>7.1881189815647923</v>
      </c>
      <c r="Q144" s="5">
        <v>1.2506646679694382</v>
      </c>
      <c r="R144" s="6">
        <f>P144/Q144</f>
        <v>5.7474390743246326</v>
      </c>
    </row>
    <row r="145" spans="1:18" x14ac:dyDescent="0.35">
      <c r="A145" s="9">
        <v>528</v>
      </c>
      <c r="B145" s="5">
        <v>0.25</v>
      </c>
      <c r="C145" s="5">
        <v>6000000</v>
      </c>
      <c r="D145" s="5">
        <v>5</v>
      </c>
      <c r="E145" s="5">
        <v>0</v>
      </c>
      <c r="F145" s="5">
        <v>0.15</v>
      </c>
      <c r="G145" s="12">
        <f>(C145*$U$4)/($U$5*$U$3)</f>
        <v>88.16326530612244</v>
      </c>
      <c r="H145" s="11">
        <f>G145*COS(RADIANS(D145))</f>
        <v>87.827777464415107</v>
      </c>
      <c r="I145" s="11">
        <f>G145*SIN(RADIANS(D145))</f>
        <v>7.6839348708139434</v>
      </c>
      <c r="J145" s="19">
        <v>0.18990000000000001</v>
      </c>
      <c r="K145" s="12">
        <v>0</v>
      </c>
      <c r="L145" s="12">
        <f>-(F145*G145*$U$3)/J145</f>
        <v>-69.639230099622779</v>
      </c>
      <c r="M145" s="11">
        <f>ABS(L145/$U$6)</f>
        <v>0.20302982536333172</v>
      </c>
      <c r="N145" s="12">
        <f>L145*SIN(RADIANS(K145))</f>
        <v>0</v>
      </c>
      <c r="O145" s="12">
        <f>L145*COS(RADIANS(K145))</f>
        <v>-69.639230099622779</v>
      </c>
      <c r="P145" s="5">
        <v>2.3862815587308246</v>
      </c>
      <c r="Q145" s="5">
        <v>0.14083095381674876</v>
      </c>
      <c r="R145" s="6">
        <f>P145/Q145</f>
        <v>16.944297358348422</v>
      </c>
    </row>
    <row r="146" spans="1:18" x14ac:dyDescent="0.35">
      <c r="A146" s="9">
        <v>145</v>
      </c>
      <c r="B146" s="5">
        <v>1</v>
      </c>
      <c r="C146" s="5">
        <v>4000000</v>
      </c>
      <c r="D146" s="5">
        <v>15</v>
      </c>
      <c r="E146" s="5">
        <v>0.125</v>
      </c>
      <c r="F146" s="5">
        <v>0</v>
      </c>
      <c r="G146" s="12">
        <f>(C146*$U$4)/($U$5*$U$3)</f>
        <v>58.775510204081627</v>
      </c>
      <c r="H146" s="11">
        <f>G146*COS(RADIANS(D146))</f>
        <v>56.772783259439109</v>
      </c>
      <c r="I146" s="11">
        <f>G146*SIN(RADIANS(D146))</f>
        <v>15.212221426433871</v>
      </c>
      <c r="J146" s="11">
        <v>0.33379999999999999</v>
      </c>
      <c r="K146" s="12">
        <v>14</v>
      </c>
      <c r="L146" s="12">
        <f>-(F146*G146*$U$3)/J146</f>
        <v>0</v>
      </c>
      <c r="M146" s="11">
        <f>ABS(L146/$U$6)</f>
        <v>0</v>
      </c>
      <c r="N146" s="12">
        <f>L146*SIN(RADIANS(K146))</f>
        <v>0</v>
      </c>
      <c r="O146" s="12">
        <f>L146*COS(RADIANS(K146))</f>
        <v>0</v>
      </c>
      <c r="P146" s="5">
        <v>5.8530228723386859</v>
      </c>
      <c r="Q146" s="5">
        <v>2.203527868709199</v>
      </c>
      <c r="R146" s="6">
        <f>P146/Q146</f>
        <v>2.6562055127386786</v>
      </c>
    </row>
    <row r="147" spans="1:18" x14ac:dyDescent="0.35">
      <c r="A147" s="9">
        <v>146</v>
      </c>
      <c r="B147" s="5">
        <v>0.5</v>
      </c>
      <c r="C147" s="5">
        <v>6000000</v>
      </c>
      <c r="D147" s="5">
        <v>5</v>
      </c>
      <c r="E147" s="5">
        <v>0.375</v>
      </c>
      <c r="F147" s="5">
        <v>1.4999999999999999E-2</v>
      </c>
      <c r="G147" s="12">
        <f>(C147*$U$4)/($U$5*$U$3)</f>
        <v>88.16326530612244</v>
      </c>
      <c r="H147" s="11">
        <f>G147*COS(RADIANS(D147))</f>
        <v>87.827777464415107</v>
      </c>
      <c r="I147" s="11">
        <f>G147*SIN(RADIANS(D147))</f>
        <v>7.6839348708139434</v>
      </c>
      <c r="J147" s="12">
        <v>0.24809999999999999</v>
      </c>
      <c r="K147" s="12">
        <v>67</v>
      </c>
      <c r="L147" s="12">
        <f>-(F147*G147*$U$3)/J147</f>
        <v>-5.3303062458356978</v>
      </c>
      <c r="M147" s="11">
        <f>ABS(L147/$U$6)</f>
        <v>1.5540251445585124E-2</v>
      </c>
      <c r="N147" s="12">
        <f>L147*SIN(RADIANS(K147))</f>
        <v>-4.9065727696796166</v>
      </c>
      <c r="O147" s="12">
        <f>L147*COS(RADIANS(K147))</f>
        <v>-2.0827165746288063</v>
      </c>
      <c r="P147" s="5">
        <v>3.1354834303102774</v>
      </c>
      <c r="Q147" s="5">
        <v>6.0264811044808755E-2</v>
      </c>
      <c r="R147" s="6">
        <f>P147/Q147</f>
        <v>52.028428795353697</v>
      </c>
    </row>
    <row r="148" spans="1:18" x14ac:dyDescent="0.35">
      <c r="A148" s="9">
        <v>147</v>
      </c>
      <c r="B148" s="5">
        <v>1</v>
      </c>
      <c r="C148" s="5">
        <v>6000000</v>
      </c>
      <c r="D148" s="5">
        <v>5</v>
      </c>
      <c r="E148" s="5">
        <v>0</v>
      </c>
      <c r="F148" s="5">
        <v>0.05</v>
      </c>
      <c r="G148" s="12">
        <f>(C148*$U$4)/($U$5*$U$3)</f>
        <v>88.16326530612244</v>
      </c>
      <c r="H148" s="11">
        <f>G148*COS(RADIANS(D148))</f>
        <v>87.827777464415107</v>
      </c>
      <c r="I148" s="11">
        <f>G148*SIN(RADIANS(D148))</f>
        <v>7.6839348708139434</v>
      </c>
      <c r="J148" s="11">
        <v>0.33379999999999999</v>
      </c>
      <c r="K148" s="12">
        <v>0</v>
      </c>
      <c r="L148" s="12">
        <f>-(F148*G148*$U$3)/J148</f>
        <v>-13.206001393966813</v>
      </c>
      <c r="M148" s="11">
        <f>ABS(L148/$U$6)</f>
        <v>3.8501461789990712E-2</v>
      </c>
      <c r="N148" s="12">
        <f>L148*SIN(RADIANS(K148))</f>
        <v>0</v>
      </c>
      <c r="O148" s="12">
        <f>L148*COS(RADIANS(K148))</f>
        <v>-13.206001393966813</v>
      </c>
      <c r="P148" s="5">
        <v>2.7953161350830258</v>
      </c>
      <c r="Q148" s="5">
        <v>1.3517722454583783</v>
      </c>
      <c r="R148" s="6">
        <f>P148/Q148</f>
        <v>2.0678898715923482</v>
      </c>
    </row>
    <row r="149" spans="1:18" x14ac:dyDescent="0.35">
      <c r="A149" s="9">
        <v>148</v>
      </c>
      <c r="B149" s="5">
        <v>0.25</v>
      </c>
      <c r="C149" s="5">
        <v>4000000</v>
      </c>
      <c r="D149" s="5">
        <v>15</v>
      </c>
      <c r="E149" s="5">
        <v>0.125</v>
      </c>
      <c r="F149" s="5">
        <v>7.4999999999999997E-2</v>
      </c>
      <c r="G149" s="12">
        <f>(C149*$U$4)/($U$5*$U$3)</f>
        <v>58.775510204081627</v>
      </c>
      <c r="H149" s="11">
        <f>G149*COS(RADIANS(D149))</f>
        <v>56.772783259439109</v>
      </c>
      <c r="I149" s="11">
        <f>G149*SIN(RADIANS(D149))</f>
        <v>15.212221426433871</v>
      </c>
      <c r="J149" s="11">
        <v>0.19020000000000001</v>
      </c>
      <c r="K149" s="12">
        <v>46</v>
      </c>
      <c r="L149" s="12">
        <f>-(F149*G149*$U$3)/J149</f>
        <v>-23.176463014227771</v>
      </c>
      <c r="M149" s="11">
        <f>ABS(L149/$U$6)</f>
        <v>6.7569863015241316E-2</v>
      </c>
      <c r="N149" s="12">
        <f>L149*SIN(RADIANS(K149))</f>
        <v>-16.671752277210736</v>
      </c>
      <c r="O149" s="12">
        <f>L149*COS(RADIANS(K149))</f>
        <v>-16.099724030466682</v>
      </c>
      <c r="P149" s="5">
        <v>2.5448234115364223</v>
      </c>
      <c r="Q149" s="5">
        <v>0.56376197824514418</v>
      </c>
      <c r="R149" s="6">
        <f>P149/Q149</f>
        <v>4.5140032668713266</v>
      </c>
    </row>
    <row r="150" spans="1:18" x14ac:dyDescent="0.35">
      <c r="A150" s="9">
        <v>149</v>
      </c>
      <c r="B150" s="5">
        <v>1</v>
      </c>
      <c r="C150" s="5">
        <v>4000000</v>
      </c>
      <c r="D150" s="5">
        <v>20</v>
      </c>
      <c r="E150" s="5">
        <v>0</v>
      </c>
      <c r="F150" s="5">
        <v>0.15</v>
      </c>
      <c r="G150" s="12">
        <f>(C150*$U$4)/($U$5*$U$3)</f>
        <v>58.775510204081627</v>
      </c>
      <c r="H150" s="11">
        <f>G150*COS(RADIANS(D150))</f>
        <v>55.230913221702366</v>
      </c>
      <c r="I150" s="11">
        <f>G150*SIN(RADIANS(D150))</f>
        <v>20.102408424039304</v>
      </c>
      <c r="J150" s="11">
        <v>0.33379999999999999</v>
      </c>
      <c r="K150" s="12">
        <v>0</v>
      </c>
      <c r="L150" s="12">
        <f>-(F150*G150*$U$3)/J150</f>
        <v>-26.412002787933627</v>
      </c>
      <c r="M150" s="11">
        <f>ABS(L150/$U$6)</f>
        <v>7.7002923579981425E-2</v>
      </c>
      <c r="N150" s="12">
        <f>L150*SIN(RADIANS(K150))</f>
        <v>0</v>
      </c>
      <c r="O150" s="12">
        <f>L150*COS(RADIANS(K150))</f>
        <v>-26.412002787933627</v>
      </c>
      <c r="P150" s="5">
        <v>1.8306037293392721</v>
      </c>
      <c r="Q150" s="5">
        <v>1.3846613514126656</v>
      </c>
      <c r="R150" s="6">
        <f>P150/Q150</f>
        <v>1.3220588033829681</v>
      </c>
    </row>
    <row r="151" spans="1:18" x14ac:dyDescent="0.35">
      <c r="A151" s="9">
        <v>150</v>
      </c>
      <c r="B151" s="5">
        <v>0.25</v>
      </c>
      <c r="C151" s="5">
        <v>6000000</v>
      </c>
      <c r="D151" s="5">
        <v>5</v>
      </c>
      <c r="E151" s="5">
        <v>0</v>
      </c>
      <c r="F151" s="5">
        <v>0.05</v>
      </c>
      <c r="G151" s="12">
        <f>(C151*$U$4)/($U$5*$U$3)</f>
        <v>88.16326530612244</v>
      </c>
      <c r="H151" s="11">
        <f>G151*COS(RADIANS(D151))</f>
        <v>87.827777464415107</v>
      </c>
      <c r="I151" s="11">
        <f>G151*SIN(RADIANS(D151))</f>
        <v>7.6839348708139434</v>
      </c>
      <c r="J151" s="12">
        <v>0.18990000000000001</v>
      </c>
      <c r="K151" s="12">
        <v>0</v>
      </c>
      <c r="L151" s="12">
        <f>-(F151*G151*$U$3)/J151</f>
        <v>-23.213076699874257</v>
      </c>
      <c r="M151" s="11">
        <f>ABS(L151/$U$6)</f>
        <v>6.7676608454443898E-2</v>
      </c>
      <c r="N151" s="12">
        <f>L151*SIN(RADIANS(K151))</f>
        <v>0</v>
      </c>
      <c r="O151" s="12">
        <f>L151*COS(RADIANS(K151))</f>
        <v>-23.213076699874257</v>
      </c>
      <c r="P151" s="5">
        <v>2.1996263628310566</v>
      </c>
      <c r="Q151" s="5">
        <v>0.27786048576070088</v>
      </c>
      <c r="R151" s="6">
        <f>P151/Q151</f>
        <v>7.9162978384966181</v>
      </c>
    </row>
    <row r="152" spans="1:18" x14ac:dyDescent="0.35">
      <c r="A152" s="9">
        <v>151</v>
      </c>
      <c r="B152" s="5">
        <v>0.5</v>
      </c>
      <c r="C152" s="5">
        <v>4000000</v>
      </c>
      <c r="D152" s="5">
        <v>30</v>
      </c>
      <c r="E152" s="5">
        <v>0</v>
      </c>
      <c r="F152" s="5">
        <v>0.1</v>
      </c>
      <c r="G152" s="12">
        <f>(C152*$U$4)/($U$5*$U$3)</f>
        <v>58.775510204081627</v>
      </c>
      <c r="H152" s="11">
        <f>G152*COS(RADIANS(D152))</f>
        <v>50.901084957126187</v>
      </c>
      <c r="I152" s="11">
        <f>G152*SIN(RADIANS(D152))</f>
        <v>29.38775510204081</v>
      </c>
      <c r="J152" s="12">
        <v>0.23230000000000001</v>
      </c>
      <c r="K152" s="12">
        <v>0</v>
      </c>
      <c r="L152" s="12">
        <f>-(F152*G152*$U$3)/J152</f>
        <v>-25.30155411282033</v>
      </c>
      <c r="M152" s="11">
        <f>ABS(L152/$U$6)</f>
        <v>7.3765463885773555E-2</v>
      </c>
      <c r="N152" s="12">
        <f>L152*SIN(RADIANS(K152))</f>
        <v>0</v>
      </c>
      <c r="O152" s="12">
        <f>L152*COS(RADIANS(K152))</f>
        <v>-25.30155411282033</v>
      </c>
      <c r="P152" s="5">
        <v>4.5335700991224881</v>
      </c>
      <c r="Q152" s="5">
        <v>1.4556635136921539</v>
      </c>
      <c r="R152" s="6">
        <f>P152/Q152</f>
        <v>3.1144354835297845</v>
      </c>
    </row>
    <row r="153" spans="1:18" x14ac:dyDescent="0.35">
      <c r="A153" s="9">
        <v>152</v>
      </c>
      <c r="B153" s="5">
        <v>0.25</v>
      </c>
      <c r="C153" s="5">
        <v>2000000</v>
      </c>
      <c r="D153" s="5">
        <v>5</v>
      </c>
      <c r="E153" s="5">
        <v>0.25</v>
      </c>
      <c r="F153" s="5">
        <v>0.1</v>
      </c>
      <c r="G153" s="12">
        <f>(C153*$U$4)/($U$5*$U$3)</f>
        <v>29.387755102040813</v>
      </c>
      <c r="H153" s="11">
        <f>G153*COS(RADIANS(D153))</f>
        <v>29.275925821471702</v>
      </c>
      <c r="I153" s="11">
        <f>G153*SIN(RADIANS(D153))</f>
        <v>2.5613116236046478</v>
      </c>
      <c r="J153" s="12">
        <v>0.1913</v>
      </c>
      <c r="K153" s="11">
        <v>67</v>
      </c>
      <c r="L153" s="12">
        <f>-(F153*G153*$U$3)/J153</f>
        <v>-15.362130215389866</v>
      </c>
      <c r="M153" s="11">
        <f>ABS(L153/$U$6)</f>
        <v>4.4787551648366959E-2</v>
      </c>
      <c r="N153" s="12">
        <f>L153*SIN(RADIANS(K153))</f>
        <v>-14.140915422634755</v>
      </c>
      <c r="O153" s="12">
        <f>L153*COS(RADIANS(K153))</f>
        <v>-6.0024624750584517</v>
      </c>
      <c r="P153" s="5">
        <v>2.3611825229572703</v>
      </c>
      <c r="Q153" s="5">
        <v>0.26120417476915181</v>
      </c>
      <c r="R153" s="6">
        <f>P153/Q153</f>
        <v>9.0396048418599992</v>
      </c>
    </row>
    <row r="154" spans="1:18" x14ac:dyDescent="0.35">
      <c r="A154" s="9">
        <v>153</v>
      </c>
      <c r="B154" s="5">
        <v>0.1</v>
      </c>
      <c r="C154" s="5">
        <v>4000000</v>
      </c>
      <c r="D154" s="5">
        <v>20</v>
      </c>
      <c r="E154" s="5">
        <v>0.125</v>
      </c>
      <c r="F154" s="5">
        <v>2.5000000000000001E-2</v>
      </c>
      <c r="G154" s="12">
        <f>(C154*$U$4)/($U$5*$U$3)</f>
        <v>58.775510204081627</v>
      </c>
      <c r="H154" s="11">
        <f>G154*COS(RADIANS(D154))</f>
        <v>55.230913221702366</v>
      </c>
      <c r="I154" s="11">
        <f>G154*SIN(RADIANS(D154))</f>
        <v>20.102408424039304</v>
      </c>
      <c r="J154" s="12">
        <v>0.1658</v>
      </c>
      <c r="K154" s="12">
        <v>69</v>
      </c>
      <c r="L154" s="12">
        <f>-(F154*G154*$U$3)/J154</f>
        <v>-8.8624110681667112</v>
      </c>
      <c r="M154" s="11">
        <f>ABS(L154/$U$6)</f>
        <v>2.5837933143343182E-2</v>
      </c>
      <c r="N154" s="12">
        <f>L154*SIN(RADIANS(K154))</f>
        <v>-8.2737735048125991</v>
      </c>
      <c r="O154" s="12">
        <f>L154*COS(RADIANS(K154))</f>
        <v>-3.1760040825264797</v>
      </c>
      <c r="P154" s="5">
        <v>1.3187306478149332</v>
      </c>
      <c r="Q154" s="5">
        <v>0.68868860279818866</v>
      </c>
      <c r="R154" s="6">
        <f>P154/Q154</f>
        <v>1.914843141670765</v>
      </c>
    </row>
    <row r="155" spans="1:18" x14ac:dyDescent="0.35">
      <c r="A155" s="9">
        <v>154</v>
      </c>
      <c r="B155" s="5">
        <v>0.75</v>
      </c>
      <c r="C155" s="5">
        <v>2000000</v>
      </c>
      <c r="D155" s="5">
        <v>15</v>
      </c>
      <c r="E155" s="5">
        <v>0.375</v>
      </c>
      <c r="F155" s="5">
        <v>0.05</v>
      </c>
      <c r="G155" s="12">
        <f>(C155*$U$4)/($U$5*$U$3)</f>
        <v>29.387755102040813</v>
      </c>
      <c r="H155" s="11">
        <f>G155*COS(RADIANS(D155))</f>
        <v>28.386391629719554</v>
      </c>
      <c r="I155" s="11">
        <f>G155*SIN(RADIANS(D155))</f>
        <v>7.6061107132169354</v>
      </c>
      <c r="J155" s="11">
        <v>0.29299999999999998</v>
      </c>
      <c r="K155" s="12">
        <v>57</v>
      </c>
      <c r="L155" s="12">
        <f>-(F155*G155*$U$3)/J155</f>
        <v>-5.0149752733858044</v>
      </c>
      <c r="M155" s="11">
        <f>ABS(L155/$U$6)</f>
        <v>1.46209191643901E-2</v>
      </c>
      <c r="N155" s="12">
        <f>L155*SIN(RADIANS(K155))</f>
        <v>-4.2059121607627308</v>
      </c>
      <c r="O155" s="12">
        <f>L155*COS(RADIANS(K155))</f>
        <v>-2.7313512935210662</v>
      </c>
      <c r="P155" s="5">
        <v>4.8811434043116861</v>
      </c>
      <c r="Q155" s="5">
        <v>0.34454327191740447</v>
      </c>
      <c r="R155" s="6">
        <f>P155/Q155</f>
        <v>14.166996723366047</v>
      </c>
    </row>
    <row r="156" spans="1:18" x14ac:dyDescent="0.35">
      <c r="A156" s="9">
        <v>155</v>
      </c>
      <c r="B156" s="5">
        <v>1</v>
      </c>
      <c r="C156" s="5">
        <v>2000000</v>
      </c>
      <c r="D156" s="5">
        <v>20</v>
      </c>
      <c r="E156" s="5">
        <v>0</v>
      </c>
      <c r="F156" s="5">
        <v>0</v>
      </c>
      <c r="G156" s="12">
        <f>(C156*$U$4)/($U$5*$U$3)</f>
        <v>29.387755102040813</v>
      </c>
      <c r="H156" s="11">
        <f>G156*COS(RADIANS(D156))</f>
        <v>27.615456610851183</v>
      </c>
      <c r="I156" s="11">
        <f>G156*SIN(RADIANS(D156))</f>
        <v>10.051204212019652</v>
      </c>
      <c r="J156" s="11">
        <v>0.33379999999999999</v>
      </c>
      <c r="K156" s="12">
        <v>0</v>
      </c>
      <c r="L156" s="12">
        <f>-(F156*G156*$U$3)/J156</f>
        <v>0</v>
      </c>
      <c r="M156" s="11">
        <f>ABS(L156/$U$6)</f>
        <v>0</v>
      </c>
      <c r="N156" s="12">
        <f>L156*SIN(RADIANS(K156))</f>
        <v>0</v>
      </c>
      <c r="O156" s="12">
        <f>L156*COS(RADIANS(K156))</f>
        <v>0</v>
      </c>
      <c r="P156" s="5">
        <v>5.2499937995358996</v>
      </c>
      <c r="Q156" s="5">
        <v>2.4000547302052078</v>
      </c>
      <c r="R156" s="6">
        <f>P156/Q156</f>
        <v>2.187447533368132</v>
      </c>
    </row>
    <row r="157" spans="1:18" x14ac:dyDescent="0.35">
      <c r="A157" s="9">
        <v>751</v>
      </c>
      <c r="B157" s="5">
        <v>0.25</v>
      </c>
      <c r="C157" s="5">
        <v>6000000</v>
      </c>
      <c r="D157" s="5">
        <v>15</v>
      </c>
      <c r="E157" s="5">
        <v>0</v>
      </c>
      <c r="F157" s="5">
        <v>0.15</v>
      </c>
      <c r="G157" s="12">
        <f>(C157*$U$4)/($U$5*$U$3)</f>
        <v>88.16326530612244</v>
      </c>
      <c r="H157" s="11">
        <f>G157*COS(RADIANS(D157))</f>
        <v>85.159174889158663</v>
      </c>
      <c r="I157" s="11">
        <f>G157*SIN(RADIANS(D157))</f>
        <v>22.818332139650806</v>
      </c>
      <c r="J157" s="19">
        <v>0.18990000000000001</v>
      </c>
      <c r="K157" s="12">
        <v>0</v>
      </c>
      <c r="L157" s="12">
        <f>-(F157*G157*$U$3)/J157</f>
        <v>-69.639230099622779</v>
      </c>
      <c r="M157" s="11">
        <f>ABS(L157/$U$6)</f>
        <v>0.20302982536333172</v>
      </c>
      <c r="N157" s="12">
        <f>L157*SIN(RADIANS(K157))</f>
        <v>0</v>
      </c>
      <c r="O157" s="12">
        <f>L157*COS(RADIANS(K157))</f>
        <v>-69.639230099622779</v>
      </c>
      <c r="P157" s="5">
        <v>2.510405661539417</v>
      </c>
      <c r="Q157" s="5">
        <v>0.40532087046942827</v>
      </c>
      <c r="R157" s="6">
        <f>P157/Q157</f>
        <v>6.1936254568681699</v>
      </c>
    </row>
    <row r="158" spans="1:18" x14ac:dyDescent="0.35">
      <c r="A158" s="9">
        <v>789</v>
      </c>
      <c r="B158" s="5">
        <v>0.25</v>
      </c>
      <c r="C158" s="5">
        <v>6000000</v>
      </c>
      <c r="D158" s="5">
        <v>20</v>
      </c>
      <c r="E158" s="5">
        <v>0</v>
      </c>
      <c r="F158" s="5">
        <v>0.15</v>
      </c>
      <c r="G158" s="12">
        <f>(C158*$U$4)/($U$5*$U$3)</f>
        <v>88.16326530612244</v>
      </c>
      <c r="H158" s="11">
        <f>G158*COS(RADIANS(D158))</f>
        <v>82.846369832553549</v>
      </c>
      <c r="I158" s="11">
        <f>G158*SIN(RADIANS(D158))</f>
        <v>30.153612636058952</v>
      </c>
      <c r="J158" s="19">
        <v>0.18990000000000001</v>
      </c>
      <c r="K158" s="12">
        <v>0</v>
      </c>
      <c r="L158" s="12">
        <f>-(F158*G158*$U$3)/J158</f>
        <v>-69.639230099622779</v>
      </c>
      <c r="M158" s="11">
        <f>ABS(L158/$U$6)</f>
        <v>0.20302982536333172</v>
      </c>
      <c r="N158" s="12">
        <f>L158*SIN(RADIANS(K158))</f>
        <v>0</v>
      </c>
      <c r="O158" s="12">
        <f>L158*COS(RADIANS(K158))</f>
        <v>-69.639230099622779</v>
      </c>
      <c r="P158" s="5">
        <v>2.5513706319570102</v>
      </c>
      <c r="Q158" s="5">
        <v>0.54240680483667425</v>
      </c>
      <c r="R158" s="6">
        <f>P158/Q158</f>
        <v>4.7037953971194391</v>
      </c>
    </row>
    <row r="159" spans="1:18" x14ac:dyDescent="0.35">
      <c r="A159" s="9">
        <v>158</v>
      </c>
      <c r="B159" s="5">
        <v>0.1</v>
      </c>
      <c r="C159" s="5">
        <v>6000000</v>
      </c>
      <c r="D159" s="5">
        <v>10</v>
      </c>
      <c r="E159" s="5">
        <v>0.375</v>
      </c>
      <c r="F159" s="5">
        <v>2.5000000000000001E-2</v>
      </c>
      <c r="G159" s="12">
        <f>(C159*$U$4)/($U$5*$U$3)</f>
        <v>88.16326530612244</v>
      </c>
      <c r="H159" s="11">
        <f>G159*COS(RADIANS(D159))</f>
        <v>86.823867204341596</v>
      </c>
      <c r="I159" s="11">
        <f>G159*SIN(RADIANS(D159))</f>
        <v>15.309390357574264</v>
      </c>
      <c r="J159" s="12">
        <v>0.16789999999999999</v>
      </c>
      <c r="K159" s="11">
        <v>85</v>
      </c>
      <c r="L159" s="12">
        <f>-(F159*G159*$U$3)/J159</f>
        <v>-13.127347424973562</v>
      </c>
      <c r="M159" s="11">
        <f>ABS(L159/$U$6)</f>
        <v>3.8272149927036626E-2</v>
      </c>
      <c r="N159" s="12">
        <f>L159*SIN(RADIANS(K159))</f>
        <v>-13.077393904766991</v>
      </c>
      <c r="O159" s="12">
        <f>L159*COS(RADIANS(K159))</f>
        <v>-1.1441237151301282</v>
      </c>
      <c r="P159" s="5">
        <v>1.7962386760826425</v>
      </c>
      <c r="Q159" s="5">
        <v>0.51042616360619486</v>
      </c>
      <c r="R159" s="6">
        <f>P159/Q159</f>
        <v>3.519096010659204</v>
      </c>
    </row>
    <row r="160" spans="1:18" x14ac:dyDescent="0.35">
      <c r="A160" s="9">
        <v>159</v>
      </c>
      <c r="B160" s="5">
        <v>0.1</v>
      </c>
      <c r="C160" s="5">
        <v>4000000</v>
      </c>
      <c r="D160" s="5">
        <v>10</v>
      </c>
      <c r="E160" s="5">
        <v>0.375</v>
      </c>
      <c r="F160" s="5">
        <v>0.05</v>
      </c>
      <c r="G160" s="12">
        <f>(C160*$U$4)/($U$5*$U$3)</f>
        <v>58.775510204081627</v>
      </c>
      <c r="H160" s="11">
        <f>G160*COS(RADIANS(D160))</f>
        <v>57.882578136227728</v>
      </c>
      <c r="I160" s="11">
        <f>G160*SIN(RADIANS(D160))</f>
        <v>10.206260238382843</v>
      </c>
      <c r="J160" s="12">
        <v>0.16789999999999999</v>
      </c>
      <c r="K160" s="11">
        <v>85</v>
      </c>
      <c r="L160" s="12">
        <f>-(F160*G160*$U$3)/J160</f>
        <v>-17.503129899964751</v>
      </c>
      <c r="M160" s="11">
        <f>ABS(L160/$U$6)</f>
        <v>5.1029533236048835E-2</v>
      </c>
      <c r="N160" s="12">
        <f>L160*SIN(RADIANS(K160))</f>
        <v>-17.436525206355988</v>
      </c>
      <c r="O160" s="12">
        <f>L160*COS(RADIANS(K160))</f>
        <v>-1.5254982868401712</v>
      </c>
      <c r="P160" s="5">
        <v>1.9047166999993834</v>
      </c>
      <c r="Q160" s="5">
        <v>0.50951335354910499</v>
      </c>
      <c r="R160" s="6">
        <f>P160/Q160</f>
        <v>3.7383057514228897</v>
      </c>
    </row>
    <row r="161" spans="1:18" x14ac:dyDescent="0.35">
      <c r="A161" s="9">
        <v>160</v>
      </c>
      <c r="B161" s="5">
        <v>0.1</v>
      </c>
      <c r="C161" s="5">
        <v>4000000</v>
      </c>
      <c r="D161" s="5">
        <v>30</v>
      </c>
      <c r="E161" s="5">
        <v>0.125</v>
      </c>
      <c r="F161" s="5">
        <v>7.4999999999999997E-2</v>
      </c>
      <c r="G161" s="12">
        <f>(C161*$U$4)/($U$5*$U$3)</f>
        <v>58.775510204081627</v>
      </c>
      <c r="H161" s="11">
        <f>G161*COS(RADIANS(D161))</f>
        <v>50.901084957126187</v>
      </c>
      <c r="I161" s="11">
        <f>G161*SIN(RADIANS(D161))</f>
        <v>29.38775510204081</v>
      </c>
      <c r="J161" s="12">
        <v>0.1658</v>
      </c>
      <c r="K161" s="12">
        <v>69</v>
      </c>
      <c r="L161" s="12">
        <f>-(F161*G161*$U$3)/J161</f>
        <v>-26.587233204500134</v>
      </c>
      <c r="M161" s="11">
        <f>ABS(L161/$U$6)</f>
        <v>7.7513799430029548E-2</v>
      </c>
      <c r="N161" s="12">
        <f>L161*SIN(RADIANS(K161))</f>
        <v>-24.821320514437797</v>
      </c>
      <c r="O161" s="12">
        <f>L161*COS(RADIANS(K161))</f>
        <v>-9.5280122475794382</v>
      </c>
      <c r="P161" s="5">
        <v>1.3183370110554291</v>
      </c>
      <c r="Q161" s="5">
        <v>0.99384706830585512</v>
      </c>
      <c r="R161" s="6">
        <f>P161/Q161</f>
        <v>1.3264988679824858</v>
      </c>
    </row>
    <row r="162" spans="1:18" x14ac:dyDescent="0.35">
      <c r="A162" s="9">
        <v>161</v>
      </c>
      <c r="B162" s="5">
        <v>0.75</v>
      </c>
      <c r="C162" s="5">
        <v>6000000</v>
      </c>
      <c r="D162" s="5">
        <v>5</v>
      </c>
      <c r="E162" s="5">
        <v>0.375</v>
      </c>
      <c r="F162" s="5">
        <v>2.5000000000000001E-2</v>
      </c>
      <c r="G162" s="12">
        <f>(C162*$U$4)/($U$5*$U$3)</f>
        <v>88.16326530612244</v>
      </c>
      <c r="H162" s="11">
        <f>G162*COS(RADIANS(D162))</f>
        <v>87.827777464415107</v>
      </c>
      <c r="I162" s="11">
        <f>G162*SIN(RADIANS(D162))</f>
        <v>7.6839348708139434</v>
      </c>
      <c r="J162" s="11">
        <v>0.29299999999999998</v>
      </c>
      <c r="K162" s="12">
        <v>57</v>
      </c>
      <c r="L162" s="12">
        <f>-(F162*G162*$U$3)/J162</f>
        <v>-7.5224629100787066</v>
      </c>
      <c r="M162" s="11">
        <f>ABS(L162/$U$6)</f>
        <v>2.1931378746585149E-2</v>
      </c>
      <c r="N162" s="12">
        <f>L162*SIN(RADIANS(K162))</f>
        <v>-6.3088682411440962</v>
      </c>
      <c r="O162" s="12">
        <f>L162*COS(RADIANS(K162))</f>
        <v>-4.0970269402815989</v>
      </c>
      <c r="P162" s="5">
        <v>3.9253016142919712</v>
      </c>
      <c r="Q162" s="5">
        <v>-7.9620566873554677E-2</v>
      </c>
      <c r="R162" s="6">
        <f>P162/Q162</f>
        <v>-49.300096299562121</v>
      </c>
    </row>
    <row r="163" spans="1:18" x14ac:dyDescent="0.35">
      <c r="A163" s="9">
        <v>162</v>
      </c>
      <c r="B163" s="5">
        <v>0.25</v>
      </c>
      <c r="C163" s="5">
        <v>4000000</v>
      </c>
      <c r="D163" s="5">
        <v>5</v>
      </c>
      <c r="E163" s="5">
        <v>0.125</v>
      </c>
      <c r="F163" s="5">
        <v>7.4999999999999997E-2</v>
      </c>
      <c r="G163" s="12">
        <f>(C163*$U$4)/($U$5*$U$3)</f>
        <v>58.775510204081627</v>
      </c>
      <c r="H163" s="11">
        <f>G163*COS(RADIANS(D163))</f>
        <v>58.551851642943404</v>
      </c>
      <c r="I163" s="11">
        <f>G163*SIN(RADIANS(D163))</f>
        <v>5.1226232472092956</v>
      </c>
      <c r="J163" s="11">
        <v>0.19020000000000001</v>
      </c>
      <c r="K163" s="12">
        <v>46</v>
      </c>
      <c r="L163" s="12">
        <f>-(F163*G163*$U$3)/J163</f>
        <v>-23.176463014227771</v>
      </c>
      <c r="M163" s="11">
        <f>ABS(L163/$U$6)</f>
        <v>6.7569863015241316E-2</v>
      </c>
      <c r="N163" s="12">
        <f>L163*SIN(RADIANS(K163))</f>
        <v>-16.671752277210736</v>
      </c>
      <c r="O163" s="12">
        <f>L163*COS(RADIANS(K163))</f>
        <v>-16.099724030466682</v>
      </c>
      <c r="P163" s="5">
        <v>2.4363400443590271</v>
      </c>
      <c r="Q163" s="5">
        <v>0.27497653853827403</v>
      </c>
      <c r="R163" s="6">
        <f>P163/Q163</f>
        <v>8.8601742436288333</v>
      </c>
    </row>
    <row r="164" spans="1:18" x14ac:dyDescent="0.35">
      <c r="A164" s="9">
        <v>232</v>
      </c>
      <c r="B164" s="5">
        <v>0.25</v>
      </c>
      <c r="C164" s="5">
        <v>6000000</v>
      </c>
      <c r="D164" s="5">
        <v>20</v>
      </c>
      <c r="E164" s="5">
        <v>0.125</v>
      </c>
      <c r="F164" s="5">
        <v>0.15</v>
      </c>
      <c r="G164" s="12">
        <f>(C164*$U$4)/($U$5*$U$3)</f>
        <v>88.16326530612244</v>
      </c>
      <c r="H164" s="11">
        <f>G164*COS(RADIANS(D164))</f>
        <v>82.846369832553549</v>
      </c>
      <c r="I164" s="11">
        <f>G164*SIN(RADIANS(D164))</f>
        <v>30.153612636058952</v>
      </c>
      <c r="J164" s="11">
        <v>0.19020000000000001</v>
      </c>
      <c r="K164" s="19">
        <v>46</v>
      </c>
      <c r="L164" s="12">
        <f>-(F164*G164*$U$3)/J164</f>
        <v>-69.529389042683306</v>
      </c>
      <c r="M164" s="11">
        <f>ABS(L164/$U$6)</f>
        <v>0.20270958904572392</v>
      </c>
      <c r="N164" s="12">
        <f>L164*SIN(RADIANS(K164))</f>
        <v>-50.0152568316322</v>
      </c>
      <c r="O164" s="12">
        <f>L164*COS(RADIANS(K164))</f>
        <v>-48.299172091400045</v>
      </c>
      <c r="P164" s="5">
        <v>2.7882013774534875</v>
      </c>
      <c r="Q164" s="5">
        <v>0.66233766616972645</v>
      </c>
      <c r="R164" s="6">
        <f>P164/Q164</f>
        <v>4.2096373494467709</v>
      </c>
    </row>
    <row r="165" spans="1:18" x14ac:dyDescent="0.35">
      <c r="A165" s="9">
        <v>164</v>
      </c>
      <c r="B165" s="5">
        <v>0.1</v>
      </c>
      <c r="C165" s="5">
        <v>2000000</v>
      </c>
      <c r="D165" s="5">
        <v>20</v>
      </c>
      <c r="E165" s="5">
        <v>0.125</v>
      </c>
      <c r="F165" s="5">
        <v>2.5000000000000001E-2</v>
      </c>
      <c r="G165" s="12">
        <f>(C165*$U$4)/($U$5*$U$3)</f>
        <v>29.387755102040813</v>
      </c>
      <c r="H165" s="11">
        <f>G165*COS(RADIANS(D165))</f>
        <v>27.615456610851183</v>
      </c>
      <c r="I165" s="11">
        <f>G165*SIN(RADIANS(D165))</f>
        <v>10.051204212019652</v>
      </c>
      <c r="J165" s="12">
        <v>0.1658</v>
      </c>
      <c r="K165" s="12">
        <v>69</v>
      </c>
      <c r="L165" s="12">
        <f>-(F165*G165*$U$3)/J165</f>
        <v>-4.4312055340833556</v>
      </c>
      <c r="M165" s="11">
        <f>ABS(L165/$U$6)</f>
        <v>1.2918966571671591E-2</v>
      </c>
      <c r="N165" s="12">
        <f>L165*SIN(RADIANS(K165))</f>
        <v>-4.1368867524062995</v>
      </c>
      <c r="O165" s="12">
        <f>L165*COS(RADIANS(K165))</f>
        <v>-1.5880020412632398</v>
      </c>
      <c r="P165" s="5">
        <v>1.3107021091486941</v>
      </c>
      <c r="Q165" s="5">
        <v>0.68697240444030117</v>
      </c>
      <c r="R165" s="6">
        <f>P165/Q165</f>
        <v>1.9079399706259903</v>
      </c>
    </row>
    <row r="166" spans="1:18" x14ac:dyDescent="0.35">
      <c r="A166" s="9">
        <v>165</v>
      </c>
      <c r="B166" s="5">
        <v>0.5</v>
      </c>
      <c r="C166" s="5">
        <v>4000000</v>
      </c>
      <c r="D166" s="5">
        <v>0</v>
      </c>
      <c r="E166" s="5">
        <v>0.375</v>
      </c>
      <c r="F166" s="5">
        <v>3.5000000000000003E-2</v>
      </c>
      <c r="G166" s="12">
        <f>(C166*$U$4)/($U$5*$U$3)</f>
        <v>58.775510204081627</v>
      </c>
      <c r="H166" s="11">
        <f>G166*COS(RADIANS(D166))</f>
        <v>58.775510204081627</v>
      </c>
      <c r="I166" s="11">
        <f>G166*SIN(RADIANS(D166))</f>
        <v>0</v>
      </c>
      <c r="J166" s="12">
        <v>0.24809999999999999</v>
      </c>
      <c r="K166" s="12">
        <v>67</v>
      </c>
      <c r="L166" s="12">
        <f>-(F166*G166*$U$3)/J166</f>
        <v>-8.2915874935221971</v>
      </c>
      <c r="M166" s="11">
        <f>ABS(L166/$U$6)</f>
        <v>2.4173724470910197E-2</v>
      </c>
      <c r="N166" s="12">
        <f>L166*SIN(RADIANS(K166))</f>
        <v>-7.6324465306127376</v>
      </c>
      <c r="O166" s="12">
        <f>L166*COS(RADIANS(K166))</f>
        <v>-3.2397813383114764</v>
      </c>
      <c r="P166" s="5">
        <v>3.026456166701434</v>
      </c>
      <c r="Q166" s="5">
        <v>-0.14170644453874831</v>
      </c>
      <c r="R166" s="6">
        <f>P166/Q166</f>
        <v>-21.357223212765582</v>
      </c>
    </row>
    <row r="167" spans="1:18" x14ac:dyDescent="0.35">
      <c r="A167" s="9">
        <v>166</v>
      </c>
      <c r="B167" s="5">
        <v>0.1</v>
      </c>
      <c r="C167" s="5">
        <v>6000000</v>
      </c>
      <c r="D167" s="5">
        <v>15</v>
      </c>
      <c r="E167" s="5">
        <v>0</v>
      </c>
      <c r="F167" s="5">
        <v>0</v>
      </c>
      <c r="G167" s="12">
        <f>(C167*$U$4)/($U$5*$U$3)</f>
        <v>88.16326530612244</v>
      </c>
      <c r="H167" s="11">
        <f>G167*COS(RADIANS(D167))</f>
        <v>85.159174889158663</v>
      </c>
      <c r="I167" s="11">
        <f>G167*SIN(RADIANS(D167))</f>
        <v>22.818332139650806</v>
      </c>
      <c r="J167" s="11">
        <v>0.16569999999999999</v>
      </c>
      <c r="K167" s="12">
        <v>0</v>
      </c>
      <c r="L167" s="12">
        <f>-(F167*G167*$U$3)/J167</f>
        <v>0</v>
      </c>
      <c r="M167" s="11">
        <f>ABS(L167/$U$6)</f>
        <v>0</v>
      </c>
      <c r="N167" s="12">
        <f>L167*SIN(RADIANS(K167))</f>
        <v>0</v>
      </c>
      <c r="O167" s="12">
        <f>L167*COS(RADIANS(K167))</f>
        <v>0</v>
      </c>
      <c r="P167" s="5">
        <v>1.2195274998934456</v>
      </c>
      <c r="Q167" s="5">
        <v>0.57854583847038821</v>
      </c>
      <c r="R167" s="6">
        <f>P167/Q167</f>
        <v>2.1079185412822996</v>
      </c>
    </row>
    <row r="168" spans="1:18" x14ac:dyDescent="0.35">
      <c r="A168" s="9">
        <v>167</v>
      </c>
      <c r="B168" s="5">
        <v>0.25</v>
      </c>
      <c r="C168" s="5">
        <v>4000000</v>
      </c>
      <c r="D168" s="5">
        <v>20</v>
      </c>
      <c r="E168" s="5">
        <v>0.25</v>
      </c>
      <c r="F168" s="5">
        <v>0</v>
      </c>
      <c r="G168" s="12">
        <f>(C168*$U$4)/($U$5*$U$3)</f>
        <v>58.775510204081627</v>
      </c>
      <c r="H168" s="11">
        <f>G168*COS(RADIANS(D168))</f>
        <v>55.230913221702366</v>
      </c>
      <c r="I168" s="11">
        <f>G168*SIN(RADIANS(D168))</f>
        <v>20.102408424039304</v>
      </c>
      <c r="J168" s="12">
        <v>0.1913</v>
      </c>
      <c r="K168" s="11">
        <v>67</v>
      </c>
      <c r="L168" s="12">
        <f>-(F168*G168*$U$3)/J168</f>
        <v>0</v>
      </c>
      <c r="M168" s="11">
        <f>ABS(L168/$U$6)</f>
        <v>0</v>
      </c>
      <c r="N168" s="12">
        <f>L168*SIN(RADIANS(K168))</f>
        <v>0</v>
      </c>
      <c r="O168" s="12">
        <f>L168*COS(RADIANS(K168))</f>
        <v>0</v>
      </c>
      <c r="P168" s="5">
        <v>2.5813594779021489</v>
      </c>
      <c r="Q168" s="5">
        <v>0.89955509540978229</v>
      </c>
      <c r="R168" s="6">
        <f>P168/Q168</f>
        <v>2.8695957491366766</v>
      </c>
    </row>
    <row r="169" spans="1:18" x14ac:dyDescent="0.35">
      <c r="A169" s="9">
        <v>168</v>
      </c>
      <c r="B169" s="5">
        <v>0.25</v>
      </c>
      <c r="C169" s="5">
        <v>6000000</v>
      </c>
      <c r="D169" s="5">
        <v>20</v>
      </c>
      <c r="E169" s="5">
        <v>0.375</v>
      </c>
      <c r="F169" s="5">
        <v>2.5000000000000001E-2</v>
      </c>
      <c r="G169" s="12">
        <f>(C169*$U$4)/($U$5*$U$3)</f>
        <v>88.16326530612244</v>
      </c>
      <c r="H169" s="11">
        <f>G169*COS(RADIANS(D169))</f>
        <v>82.846369832553549</v>
      </c>
      <c r="I169" s="11">
        <f>G169*SIN(RADIANS(D169))</f>
        <v>30.153612636058952</v>
      </c>
      <c r="J169" s="11">
        <v>0.1976</v>
      </c>
      <c r="K169" s="12">
        <v>78</v>
      </c>
      <c r="L169" s="12">
        <f>-(F169*G169*$U$3)/J169</f>
        <v>-11.154259274560026</v>
      </c>
      <c r="M169" s="11">
        <f>ABS(L169/$U$6)</f>
        <v>3.251970633982515E-2</v>
      </c>
      <c r="N169" s="12">
        <f>L169*SIN(RADIANS(K169))</f>
        <v>-10.910511947373688</v>
      </c>
      <c r="O169" s="12">
        <f>L169*COS(RADIANS(K169))</f>
        <v>-2.3191009055934502</v>
      </c>
      <c r="P169" s="5">
        <v>2.1812382410486606</v>
      </c>
      <c r="Q169" s="5">
        <v>0.63297228722255006</v>
      </c>
      <c r="R169" s="6">
        <f>P169/Q169</f>
        <v>3.4460248656695889</v>
      </c>
    </row>
    <row r="170" spans="1:18" x14ac:dyDescent="0.35">
      <c r="A170" s="9">
        <v>1019</v>
      </c>
      <c r="B170" s="5">
        <v>0.25</v>
      </c>
      <c r="C170" s="5">
        <v>6000000</v>
      </c>
      <c r="D170" s="5">
        <v>30</v>
      </c>
      <c r="E170" s="5">
        <v>0.125</v>
      </c>
      <c r="F170" s="5">
        <v>0.15</v>
      </c>
      <c r="G170" s="12">
        <f>(C170*$U$4)/($U$5*$U$3)</f>
        <v>88.16326530612244</v>
      </c>
      <c r="H170" s="11">
        <f>G170*COS(RADIANS(D170))</f>
        <v>76.351627435689281</v>
      </c>
      <c r="I170" s="11">
        <f>G170*SIN(RADIANS(D170))</f>
        <v>44.081632653061213</v>
      </c>
      <c r="J170" s="20">
        <v>0.19020000000000001</v>
      </c>
      <c r="K170" s="12">
        <v>46</v>
      </c>
      <c r="L170" s="12">
        <f>-(F170*G170*$U$3)/J170</f>
        <v>-69.529389042683306</v>
      </c>
      <c r="M170" s="11">
        <f>ABS(L170/$U$6)</f>
        <v>0.20270958904572392</v>
      </c>
      <c r="N170" s="12">
        <f>L170*SIN(RADIANS(K170))</f>
        <v>-50.0152568316322</v>
      </c>
      <c r="O170" s="12">
        <f>L170*COS(RADIANS(K170))</f>
        <v>-48.299172091400045</v>
      </c>
      <c r="P170" s="5">
        <v>2.9263299608233599</v>
      </c>
      <c r="Q170" s="5">
        <v>0.9898491100319341</v>
      </c>
      <c r="R170" s="6">
        <f>P170/Q170</f>
        <v>2.9563394371582068</v>
      </c>
    </row>
    <row r="171" spans="1:18" x14ac:dyDescent="0.35">
      <c r="A171" s="9">
        <v>170</v>
      </c>
      <c r="B171" s="5">
        <v>0.5</v>
      </c>
      <c r="C171" s="5">
        <v>6000000</v>
      </c>
      <c r="D171" s="5">
        <v>20</v>
      </c>
      <c r="E171" s="5">
        <v>0.375</v>
      </c>
      <c r="F171" s="5">
        <v>3.5000000000000003E-2</v>
      </c>
      <c r="G171" s="12">
        <f>(C171*$U$4)/($U$5*$U$3)</f>
        <v>88.16326530612244</v>
      </c>
      <c r="H171" s="11">
        <f>G171*COS(RADIANS(D171))</f>
        <v>82.846369832553549</v>
      </c>
      <c r="I171" s="11">
        <f>G171*SIN(RADIANS(D171))</f>
        <v>30.153612636058952</v>
      </c>
      <c r="J171" s="12">
        <v>0.24809999999999999</v>
      </c>
      <c r="K171" s="12">
        <v>67</v>
      </c>
      <c r="L171" s="12">
        <f>-(F171*G171*$U$3)/J171</f>
        <v>-12.437381240283298</v>
      </c>
      <c r="M171" s="11">
        <f>ABS(L171/$U$6)</f>
        <v>3.6260586706365297E-2</v>
      </c>
      <c r="N171" s="12">
        <f>L171*SIN(RADIANS(K171))</f>
        <v>-11.448669795919107</v>
      </c>
      <c r="O171" s="12">
        <f>L171*COS(RADIANS(K171))</f>
        <v>-4.8596720074672159</v>
      </c>
      <c r="P171" s="5">
        <v>3.3701101433075884</v>
      </c>
      <c r="Q171" s="5">
        <v>0.69497473164017287</v>
      </c>
      <c r="R171" s="6">
        <f>P171/Q171</f>
        <v>4.8492556489844905</v>
      </c>
    </row>
    <row r="172" spans="1:18" x14ac:dyDescent="0.35">
      <c r="A172" s="9">
        <v>171</v>
      </c>
      <c r="B172" s="5">
        <v>0.1</v>
      </c>
      <c r="C172" s="5">
        <v>4000000</v>
      </c>
      <c r="D172" s="5">
        <v>0</v>
      </c>
      <c r="E172" s="5">
        <v>0.375</v>
      </c>
      <c r="F172" s="5">
        <v>1.4999999999999999E-2</v>
      </c>
      <c r="G172" s="12">
        <f>(C172*$U$4)/($U$5*$U$3)</f>
        <v>58.775510204081627</v>
      </c>
      <c r="H172" s="11">
        <f>G172*COS(RADIANS(D172))</f>
        <v>58.775510204081627</v>
      </c>
      <c r="I172" s="11">
        <f>G172*SIN(RADIANS(D172))</f>
        <v>0</v>
      </c>
      <c r="J172" s="12">
        <v>0.16789999999999999</v>
      </c>
      <c r="K172" s="11">
        <v>85</v>
      </c>
      <c r="L172" s="12">
        <f>-(F172*G172*$U$3)/J172</f>
        <v>-5.2509389699894244</v>
      </c>
      <c r="M172" s="11">
        <f>ABS(L172/$U$6)</f>
        <v>1.5308859970814648E-2</v>
      </c>
      <c r="N172" s="12">
        <f>L172*SIN(RADIANS(K172))</f>
        <v>-5.2309575619067958</v>
      </c>
      <c r="O172" s="12">
        <f>L172*COS(RADIANS(K172))</f>
        <v>-0.45764948605205125</v>
      </c>
      <c r="P172" s="5">
        <v>1.4114241626469755</v>
      </c>
      <c r="Q172" s="5">
        <v>0.20306452158843158</v>
      </c>
      <c r="R172" s="6">
        <f>P172/Q172</f>
        <v>6.9506192002738461</v>
      </c>
    </row>
    <row r="173" spans="1:18" x14ac:dyDescent="0.35">
      <c r="A173" s="9">
        <v>172</v>
      </c>
      <c r="B173" s="5">
        <v>0.75</v>
      </c>
      <c r="C173" s="5">
        <v>6000000</v>
      </c>
      <c r="D173" s="5">
        <v>5</v>
      </c>
      <c r="E173" s="5">
        <v>0</v>
      </c>
      <c r="F173" s="5">
        <v>1.4999999999999999E-2</v>
      </c>
      <c r="G173" s="12">
        <f>(C173*$U$4)/($U$5*$U$3)</f>
        <v>88.16326530612244</v>
      </c>
      <c r="H173" s="11">
        <f>G173*COS(RADIANS(D173))</f>
        <v>87.827777464415107</v>
      </c>
      <c r="I173" s="11">
        <f>G173*SIN(RADIANS(D173))</f>
        <v>7.6839348708139434</v>
      </c>
      <c r="J173" s="11">
        <v>0.27929999999999999</v>
      </c>
      <c r="K173" s="12">
        <v>0</v>
      </c>
      <c r="L173" s="12">
        <f>-(F173*G173*$U$3)/J173</f>
        <v>-4.7348692430785411</v>
      </c>
      <c r="M173" s="11">
        <f>ABS(L173/$U$6)</f>
        <v>1.3804283507517612E-2</v>
      </c>
      <c r="N173" s="12">
        <f>L173*SIN(RADIANS(K173))</f>
        <v>0</v>
      </c>
      <c r="O173" s="12">
        <f>L173*COS(RADIANS(K173))</f>
        <v>-4.7348692430785411</v>
      </c>
      <c r="P173" s="5">
        <v>2.6866674472269603</v>
      </c>
      <c r="Q173" s="5">
        <v>1.0749521036706091</v>
      </c>
      <c r="R173" s="6">
        <f>P173/Q173</f>
        <v>2.4993368895719832</v>
      </c>
    </row>
    <row r="174" spans="1:18" x14ac:dyDescent="0.35">
      <c r="A174" s="9">
        <v>173</v>
      </c>
      <c r="B174" s="5">
        <v>0.5</v>
      </c>
      <c r="C174" s="5">
        <v>2000000</v>
      </c>
      <c r="D174" s="5">
        <v>20</v>
      </c>
      <c r="E174" s="5">
        <v>0.125</v>
      </c>
      <c r="F174" s="5">
        <v>1.4999999999999999E-2</v>
      </c>
      <c r="G174" s="12">
        <f>(C174*$U$4)/($U$5*$U$3)</f>
        <v>29.387755102040813</v>
      </c>
      <c r="H174" s="11">
        <f>G174*COS(RADIANS(D174))</f>
        <v>27.615456610851183</v>
      </c>
      <c r="I174" s="11">
        <f>G174*SIN(RADIANS(D174))</f>
        <v>10.051204212019652</v>
      </c>
      <c r="J174" s="12">
        <v>0.23300000000000001</v>
      </c>
      <c r="K174" s="11">
        <v>27</v>
      </c>
      <c r="L174" s="12">
        <f>-(F174*G174*$U$3)/J174</f>
        <v>-1.8919155645090651</v>
      </c>
      <c r="M174" s="11">
        <f>ABS(L174/$U$6)</f>
        <v>5.5157888178106853E-3</v>
      </c>
      <c r="N174" s="12">
        <f>L174*SIN(RADIANS(K174))</f>
        <v>-0.85891169259649713</v>
      </c>
      <c r="O174" s="12">
        <f>L174*COS(RADIANS(K174))</f>
        <v>-1.685709111191096</v>
      </c>
      <c r="P174" s="5">
        <v>3.2842223500944141</v>
      </c>
      <c r="Q174" s="5">
        <v>0.96085885426217688</v>
      </c>
      <c r="R174" s="6">
        <f>P174/Q174</f>
        <v>3.4180070626671788</v>
      </c>
    </row>
    <row r="175" spans="1:18" x14ac:dyDescent="0.35">
      <c r="A175" s="9">
        <v>1391</v>
      </c>
      <c r="B175" s="5">
        <v>0.25</v>
      </c>
      <c r="C175" s="5">
        <v>6000000</v>
      </c>
      <c r="D175" s="5">
        <v>10</v>
      </c>
      <c r="E175" s="5">
        <v>0.125</v>
      </c>
      <c r="F175" s="5">
        <v>0.15</v>
      </c>
      <c r="G175" s="12">
        <f>(C175*$U$4)/($U$5*$U$3)</f>
        <v>88.16326530612244</v>
      </c>
      <c r="H175" s="11">
        <f>G175*COS(RADIANS(D175))</f>
        <v>86.823867204341596</v>
      </c>
      <c r="I175" s="11">
        <f>G175*SIN(RADIANS(D175))</f>
        <v>15.309390357574264</v>
      </c>
      <c r="J175" s="20">
        <v>0.19020000000000001</v>
      </c>
      <c r="K175" s="12">
        <v>46</v>
      </c>
      <c r="L175" s="12">
        <f>-(F175*G175*$U$3)/J175</f>
        <v>-69.529389042683306</v>
      </c>
      <c r="M175" s="11">
        <f>ABS(L175/$U$6)</f>
        <v>0.20270958904572392</v>
      </c>
      <c r="N175" s="12">
        <f>L175*SIN(RADIANS(K175))</f>
        <v>-50.0152568316322</v>
      </c>
      <c r="O175" s="12">
        <f>L175*COS(RADIANS(K175))</f>
        <v>-48.299172091400045</v>
      </c>
      <c r="P175" s="5">
        <v>2.6995116539440724</v>
      </c>
      <c r="Q175" s="5">
        <v>0.35017869420671038</v>
      </c>
      <c r="R175" s="6">
        <f>P175/Q175</f>
        <v>7.7089545954801908</v>
      </c>
    </row>
    <row r="176" spans="1:18" x14ac:dyDescent="0.35">
      <c r="A176" s="9">
        <v>175</v>
      </c>
      <c r="B176" s="5">
        <v>1</v>
      </c>
      <c r="C176" s="5">
        <v>4000000</v>
      </c>
      <c r="D176" s="5">
        <v>20</v>
      </c>
      <c r="E176" s="5">
        <v>0.375</v>
      </c>
      <c r="F176" s="5">
        <v>3.5000000000000003E-2</v>
      </c>
      <c r="G176" s="12">
        <f>(C176*$U$4)/($U$5*$U$3)</f>
        <v>58.775510204081627</v>
      </c>
      <c r="H176" s="11">
        <f>G176*COS(RADIANS(D176))</f>
        <v>55.230913221702366</v>
      </c>
      <c r="I176" s="11">
        <f>G176*SIN(RADIANS(D176))</f>
        <v>20.102408424039304</v>
      </c>
      <c r="J176" s="12">
        <v>0.33379999999999999</v>
      </c>
      <c r="K176" s="11">
        <v>49</v>
      </c>
      <c r="L176" s="12">
        <f>-(F176*G176*$U$3)/J176</f>
        <v>-6.1628006505178465</v>
      </c>
      <c r="M176" s="11">
        <f>ABS(L176/$U$6)</f>
        <v>1.7967348835328998E-2</v>
      </c>
      <c r="N176" s="12">
        <f>L176*SIN(RADIANS(K176))</f>
        <v>-4.65112469194895</v>
      </c>
      <c r="O176" s="12">
        <f>L176*COS(RADIANS(K176))</f>
        <v>-4.0431610106408051</v>
      </c>
      <c r="P176" s="5">
        <v>5.0376078231160726</v>
      </c>
      <c r="Q176" s="5">
        <v>0.80215992925118162</v>
      </c>
      <c r="R176" s="6">
        <f>P176/Q176</f>
        <v>6.2800541879705865</v>
      </c>
    </row>
    <row r="177" spans="1:18" x14ac:dyDescent="0.35">
      <c r="A177" s="9">
        <v>176</v>
      </c>
      <c r="B177" s="5">
        <v>0.5</v>
      </c>
      <c r="C177" s="5">
        <v>2000000</v>
      </c>
      <c r="D177" s="5">
        <v>5</v>
      </c>
      <c r="E177" s="5">
        <v>0.125</v>
      </c>
      <c r="F177" s="5">
        <v>2.5000000000000001E-2</v>
      </c>
      <c r="G177" s="12">
        <f>(C177*$U$4)/($U$5*$U$3)</f>
        <v>29.387755102040813</v>
      </c>
      <c r="H177" s="11">
        <f>G177*COS(RADIANS(D177))</f>
        <v>29.275925821471702</v>
      </c>
      <c r="I177" s="11">
        <f>G177*SIN(RADIANS(D177))</f>
        <v>2.5613116236046478</v>
      </c>
      <c r="J177" s="12">
        <v>0.23300000000000001</v>
      </c>
      <c r="K177" s="11">
        <v>27</v>
      </c>
      <c r="L177" s="12">
        <f>-(F177*G177*$U$3)/J177</f>
        <v>-3.1531926075151087</v>
      </c>
      <c r="M177" s="11">
        <f>ABS(L177/$U$6)</f>
        <v>9.1929813630178096E-3</v>
      </c>
      <c r="N177" s="12">
        <f>L177*SIN(RADIANS(K177))</f>
        <v>-1.4315194876608286</v>
      </c>
      <c r="O177" s="12">
        <f>L177*COS(RADIANS(K177))</f>
        <v>-2.8095151853184936</v>
      </c>
      <c r="P177" s="5">
        <v>3.7678878403609852</v>
      </c>
      <c r="Q177" s="5">
        <v>0.3706407466978161</v>
      </c>
      <c r="R177" s="6">
        <f>P177/Q177</f>
        <v>10.165875916046947</v>
      </c>
    </row>
    <row r="178" spans="1:18" x14ac:dyDescent="0.35">
      <c r="A178" s="9">
        <v>177</v>
      </c>
      <c r="B178" s="5">
        <v>0.25</v>
      </c>
      <c r="C178" s="5">
        <v>2000000</v>
      </c>
      <c r="D178" s="5">
        <v>30</v>
      </c>
      <c r="E178" s="5">
        <v>0</v>
      </c>
      <c r="F178" s="5">
        <v>0.05</v>
      </c>
      <c r="G178" s="12">
        <f>(C178*$U$4)/($U$5*$U$3)</f>
        <v>29.387755102040813</v>
      </c>
      <c r="H178" s="11">
        <f>G178*COS(RADIANS(D178))</f>
        <v>25.450542478563094</v>
      </c>
      <c r="I178" s="11">
        <f>G178*SIN(RADIANS(D178))</f>
        <v>14.693877551020405</v>
      </c>
      <c r="J178" s="12">
        <v>0.18990000000000001</v>
      </c>
      <c r="K178" s="12">
        <v>0</v>
      </c>
      <c r="L178" s="12">
        <f>-(F178*G178*$U$3)/J178</f>
        <v>-7.73769223329142</v>
      </c>
      <c r="M178" s="11">
        <f>ABS(L178/$U$6)</f>
        <v>2.2558869484814635E-2</v>
      </c>
      <c r="N178" s="12">
        <f>L178*SIN(RADIANS(K178))</f>
        <v>0</v>
      </c>
      <c r="O178" s="12">
        <f>L178*COS(RADIANS(K178))</f>
        <v>-7.73769223329142</v>
      </c>
      <c r="P178" s="5">
        <v>2.3748690385691003</v>
      </c>
      <c r="Q178" s="5">
        <v>0.89859194611883364</v>
      </c>
      <c r="R178" s="6">
        <f>P178/Q178</f>
        <v>2.642878170482776</v>
      </c>
    </row>
    <row r="179" spans="1:18" x14ac:dyDescent="0.35">
      <c r="A179" s="9">
        <v>178</v>
      </c>
      <c r="B179" s="5">
        <v>0.5</v>
      </c>
      <c r="C179" s="5">
        <v>4000000</v>
      </c>
      <c r="D179" s="5">
        <v>0</v>
      </c>
      <c r="E179" s="5">
        <v>0.25</v>
      </c>
      <c r="F179" s="5">
        <v>2.5000000000000001E-2</v>
      </c>
      <c r="G179" s="12">
        <f>(C179*$U$4)/($U$5*$U$3)</f>
        <v>58.775510204081627</v>
      </c>
      <c r="H179" s="11">
        <f>G179*COS(RADIANS(D179))</f>
        <v>58.775510204081627</v>
      </c>
      <c r="I179" s="11">
        <f>G179*SIN(RADIANS(D179))</f>
        <v>0</v>
      </c>
      <c r="J179" s="11">
        <v>0.23580000000000001</v>
      </c>
      <c r="K179" s="11">
        <v>49</v>
      </c>
      <c r="L179" s="12">
        <f>-(F179*G179*$U$3)/J179</f>
        <v>-6.2315002336812579</v>
      </c>
      <c r="M179" s="11">
        <f>ABS(L179/$U$6)</f>
        <v>1.8167639165251482E-2</v>
      </c>
      <c r="N179" s="12">
        <f>L179*SIN(RADIANS(K179))</f>
        <v>-4.7029729255196875</v>
      </c>
      <c r="O179" s="12">
        <f>L179*COS(RADIANS(K179))</f>
        <v>-4.0882319924630455</v>
      </c>
      <c r="P179" s="5">
        <v>3.8042359907421734</v>
      </c>
      <c r="Q179" s="5">
        <v>-0.10195854221790607</v>
      </c>
      <c r="R179" s="6">
        <f>P179/Q179</f>
        <v>-37.311596537068468</v>
      </c>
    </row>
    <row r="180" spans="1:18" x14ac:dyDescent="0.35">
      <c r="A180" s="9">
        <v>179</v>
      </c>
      <c r="B180" s="5">
        <v>0.25</v>
      </c>
      <c r="C180" s="5">
        <v>2000000</v>
      </c>
      <c r="D180" s="5">
        <v>5</v>
      </c>
      <c r="E180" s="5">
        <v>0</v>
      </c>
      <c r="F180" s="5">
        <v>3.5000000000000003E-2</v>
      </c>
      <c r="G180" s="12">
        <f>(C180*$U$4)/($U$5*$U$3)</f>
        <v>29.387755102040813</v>
      </c>
      <c r="H180" s="11">
        <f>G180*COS(RADIANS(D180))</f>
        <v>29.275925821471702</v>
      </c>
      <c r="I180" s="11">
        <f>G180*SIN(RADIANS(D180))</f>
        <v>2.5613116236046478</v>
      </c>
      <c r="J180" s="12">
        <v>0.18990000000000001</v>
      </c>
      <c r="K180" s="12">
        <v>0</v>
      </c>
      <c r="L180" s="12">
        <f>-(F180*G180*$U$3)/J180</f>
        <v>-5.4163845633039935</v>
      </c>
      <c r="M180" s="11">
        <f>ABS(L180/$U$6)</f>
        <v>1.5791208639370245E-2</v>
      </c>
      <c r="N180" s="12">
        <f>L180*SIN(RADIANS(K180))</f>
        <v>0</v>
      </c>
      <c r="O180" s="12">
        <f>L180*COS(RADIANS(K180))</f>
        <v>-5.4163845633039935</v>
      </c>
      <c r="P180" s="5">
        <v>2.1087851428454449</v>
      </c>
      <c r="Q180" s="5">
        <v>0.30388807786425565</v>
      </c>
      <c r="R180" s="6">
        <f>P180/Q180</f>
        <v>6.9393480575681625</v>
      </c>
    </row>
    <row r="181" spans="1:18" x14ac:dyDescent="0.35">
      <c r="A181" s="9">
        <v>180</v>
      </c>
      <c r="B181" s="5">
        <v>1</v>
      </c>
      <c r="C181" s="5">
        <v>2000000</v>
      </c>
      <c r="D181" s="5">
        <v>20</v>
      </c>
      <c r="E181" s="5">
        <v>0</v>
      </c>
      <c r="F181" s="5">
        <v>0.05</v>
      </c>
      <c r="G181" s="12">
        <f>(C181*$U$4)/($U$5*$U$3)</f>
        <v>29.387755102040813</v>
      </c>
      <c r="H181" s="11">
        <f>G181*COS(RADIANS(D181))</f>
        <v>27.615456610851183</v>
      </c>
      <c r="I181" s="11">
        <f>G181*SIN(RADIANS(D181))</f>
        <v>10.051204212019652</v>
      </c>
      <c r="J181" s="11">
        <v>0.33379999999999999</v>
      </c>
      <c r="K181" s="12">
        <v>0</v>
      </c>
      <c r="L181" s="12">
        <f>-(F181*G181*$U$3)/J181</f>
        <v>-4.4020004646556048</v>
      </c>
      <c r="M181" s="11">
        <f>ABS(L181/$U$6)</f>
        <v>1.283382059666357E-2</v>
      </c>
      <c r="N181" s="12">
        <f>L181*SIN(RADIANS(K181))</f>
        <v>0</v>
      </c>
      <c r="O181" s="12">
        <f>L181*COS(RADIANS(K181))</f>
        <v>-4.4020004646556048</v>
      </c>
      <c r="P181" s="5">
        <v>0.89070061860660665</v>
      </c>
      <c r="Q181" s="5">
        <v>1.8342294393026946</v>
      </c>
      <c r="R181" s="6">
        <f>P181/Q181</f>
        <v>0.48559934734512694</v>
      </c>
    </row>
    <row r="182" spans="1:18" x14ac:dyDescent="0.35">
      <c r="A182" s="9">
        <v>181</v>
      </c>
      <c r="B182" s="5">
        <v>0.75</v>
      </c>
      <c r="C182" s="5">
        <v>6000000</v>
      </c>
      <c r="D182" s="5">
        <v>15</v>
      </c>
      <c r="E182" s="5">
        <v>0.25</v>
      </c>
      <c r="F182" s="5">
        <v>0.1</v>
      </c>
      <c r="G182" s="12">
        <f>(C182*$U$4)/($U$5*$U$3)</f>
        <v>88.16326530612244</v>
      </c>
      <c r="H182" s="11">
        <f>G182*COS(RADIANS(D182))</f>
        <v>85.159174889158663</v>
      </c>
      <c r="I182" s="11">
        <f>G182*SIN(RADIANS(D182))</f>
        <v>22.818332139650806</v>
      </c>
      <c r="J182" s="12">
        <v>0.28370000000000001</v>
      </c>
      <c r="K182" s="11">
        <v>38</v>
      </c>
      <c r="L182" s="12">
        <f>-(F182*G182*$U$3)/J182</f>
        <v>-31.076230280621232</v>
      </c>
      <c r="M182" s="11">
        <f>ABS(L182/$U$6)</f>
        <v>9.0601254462452568E-2</v>
      </c>
      <c r="N182" s="12">
        <f>L182*SIN(RADIANS(K182))</f>
        <v>-19.132437782127163</v>
      </c>
      <c r="O182" s="12">
        <f>L182*COS(RADIANS(K182))</f>
        <v>-24.488403642688368</v>
      </c>
      <c r="P182" s="5">
        <v>4.6788092424177519</v>
      </c>
      <c r="Q182" s="5">
        <v>0.42993101898606129</v>
      </c>
      <c r="R182" s="6">
        <f>P182/Q182</f>
        <v>10.882697539368385</v>
      </c>
    </row>
    <row r="183" spans="1:18" x14ac:dyDescent="0.35">
      <c r="A183" s="9">
        <v>182</v>
      </c>
      <c r="B183" s="5">
        <v>0.5</v>
      </c>
      <c r="C183" s="5">
        <v>4000000</v>
      </c>
      <c r="D183" s="5">
        <v>15</v>
      </c>
      <c r="E183" s="5">
        <v>0.125</v>
      </c>
      <c r="F183" s="5">
        <v>0</v>
      </c>
      <c r="G183" s="12">
        <f>(C183*$U$4)/($U$5*$U$3)</f>
        <v>58.775510204081627</v>
      </c>
      <c r="H183" s="11">
        <f>G183*COS(RADIANS(D183))</f>
        <v>56.772783259439109</v>
      </c>
      <c r="I183" s="11">
        <f>G183*SIN(RADIANS(D183))</f>
        <v>15.212221426433871</v>
      </c>
      <c r="J183" s="12">
        <v>0.23300000000000001</v>
      </c>
      <c r="K183" s="11">
        <v>27</v>
      </c>
      <c r="L183" s="12">
        <f>-(F183*G183*$U$3)/J183</f>
        <v>0</v>
      </c>
      <c r="M183" s="11">
        <f>ABS(L183/$U$6)</f>
        <v>0</v>
      </c>
      <c r="N183" s="12">
        <f>L183*SIN(RADIANS(K183))</f>
        <v>0</v>
      </c>
      <c r="O183" s="12">
        <f>L183*COS(RADIANS(K183))</f>
        <v>0</v>
      </c>
      <c r="P183" s="5">
        <v>3.8787119580347795</v>
      </c>
      <c r="Q183" s="5">
        <v>1.1436475030930267</v>
      </c>
      <c r="R183" s="6">
        <f>P183/Q183</f>
        <v>3.3915275008642913</v>
      </c>
    </row>
    <row r="184" spans="1:18" x14ac:dyDescent="0.35">
      <c r="A184" s="9">
        <v>183</v>
      </c>
      <c r="B184" s="5">
        <v>0.5</v>
      </c>
      <c r="C184" s="5">
        <v>4000000</v>
      </c>
      <c r="D184" s="5">
        <v>20</v>
      </c>
      <c r="E184" s="5">
        <v>0.125</v>
      </c>
      <c r="F184" s="5">
        <v>2.5000000000000001E-2</v>
      </c>
      <c r="G184" s="12">
        <f>(C184*$U$4)/($U$5*$U$3)</f>
        <v>58.775510204081627</v>
      </c>
      <c r="H184" s="11">
        <f>G184*COS(RADIANS(D184))</f>
        <v>55.230913221702366</v>
      </c>
      <c r="I184" s="11">
        <f>G184*SIN(RADIANS(D184))</f>
        <v>20.102408424039304</v>
      </c>
      <c r="J184" s="12">
        <v>0.23300000000000001</v>
      </c>
      <c r="K184" s="11">
        <v>27</v>
      </c>
      <c r="L184" s="12">
        <f>-(F184*G184*$U$3)/J184</f>
        <v>-6.3063852150302173</v>
      </c>
      <c r="M184" s="11">
        <f>ABS(L184/$U$6)</f>
        <v>1.8385962726035619E-2</v>
      </c>
      <c r="N184" s="12">
        <f>L184*SIN(RADIANS(K184))</f>
        <v>-2.8630389753216572</v>
      </c>
      <c r="O184" s="12">
        <f>L184*COS(RADIANS(K184))</f>
        <v>-5.6190303706369873</v>
      </c>
      <c r="P184" s="5">
        <v>3.4511912275989602</v>
      </c>
      <c r="Q184" s="5">
        <v>0.95013493304833052</v>
      </c>
      <c r="R184" s="6">
        <f>P184/Q184</f>
        <v>3.6323169557890664</v>
      </c>
    </row>
    <row r="185" spans="1:18" x14ac:dyDescent="0.35">
      <c r="A185" s="9">
        <v>184</v>
      </c>
      <c r="B185" s="5">
        <v>0.25</v>
      </c>
      <c r="C185" s="5">
        <v>2000000</v>
      </c>
      <c r="D185" s="5">
        <v>0</v>
      </c>
      <c r="E185" s="5">
        <v>0</v>
      </c>
      <c r="F185" s="5">
        <v>0.1</v>
      </c>
      <c r="G185" s="12">
        <f>(C185*$U$4)/($U$5*$U$3)</f>
        <v>29.387755102040813</v>
      </c>
      <c r="H185" s="11">
        <f>G185*COS(RADIANS(D185))</f>
        <v>29.387755102040813</v>
      </c>
      <c r="I185" s="11">
        <f>G185*SIN(RADIANS(D185))</f>
        <v>0</v>
      </c>
      <c r="J185" s="12">
        <v>0.18990000000000001</v>
      </c>
      <c r="K185" s="12">
        <v>0</v>
      </c>
      <c r="L185" s="12">
        <f>-(F185*G185*$U$3)/J185</f>
        <v>-15.47538446658284</v>
      </c>
      <c r="M185" s="11">
        <f>ABS(L185/$U$6)</f>
        <v>4.511773896962927E-2</v>
      </c>
      <c r="N185" s="12">
        <f>L185*SIN(RADIANS(K185))</f>
        <v>0</v>
      </c>
      <c r="O185" s="12">
        <f>L185*COS(RADIANS(K185))</f>
        <v>-15.47538446658284</v>
      </c>
      <c r="P185" s="5">
        <v>2.2356056724828419</v>
      </c>
      <c r="Q185" s="5">
        <v>8.824151865871134E-2</v>
      </c>
      <c r="R185" s="6">
        <f>P185/Q185</f>
        <v>25.335077030229005</v>
      </c>
    </row>
    <row r="186" spans="1:18" x14ac:dyDescent="0.35">
      <c r="A186" s="9">
        <v>185</v>
      </c>
      <c r="B186" s="5">
        <v>0.5</v>
      </c>
      <c r="C186" s="5">
        <v>6000000</v>
      </c>
      <c r="D186" s="5">
        <v>10</v>
      </c>
      <c r="E186" s="5">
        <v>0.375</v>
      </c>
      <c r="F186" s="5">
        <v>2.5000000000000001E-2</v>
      </c>
      <c r="G186" s="12">
        <f>(C186*$U$4)/($U$5*$U$3)</f>
        <v>88.16326530612244</v>
      </c>
      <c r="H186" s="11">
        <f>G186*COS(RADIANS(D186))</f>
        <v>86.823867204341596</v>
      </c>
      <c r="I186" s="11">
        <f>G186*SIN(RADIANS(D186))</f>
        <v>15.309390357574264</v>
      </c>
      <c r="J186" s="12">
        <v>0.24809999999999999</v>
      </c>
      <c r="K186" s="12">
        <v>67</v>
      </c>
      <c r="L186" s="12">
        <f>-(F186*G186*$U$3)/J186</f>
        <v>-8.8838437430594972</v>
      </c>
      <c r="M186" s="11">
        <f>ABS(L186/$U$6)</f>
        <v>2.590041907597521E-2</v>
      </c>
      <c r="N186" s="12">
        <f>L186*SIN(RADIANS(K186))</f>
        <v>-8.1776212827993611</v>
      </c>
      <c r="O186" s="12">
        <f>L186*COS(RADIANS(K186))</f>
        <v>-3.4711942910480107</v>
      </c>
      <c r="P186" s="5">
        <v>3.0914906610361146</v>
      </c>
      <c r="Q186" s="5">
        <v>0.27713930142828336</v>
      </c>
      <c r="R186" s="6">
        <f>P186/Q186</f>
        <v>11.155006327516901</v>
      </c>
    </row>
    <row r="187" spans="1:18" x14ac:dyDescent="0.35">
      <c r="A187" s="9">
        <v>186</v>
      </c>
      <c r="B187" s="5">
        <v>0.1</v>
      </c>
      <c r="C187" s="5">
        <v>4000000</v>
      </c>
      <c r="D187" s="5">
        <v>30</v>
      </c>
      <c r="E187" s="5">
        <v>0.375</v>
      </c>
      <c r="F187" s="5">
        <v>2.5000000000000001E-2</v>
      </c>
      <c r="G187" s="12">
        <f>(C187*$U$4)/($U$5*$U$3)</f>
        <v>58.775510204081627</v>
      </c>
      <c r="H187" s="11">
        <f>G187*COS(RADIANS(D187))</f>
        <v>50.901084957126187</v>
      </c>
      <c r="I187" s="11">
        <f>G187*SIN(RADIANS(D187))</f>
        <v>29.38775510204081</v>
      </c>
      <c r="J187" s="12">
        <v>0.16789999999999999</v>
      </c>
      <c r="K187" s="11">
        <v>85</v>
      </c>
      <c r="L187" s="12">
        <f>-(F187*G187*$U$3)/J187</f>
        <v>-8.7515649499823756</v>
      </c>
      <c r="M187" s="11">
        <f>ABS(L187/$U$6)</f>
        <v>2.5514766618024418E-2</v>
      </c>
      <c r="N187" s="12">
        <f>L187*SIN(RADIANS(K187))</f>
        <v>-8.718262603177994</v>
      </c>
      <c r="O187" s="12">
        <f>L187*COS(RADIANS(K187))</f>
        <v>-0.7627491434200856</v>
      </c>
      <c r="P187" s="5">
        <v>1.5012882411960182</v>
      </c>
      <c r="Q187" s="5">
        <v>1.1071671684158251</v>
      </c>
      <c r="R187" s="6">
        <f>P187/Q187</f>
        <v>1.3559725071545572</v>
      </c>
    </row>
    <row r="188" spans="1:18" x14ac:dyDescent="0.35">
      <c r="A188" s="9">
        <v>187</v>
      </c>
      <c r="B188" s="5">
        <v>0.75</v>
      </c>
      <c r="C188" s="5">
        <v>6000000</v>
      </c>
      <c r="D188" s="5">
        <v>15</v>
      </c>
      <c r="E188" s="5">
        <v>0.125</v>
      </c>
      <c r="F188" s="5">
        <v>2.5000000000000001E-2</v>
      </c>
      <c r="G188" s="12">
        <f>(C188*$U$4)/($U$5*$U$3)</f>
        <v>88.16326530612244</v>
      </c>
      <c r="H188" s="11">
        <f>G188*COS(RADIANS(D188))</f>
        <v>85.159174889158663</v>
      </c>
      <c r="I188" s="11">
        <f>G188*SIN(RADIANS(D188))</f>
        <v>22.818332139650806</v>
      </c>
      <c r="J188" s="12">
        <v>0.2802</v>
      </c>
      <c r="K188" s="12">
        <v>19</v>
      </c>
      <c r="L188" s="12">
        <f>-(F188*G188*$U$3)/J188</f>
        <v>-7.8661014727089968</v>
      </c>
      <c r="M188" s="11">
        <f>ABS(L188/$U$6)</f>
        <v>2.2933240445215733E-2</v>
      </c>
      <c r="N188" s="12">
        <f>L188*SIN(RADIANS(K188))</f>
        <v>-2.5609521392425907</v>
      </c>
      <c r="O188" s="12">
        <f>L188*COS(RADIANS(K188))</f>
        <v>-7.4375450599954993</v>
      </c>
      <c r="P188" s="5">
        <v>4.0997110574957221</v>
      </c>
      <c r="Q188" s="5">
        <v>0.82786111299123011</v>
      </c>
      <c r="R188" s="6">
        <f>P188/Q188</f>
        <v>4.9521725240634078</v>
      </c>
    </row>
    <row r="189" spans="1:18" x14ac:dyDescent="0.35">
      <c r="A189" s="9">
        <v>188</v>
      </c>
      <c r="B189" s="5">
        <v>0.75</v>
      </c>
      <c r="C189" s="5">
        <v>2000000</v>
      </c>
      <c r="D189" s="5">
        <v>20</v>
      </c>
      <c r="E189" s="5">
        <v>0.375</v>
      </c>
      <c r="F189" s="5">
        <v>2.5000000000000001E-2</v>
      </c>
      <c r="G189" s="12">
        <f>(C189*$U$4)/($U$5*$U$3)</f>
        <v>29.387755102040813</v>
      </c>
      <c r="H189" s="11">
        <f>G189*COS(RADIANS(D189))</f>
        <v>27.615456610851183</v>
      </c>
      <c r="I189" s="11">
        <f>G189*SIN(RADIANS(D189))</f>
        <v>10.051204212019652</v>
      </c>
      <c r="J189" s="11">
        <v>0.29299999999999998</v>
      </c>
      <c r="K189" s="12">
        <v>57</v>
      </c>
      <c r="L189" s="12">
        <f>-(F189*G189*$U$3)/J189</f>
        <v>-2.5074876366929022</v>
      </c>
      <c r="M189" s="11">
        <f>ABS(L189/$U$6)</f>
        <v>7.31045958219505E-3</v>
      </c>
      <c r="N189" s="12">
        <f>L189*SIN(RADIANS(K189))</f>
        <v>-2.1029560803813654</v>
      </c>
      <c r="O189" s="12">
        <f>L189*COS(RADIANS(K189))</f>
        <v>-1.3656756467605331</v>
      </c>
      <c r="P189" s="5">
        <v>4.3188776909476267</v>
      </c>
      <c r="Q189" s="5">
        <v>0.69367114992566825</v>
      </c>
      <c r="R189" s="6">
        <f>P189/Q189</f>
        <v>6.2261169307825837</v>
      </c>
    </row>
    <row r="190" spans="1:18" x14ac:dyDescent="0.35">
      <c r="A190" s="9">
        <v>189</v>
      </c>
      <c r="B190" s="5">
        <v>0.5</v>
      </c>
      <c r="C190" s="5">
        <v>2000000</v>
      </c>
      <c r="D190" s="5">
        <v>30</v>
      </c>
      <c r="E190" s="5">
        <v>0.125</v>
      </c>
      <c r="F190" s="5">
        <v>1.4999999999999999E-2</v>
      </c>
      <c r="G190" s="12">
        <f>(C190*$U$4)/($U$5*$U$3)</f>
        <v>29.387755102040813</v>
      </c>
      <c r="H190" s="11">
        <f>G190*COS(RADIANS(D190))</f>
        <v>25.450542478563094</v>
      </c>
      <c r="I190" s="11">
        <f>G190*SIN(RADIANS(D190))</f>
        <v>14.693877551020405</v>
      </c>
      <c r="J190" s="12">
        <v>0.23300000000000001</v>
      </c>
      <c r="K190" s="11">
        <v>27</v>
      </c>
      <c r="L190" s="12">
        <f>-(F190*G190*$U$3)/J190</f>
        <v>-1.8919155645090651</v>
      </c>
      <c r="M190" s="11">
        <f>ABS(L190/$U$6)</f>
        <v>5.5157888178106853E-3</v>
      </c>
      <c r="N190" s="12">
        <f>L190*SIN(RADIANS(K190))</f>
        <v>-0.85891169259649713</v>
      </c>
      <c r="O190" s="12">
        <f>L190*COS(RADIANS(K190))</f>
        <v>-1.685709111191096</v>
      </c>
      <c r="P190" s="5">
        <v>2.9613475885575591</v>
      </c>
      <c r="Q190" s="5">
        <v>1.2097645836991564</v>
      </c>
      <c r="R190" s="6">
        <f>P190/Q190</f>
        <v>2.4478709564322849</v>
      </c>
    </row>
    <row r="191" spans="1:18" x14ac:dyDescent="0.35">
      <c r="A191" s="9">
        <v>2030</v>
      </c>
      <c r="B191" s="5">
        <v>0.25</v>
      </c>
      <c r="C191" s="5">
        <v>6000000</v>
      </c>
      <c r="D191" s="5">
        <v>0</v>
      </c>
      <c r="E191" s="5">
        <v>0.125</v>
      </c>
      <c r="F191" s="5">
        <v>0.15</v>
      </c>
      <c r="G191" s="12">
        <f>(C191*$U$4)/($U$5*$U$3)</f>
        <v>88.16326530612244</v>
      </c>
      <c r="H191" s="11">
        <f>G191*COS(RADIANS(D191))</f>
        <v>88.16326530612244</v>
      </c>
      <c r="I191" s="11">
        <f>G191*SIN(RADIANS(D191))</f>
        <v>0</v>
      </c>
      <c r="J191" s="20">
        <v>0.19020000000000001</v>
      </c>
      <c r="K191" s="12">
        <v>46</v>
      </c>
      <c r="L191" s="12">
        <f>-(F191*G191*$U$3)/J191</f>
        <v>-69.529389042683306</v>
      </c>
      <c r="M191" s="11">
        <f>ABS(L191/$U$6)</f>
        <v>0.20270958904572392</v>
      </c>
      <c r="N191" s="12">
        <f>L191*SIN(RADIANS(K191))</f>
        <v>-50.0152568316322</v>
      </c>
      <c r="O191" s="12">
        <f>L191*COS(RADIANS(K191))</f>
        <v>-48.299172091400045</v>
      </c>
      <c r="P191" s="5">
        <v>2.5185658721973088</v>
      </c>
      <c r="Q191" s="5">
        <v>4.8077988334296419E-2</v>
      </c>
      <c r="R191" s="6">
        <f>P191/Q191</f>
        <v>52.385009428539057</v>
      </c>
    </row>
    <row r="192" spans="1:18" x14ac:dyDescent="0.35">
      <c r="A192" s="9">
        <v>191</v>
      </c>
      <c r="B192" s="5">
        <v>0.25</v>
      </c>
      <c r="C192" s="5">
        <v>6000000</v>
      </c>
      <c r="D192" s="5">
        <v>0</v>
      </c>
      <c r="E192" s="5">
        <v>0.25</v>
      </c>
      <c r="F192" s="5">
        <v>0</v>
      </c>
      <c r="G192" s="12">
        <f>(C192*$U$4)/($U$5*$U$3)</f>
        <v>88.16326530612244</v>
      </c>
      <c r="H192" s="11">
        <f>G192*COS(RADIANS(D192))</f>
        <v>88.16326530612244</v>
      </c>
      <c r="I192" s="11">
        <f>G192*SIN(RADIANS(D192))</f>
        <v>0</v>
      </c>
      <c r="J192" s="12">
        <v>0.1913</v>
      </c>
      <c r="K192" s="11">
        <v>67</v>
      </c>
      <c r="L192" s="12">
        <f>-(F192*G192*$U$3)/J192</f>
        <v>0</v>
      </c>
      <c r="M192" s="11">
        <f>ABS(L192/$U$6)</f>
        <v>0</v>
      </c>
      <c r="N192" s="12">
        <f>L192*SIN(RADIANS(K192))</f>
        <v>0</v>
      </c>
      <c r="O192" s="12">
        <f>L192*COS(RADIANS(K192))</f>
        <v>0</v>
      </c>
      <c r="P192" s="5">
        <v>2.4109190512128569</v>
      </c>
      <c r="Q192" s="5">
        <v>0.24159313091071749</v>
      </c>
      <c r="R192" s="6">
        <f>P192/Q192</f>
        <v>9.9792533095811802</v>
      </c>
    </row>
    <row r="193" spans="1:18" x14ac:dyDescent="0.35">
      <c r="A193" s="9">
        <v>192</v>
      </c>
      <c r="B193" s="5">
        <v>1</v>
      </c>
      <c r="C193" s="5">
        <v>4000000</v>
      </c>
      <c r="D193" s="5">
        <v>5</v>
      </c>
      <c r="E193" s="5">
        <v>0.125</v>
      </c>
      <c r="F193" s="5">
        <v>0</v>
      </c>
      <c r="G193" s="12">
        <f>(C193*$U$4)/($U$5*$U$3)</f>
        <v>58.775510204081627</v>
      </c>
      <c r="H193" s="11">
        <f>G193*COS(RADIANS(D193))</f>
        <v>58.551851642943404</v>
      </c>
      <c r="I193" s="11">
        <f>G193*SIN(RADIANS(D193))</f>
        <v>5.1226232472092956</v>
      </c>
      <c r="J193" s="11">
        <v>0.33379999999999999</v>
      </c>
      <c r="K193" s="12">
        <v>14</v>
      </c>
      <c r="L193" s="12">
        <f>-(F193*G193*$U$3)/J193</f>
        <v>0</v>
      </c>
      <c r="M193" s="11">
        <f>ABS(L193/$U$6)</f>
        <v>0</v>
      </c>
      <c r="N193" s="12">
        <f>L193*SIN(RADIANS(K193))</f>
        <v>0</v>
      </c>
      <c r="O193" s="12">
        <f>L193*COS(RADIANS(K193))</f>
        <v>0</v>
      </c>
      <c r="P193" s="5">
        <v>6.1630839266315904</v>
      </c>
      <c r="Q193" s="5">
        <v>1.5524386280050582</v>
      </c>
      <c r="R193" s="6">
        <f>P193/Q193</f>
        <v>3.9699372428985384</v>
      </c>
    </row>
    <row r="194" spans="1:18" x14ac:dyDescent="0.35">
      <c r="A194" s="9">
        <v>75</v>
      </c>
      <c r="B194" s="5">
        <v>0.25</v>
      </c>
      <c r="C194" s="5">
        <v>6000000</v>
      </c>
      <c r="D194" s="5">
        <v>10</v>
      </c>
      <c r="E194" s="5">
        <v>0.25</v>
      </c>
      <c r="F194" s="5">
        <v>0.15</v>
      </c>
      <c r="G194" s="12">
        <f>(C194*$U$4)/($U$5*$U$3)</f>
        <v>88.16326530612244</v>
      </c>
      <c r="H194" s="11">
        <f>G194*COS(RADIANS(D194))</f>
        <v>86.823867204341596</v>
      </c>
      <c r="I194" s="11">
        <f>G194*SIN(RADIANS(D194))</f>
        <v>15.309390357574264</v>
      </c>
      <c r="J194" s="12">
        <v>0.1913</v>
      </c>
      <c r="K194" s="20">
        <v>67</v>
      </c>
      <c r="L194" s="12">
        <f>-(F194*G194*$U$3)/J194</f>
        <v>-69.129585969254393</v>
      </c>
      <c r="M194" s="11">
        <f>ABS(L194/$U$6)</f>
        <v>0.20154398241765129</v>
      </c>
      <c r="N194" s="12">
        <f>L194*SIN(RADIANS(K194))</f>
        <v>-63.634119401856395</v>
      </c>
      <c r="O194" s="12">
        <f>L194*COS(RADIANS(K194))</f>
        <v>-27.011081137763032</v>
      </c>
      <c r="P194" s="5">
        <v>2.9553084493052033</v>
      </c>
      <c r="Q194" s="5">
        <v>0.33887052306564697</v>
      </c>
      <c r="R194" s="6">
        <f>P194/Q194</f>
        <v>8.7210549403044197</v>
      </c>
    </row>
    <row r="195" spans="1:18" x14ac:dyDescent="0.35">
      <c r="A195" s="9">
        <v>194</v>
      </c>
      <c r="B195" s="5">
        <v>0.75</v>
      </c>
      <c r="C195" s="5">
        <v>6000000</v>
      </c>
      <c r="D195" s="5">
        <v>30</v>
      </c>
      <c r="E195" s="5">
        <v>0.125</v>
      </c>
      <c r="F195" s="5">
        <v>0</v>
      </c>
      <c r="G195" s="12">
        <f>(C195*$U$4)/($U$5*$U$3)</f>
        <v>88.16326530612244</v>
      </c>
      <c r="H195" s="11">
        <f>G195*COS(RADIANS(D195))</f>
        <v>76.351627435689281</v>
      </c>
      <c r="I195" s="11">
        <f>G195*SIN(RADIANS(D195))</f>
        <v>44.081632653061213</v>
      </c>
      <c r="J195" s="12">
        <v>0.2802</v>
      </c>
      <c r="K195" s="12">
        <v>19</v>
      </c>
      <c r="L195" s="12">
        <f>-(F195*G195*$U$3)/J195</f>
        <v>0</v>
      </c>
      <c r="M195" s="11">
        <f>ABS(L195/$U$6)</f>
        <v>0</v>
      </c>
      <c r="N195" s="12">
        <f>L195*SIN(RADIANS(K195))</f>
        <v>0</v>
      </c>
      <c r="O195" s="12">
        <f>L195*COS(RADIANS(K195))</f>
        <v>0</v>
      </c>
      <c r="P195" s="5">
        <v>4.4226998715554542</v>
      </c>
      <c r="Q195" s="5">
        <v>2.3907231556806012</v>
      </c>
      <c r="R195" s="6">
        <f>P195/Q195</f>
        <v>1.8499422909117142</v>
      </c>
    </row>
    <row r="196" spans="1:18" x14ac:dyDescent="0.35">
      <c r="A196" s="9">
        <v>195</v>
      </c>
      <c r="B196" s="5">
        <v>0.75</v>
      </c>
      <c r="C196" s="5">
        <v>2000000</v>
      </c>
      <c r="D196" s="5">
        <v>0</v>
      </c>
      <c r="E196" s="5">
        <v>0.25</v>
      </c>
      <c r="F196" s="5">
        <v>0</v>
      </c>
      <c r="G196" s="12">
        <f>(C196*$U$4)/($U$5*$U$3)</f>
        <v>29.387755102040813</v>
      </c>
      <c r="H196" s="11">
        <f>G196*COS(RADIANS(D196))</f>
        <v>29.387755102040813</v>
      </c>
      <c r="I196" s="11">
        <f>G196*SIN(RADIANS(D196))</f>
        <v>0</v>
      </c>
      <c r="J196" s="12">
        <v>0.28370000000000001</v>
      </c>
      <c r="K196" s="11">
        <v>38</v>
      </c>
      <c r="L196" s="12">
        <f>-(F196*G196*$U$3)/J196</f>
        <v>0</v>
      </c>
      <c r="M196" s="11">
        <f>ABS(L196/$U$6)</f>
        <v>0</v>
      </c>
      <c r="N196" s="12">
        <f>L196*SIN(RADIANS(K196))</f>
        <v>0</v>
      </c>
      <c r="O196" s="12">
        <f>L196*COS(RADIANS(K196))</f>
        <v>0</v>
      </c>
      <c r="P196" s="5">
        <v>6.1001014362947865</v>
      </c>
      <c r="Q196" s="5">
        <v>0.48894278992870416</v>
      </c>
      <c r="R196" s="6">
        <f>P196/Q196</f>
        <v>12.476104693525148</v>
      </c>
    </row>
    <row r="197" spans="1:18" x14ac:dyDescent="0.35">
      <c r="A197" s="9">
        <v>196</v>
      </c>
      <c r="B197" s="5">
        <v>0.1</v>
      </c>
      <c r="C197" s="5">
        <v>4000000</v>
      </c>
      <c r="D197" s="5">
        <v>10</v>
      </c>
      <c r="E197" s="5">
        <v>0.25</v>
      </c>
      <c r="F197" s="5">
        <v>0.05</v>
      </c>
      <c r="G197" s="12">
        <f>(C197*$U$4)/($U$5*$U$3)</f>
        <v>58.775510204081627</v>
      </c>
      <c r="H197" s="11">
        <f>G197*COS(RADIANS(D197))</f>
        <v>57.882578136227728</v>
      </c>
      <c r="I197" s="11">
        <f>G197*SIN(RADIANS(D197))</f>
        <v>10.206260238382843</v>
      </c>
      <c r="J197" s="11">
        <v>0.1661</v>
      </c>
      <c r="K197" s="12">
        <v>80</v>
      </c>
      <c r="L197" s="12">
        <f>-(F197*G197*$U$3)/J197</f>
        <v>-17.69280861050019</v>
      </c>
      <c r="M197" s="11">
        <f>ABS(L197/$U$6)</f>
        <v>5.1582532392128837E-2</v>
      </c>
      <c r="N197" s="12">
        <f>L197*SIN(RADIANS(K197))</f>
        <v>-17.42401509218174</v>
      </c>
      <c r="O197" s="12">
        <f>L197*COS(RADIANS(K197))</f>
        <v>-3.0723239730231331</v>
      </c>
      <c r="P197" s="5">
        <v>1.7122571278750949</v>
      </c>
      <c r="Q197" s="5">
        <v>0.49032753508321941</v>
      </c>
      <c r="R197" s="6">
        <f>P197/Q197</f>
        <v>3.4920680674897997</v>
      </c>
    </row>
    <row r="198" spans="1:18" x14ac:dyDescent="0.35">
      <c r="A198" s="9">
        <v>197</v>
      </c>
      <c r="B198" s="5">
        <v>0.75</v>
      </c>
      <c r="C198" s="5">
        <v>2000000</v>
      </c>
      <c r="D198" s="5">
        <v>20</v>
      </c>
      <c r="E198" s="5">
        <v>0</v>
      </c>
      <c r="F198" s="5">
        <v>1.4999999999999999E-2</v>
      </c>
      <c r="G198" s="12">
        <f>(C198*$U$4)/($U$5*$U$3)</f>
        <v>29.387755102040813</v>
      </c>
      <c r="H198" s="11">
        <f>G198*COS(RADIANS(D198))</f>
        <v>27.615456610851183</v>
      </c>
      <c r="I198" s="11">
        <f>G198*SIN(RADIANS(D198))</f>
        <v>10.051204212019652</v>
      </c>
      <c r="J198" s="11">
        <v>0.27929999999999999</v>
      </c>
      <c r="K198" s="12">
        <v>0</v>
      </c>
      <c r="L198" s="12">
        <f>-(F198*G198*$U$3)/J198</f>
        <v>-1.5782897476928472</v>
      </c>
      <c r="M198" s="11">
        <f>ABS(L198/$U$6)</f>
        <v>4.6014278358392051E-3</v>
      </c>
      <c r="N198" s="12">
        <f>L198*SIN(RADIANS(K198))</f>
        <v>0</v>
      </c>
      <c r="O198" s="12">
        <f>L198*COS(RADIANS(K198))</f>
        <v>-1.5782897476928472</v>
      </c>
      <c r="P198" s="5">
        <v>2.3711497183029611</v>
      </c>
      <c r="Q198" s="5">
        <v>1.3089200122244906</v>
      </c>
      <c r="R198" s="6">
        <f>P198/Q198</f>
        <v>1.8115314122772304</v>
      </c>
    </row>
    <row r="199" spans="1:18" x14ac:dyDescent="0.35">
      <c r="A199" s="9">
        <v>198</v>
      </c>
      <c r="B199" s="5">
        <v>1</v>
      </c>
      <c r="C199" s="5">
        <v>2000000</v>
      </c>
      <c r="D199" s="5">
        <v>10</v>
      </c>
      <c r="E199" s="5">
        <v>0.25</v>
      </c>
      <c r="F199" s="5">
        <v>7.4999999999999997E-2</v>
      </c>
      <c r="G199" s="12">
        <f>(C199*$U$4)/($U$5*$U$3)</f>
        <v>29.387755102040813</v>
      </c>
      <c r="H199" s="11">
        <f>G199*COS(RADIANS(D199))</f>
        <v>28.941289068113864</v>
      </c>
      <c r="I199" s="11">
        <f>G199*SIN(RADIANS(D199))</f>
        <v>5.1031301191914213</v>
      </c>
      <c r="J199" s="13">
        <v>0.33379999999999999</v>
      </c>
      <c r="K199" s="12">
        <v>30</v>
      </c>
      <c r="L199" s="12">
        <f>-(F199*G199*$U$3)/J199</f>
        <v>-6.6030006969834067</v>
      </c>
      <c r="M199" s="11">
        <f>ABS(L199/$U$6)</f>
        <v>1.9250730894995356E-2</v>
      </c>
      <c r="N199" s="12">
        <f>L199*SIN(RADIANS(K199))</f>
        <v>-3.3015003484917029</v>
      </c>
      <c r="O199" s="12">
        <f>L199*COS(RADIANS(K199))</f>
        <v>-5.718366344793985</v>
      </c>
      <c r="P199" s="5">
        <v>4.741223963776549</v>
      </c>
      <c r="Q199" s="5">
        <v>5.2357915498591326E-2</v>
      </c>
      <c r="R199" s="6">
        <f>P199/Q199</f>
        <v>90.554100915345074</v>
      </c>
    </row>
    <row r="200" spans="1:18" x14ac:dyDescent="0.35">
      <c r="A200" s="9">
        <v>199</v>
      </c>
      <c r="B200" s="5">
        <v>0.75</v>
      </c>
      <c r="C200" s="5">
        <v>4000000</v>
      </c>
      <c r="D200" s="5">
        <v>0</v>
      </c>
      <c r="E200" s="5">
        <v>0.25</v>
      </c>
      <c r="F200" s="5">
        <v>3.5000000000000003E-2</v>
      </c>
      <c r="G200" s="12">
        <f>(C200*$U$4)/($U$5*$U$3)</f>
        <v>58.775510204081627</v>
      </c>
      <c r="H200" s="11">
        <f>G200*COS(RADIANS(D200))</f>
        <v>58.775510204081627</v>
      </c>
      <c r="I200" s="11">
        <f>G200*SIN(RADIANS(D200))</f>
        <v>0</v>
      </c>
      <c r="J200" s="12">
        <v>0.28370000000000001</v>
      </c>
      <c r="K200" s="11">
        <v>38</v>
      </c>
      <c r="L200" s="12">
        <f>-(F200*G200*$U$3)/J200</f>
        <v>-7.2511203988116213</v>
      </c>
      <c r="M200" s="11">
        <f>ABS(L200/$U$6)</f>
        <v>2.11402927079056E-2</v>
      </c>
      <c r="N200" s="12">
        <f>L200*SIN(RADIANS(K200))</f>
        <v>-4.4642354824963384</v>
      </c>
      <c r="O200" s="12">
        <f>L200*COS(RADIANS(K200))</f>
        <v>-5.7139608499606194</v>
      </c>
      <c r="P200" s="5">
        <v>3.6008076066624479</v>
      </c>
      <c r="Q200" s="5">
        <v>-5.1047667578391208E-2</v>
      </c>
      <c r="R200" s="6">
        <f>P200/Q200</f>
        <v>-70.53814165226801</v>
      </c>
    </row>
    <row r="201" spans="1:18" x14ac:dyDescent="0.35">
      <c r="A201" s="9">
        <v>200</v>
      </c>
      <c r="B201" s="5">
        <v>0.5</v>
      </c>
      <c r="C201" s="5">
        <v>4000000</v>
      </c>
      <c r="D201" s="5">
        <v>0</v>
      </c>
      <c r="E201" s="5">
        <v>0</v>
      </c>
      <c r="F201" s="5">
        <v>2.5000000000000001E-2</v>
      </c>
      <c r="G201" s="12">
        <f>(C201*$U$4)/($U$5*$U$3)</f>
        <v>58.775510204081627</v>
      </c>
      <c r="H201" s="11">
        <f>G201*COS(RADIANS(D201))</f>
        <v>58.775510204081627</v>
      </c>
      <c r="I201" s="11">
        <f>G201*SIN(RADIANS(D201))</f>
        <v>0</v>
      </c>
      <c r="J201" s="12">
        <v>0.23230000000000001</v>
      </c>
      <c r="K201" s="12">
        <v>0</v>
      </c>
      <c r="L201" s="12">
        <f>-(F201*G201*$U$3)/J201</f>
        <v>-6.3253885282050826</v>
      </c>
      <c r="M201" s="11">
        <f>ABS(L201/$U$6)</f>
        <v>1.8441365971443389E-2</v>
      </c>
      <c r="N201" s="12">
        <f>L201*SIN(RADIANS(K201))</f>
        <v>0</v>
      </c>
      <c r="O201" s="12">
        <f>L201*COS(RADIANS(K201))</f>
        <v>-6.3253885282050826</v>
      </c>
      <c r="P201" s="5">
        <v>2.4814361526984627</v>
      </c>
      <c r="Q201" s="5">
        <v>0.43867196214495524</v>
      </c>
      <c r="R201" s="6">
        <f>P201/Q201</f>
        <v>5.6567010587252762</v>
      </c>
    </row>
    <row r="202" spans="1:18" x14ac:dyDescent="0.35">
      <c r="A202" s="9">
        <v>201</v>
      </c>
      <c r="B202" s="5">
        <v>0.75</v>
      </c>
      <c r="C202" s="5">
        <v>6000000</v>
      </c>
      <c r="D202" s="5">
        <v>15</v>
      </c>
      <c r="E202" s="5">
        <v>0.375</v>
      </c>
      <c r="F202" s="5">
        <v>0.1</v>
      </c>
      <c r="G202" s="12">
        <f>(C202*$U$4)/($U$5*$U$3)</f>
        <v>88.16326530612244</v>
      </c>
      <c r="H202" s="11">
        <f>G202*COS(RADIANS(D202))</f>
        <v>85.159174889158663</v>
      </c>
      <c r="I202" s="11">
        <f>G202*SIN(RADIANS(D202))</f>
        <v>22.818332139650806</v>
      </c>
      <c r="J202" s="11">
        <v>0.29299999999999998</v>
      </c>
      <c r="K202" s="12">
        <v>57</v>
      </c>
      <c r="L202" s="12">
        <f>-(F202*G202*$U$3)/J202</f>
        <v>-30.089851640314826</v>
      </c>
      <c r="M202" s="11">
        <f>ABS(L202/$U$6)</f>
        <v>8.7725514986340597E-2</v>
      </c>
      <c r="N202" s="12">
        <f>L202*SIN(RADIANS(K202))</f>
        <v>-25.235472964576385</v>
      </c>
      <c r="O202" s="12">
        <f>L202*COS(RADIANS(K202))</f>
        <v>-16.388107761126395</v>
      </c>
      <c r="P202" s="5">
        <v>5.6271131849043181</v>
      </c>
      <c r="Q202" s="5">
        <v>0.30113337820552394</v>
      </c>
      <c r="R202" s="6">
        <f>P202/Q202</f>
        <v>18.686447907026121</v>
      </c>
    </row>
    <row r="203" spans="1:18" x14ac:dyDescent="0.35">
      <c r="A203" s="9">
        <v>202</v>
      </c>
      <c r="B203" s="5">
        <v>0.1</v>
      </c>
      <c r="C203" s="5">
        <v>6000000</v>
      </c>
      <c r="D203" s="5">
        <v>5</v>
      </c>
      <c r="E203" s="5">
        <v>0.375</v>
      </c>
      <c r="F203" s="5">
        <v>0</v>
      </c>
      <c r="G203" s="12">
        <f>(C203*$U$4)/($U$5*$U$3)</f>
        <v>88.16326530612244</v>
      </c>
      <c r="H203" s="11">
        <f>G203*COS(RADIANS(D203))</f>
        <v>87.827777464415107</v>
      </c>
      <c r="I203" s="11">
        <f>G203*SIN(RADIANS(D203))</f>
        <v>7.6839348708139434</v>
      </c>
      <c r="J203" s="12">
        <v>0.16789999999999999</v>
      </c>
      <c r="K203" s="11">
        <v>85</v>
      </c>
      <c r="L203" s="12">
        <f>-(F203*G203*$U$3)/J203</f>
        <v>0</v>
      </c>
      <c r="M203" s="11">
        <f>ABS(L203/$U$6)</f>
        <v>0</v>
      </c>
      <c r="N203" s="12">
        <f>L203*SIN(RADIANS(K203))</f>
        <v>0</v>
      </c>
      <c r="O203" s="12">
        <f>L203*COS(RADIANS(K203))</f>
        <v>0</v>
      </c>
      <c r="P203" s="5">
        <v>1.6774851921061948</v>
      </c>
      <c r="Q203" s="5">
        <v>0.36637823321857227</v>
      </c>
      <c r="R203" s="6">
        <f>P203/Q203</f>
        <v>4.5785612790633454</v>
      </c>
    </row>
    <row r="204" spans="1:18" x14ac:dyDescent="0.35">
      <c r="A204" s="9">
        <v>203</v>
      </c>
      <c r="B204" s="5">
        <v>0.25</v>
      </c>
      <c r="C204" s="5">
        <v>2000000</v>
      </c>
      <c r="D204" s="5">
        <v>15</v>
      </c>
      <c r="E204" s="5">
        <v>0.375</v>
      </c>
      <c r="F204" s="5">
        <v>0.05</v>
      </c>
      <c r="G204" s="12">
        <f>(C204*$U$4)/($U$5*$U$3)</f>
        <v>29.387755102040813</v>
      </c>
      <c r="H204" s="11">
        <f>G204*COS(RADIANS(D204))</f>
        <v>28.386391629719554</v>
      </c>
      <c r="I204" s="11">
        <f>G204*SIN(RADIANS(D204))</f>
        <v>7.6061107132169354</v>
      </c>
      <c r="J204" s="11">
        <v>0.1976</v>
      </c>
      <c r="K204" s="12">
        <v>78</v>
      </c>
      <c r="L204" s="12">
        <f>-(F204*G204*$U$3)/J204</f>
        <v>-7.4361728497066837</v>
      </c>
      <c r="M204" s="11">
        <f>ABS(L204/$U$6)</f>
        <v>2.1679804226550099E-2</v>
      </c>
      <c r="N204" s="12">
        <f>L204*SIN(RADIANS(K204))</f>
        <v>-7.2736746315824581</v>
      </c>
      <c r="O204" s="12">
        <f>L204*COS(RADIANS(K204))</f>
        <v>-1.5460672703956333</v>
      </c>
      <c r="P204" s="5">
        <v>2.5107838049825322</v>
      </c>
      <c r="Q204" s="5">
        <v>0.50863453632686284</v>
      </c>
      <c r="R204" s="6">
        <f>P204/Q204</f>
        <v>4.93632190828865</v>
      </c>
    </row>
    <row r="205" spans="1:18" x14ac:dyDescent="0.35">
      <c r="A205" s="9">
        <v>204</v>
      </c>
      <c r="B205" s="5">
        <v>0.25</v>
      </c>
      <c r="C205" s="5">
        <v>2000000</v>
      </c>
      <c r="D205" s="5">
        <v>30</v>
      </c>
      <c r="E205" s="5">
        <v>0.125</v>
      </c>
      <c r="F205" s="5">
        <v>0</v>
      </c>
      <c r="G205" s="12">
        <f>(C205*$U$4)/($U$5*$U$3)</f>
        <v>29.387755102040813</v>
      </c>
      <c r="H205" s="11">
        <f>G205*COS(RADIANS(D205))</f>
        <v>25.450542478563094</v>
      </c>
      <c r="I205" s="11">
        <f>G205*SIN(RADIANS(D205))</f>
        <v>14.693877551020405</v>
      </c>
      <c r="J205" s="11">
        <v>0.19020000000000001</v>
      </c>
      <c r="K205" s="12">
        <v>46</v>
      </c>
      <c r="L205" s="12">
        <f>-(F205*G205*$U$3)/J205</f>
        <v>0</v>
      </c>
      <c r="M205" s="11">
        <f>ABS(L205/$U$6)</f>
        <v>0</v>
      </c>
      <c r="N205" s="12">
        <f>L205*SIN(RADIANS(K205))</f>
        <v>0</v>
      </c>
      <c r="O205" s="12">
        <f>L205*COS(RADIANS(K205))</f>
        <v>0</v>
      </c>
      <c r="P205" s="5">
        <v>2.3675279808374023</v>
      </c>
      <c r="Q205" s="5">
        <v>1.1194120562647578</v>
      </c>
      <c r="R205" s="6">
        <f>P205/Q205</f>
        <v>2.1149745239812265</v>
      </c>
    </row>
    <row r="206" spans="1:18" x14ac:dyDescent="0.35">
      <c r="A206" s="9">
        <v>205</v>
      </c>
      <c r="B206" s="5">
        <v>0.1</v>
      </c>
      <c r="C206" s="5">
        <v>4000000</v>
      </c>
      <c r="D206" s="5">
        <v>20</v>
      </c>
      <c r="E206" s="5">
        <v>0.25</v>
      </c>
      <c r="F206" s="5">
        <v>2.5000000000000001E-2</v>
      </c>
      <c r="G206" s="12">
        <f>(C206*$U$4)/($U$5*$U$3)</f>
        <v>58.775510204081627</v>
      </c>
      <c r="H206" s="11">
        <f>G206*COS(RADIANS(D206))</f>
        <v>55.230913221702366</v>
      </c>
      <c r="I206" s="11">
        <f>G206*SIN(RADIANS(D206))</f>
        <v>20.102408424039304</v>
      </c>
      <c r="J206" s="11">
        <v>0.1661</v>
      </c>
      <c r="K206" s="12">
        <v>80</v>
      </c>
      <c r="L206" s="12">
        <f>-(F206*G206*$U$3)/J206</f>
        <v>-8.8464043052500951</v>
      </c>
      <c r="M206" s="11">
        <f>ABS(L206/$U$6)</f>
        <v>2.5791266196064418E-2</v>
      </c>
      <c r="N206" s="12">
        <f>L206*SIN(RADIANS(K206))</f>
        <v>-8.7120075460908701</v>
      </c>
      <c r="O206" s="12">
        <f>L206*COS(RADIANS(K206))</f>
        <v>-1.5361619865115665</v>
      </c>
      <c r="P206" s="5">
        <v>1.4909516481433538</v>
      </c>
      <c r="Q206" s="5">
        <v>0.76279603436712651</v>
      </c>
      <c r="R206" s="6">
        <f>P206/Q206</f>
        <v>1.954587571211432</v>
      </c>
    </row>
    <row r="207" spans="1:18" x14ac:dyDescent="0.35">
      <c r="A207" s="9">
        <v>206</v>
      </c>
      <c r="B207" s="5">
        <v>0.5</v>
      </c>
      <c r="C207" s="5">
        <v>4000000</v>
      </c>
      <c r="D207" s="5">
        <v>5</v>
      </c>
      <c r="E207" s="5">
        <v>0.375</v>
      </c>
      <c r="F207" s="5">
        <v>3.5000000000000003E-2</v>
      </c>
      <c r="G207" s="12">
        <f>(C207*$U$4)/($U$5*$U$3)</f>
        <v>58.775510204081627</v>
      </c>
      <c r="H207" s="11">
        <f>G207*COS(RADIANS(D207))</f>
        <v>58.551851642943404</v>
      </c>
      <c r="I207" s="11">
        <f>G207*SIN(RADIANS(D207))</f>
        <v>5.1226232472092956</v>
      </c>
      <c r="J207" s="12">
        <v>0.24809999999999999</v>
      </c>
      <c r="K207" s="12">
        <v>67</v>
      </c>
      <c r="L207" s="12">
        <f>-(F207*G207*$U$3)/J207</f>
        <v>-8.2915874935221971</v>
      </c>
      <c r="M207" s="11">
        <f>ABS(L207/$U$6)</f>
        <v>2.4173724470910197E-2</v>
      </c>
      <c r="N207" s="12">
        <f>L207*SIN(RADIANS(K207))</f>
        <v>-7.6324465306127376</v>
      </c>
      <c r="O207" s="12">
        <f>L207*COS(RADIANS(K207))</f>
        <v>-3.2397813383114764</v>
      </c>
      <c r="P207" s="5">
        <v>3.1530133491964483</v>
      </c>
      <c r="Q207" s="5">
        <v>5.4107892848963592E-2</v>
      </c>
      <c r="R207" s="6">
        <f>P207/Q207</f>
        <v>58.272706312880238</v>
      </c>
    </row>
    <row r="208" spans="1:18" x14ac:dyDescent="0.35">
      <c r="A208" s="9">
        <v>207</v>
      </c>
      <c r="B208" s="5">
        <v>0.5</v>
      </c>
      <c r="C208" s="5">
        <v>4000000</v>
      </c>
      <c r="D208" s="5">
        <v>15</v>
      </c>
      <c r="E208" s="5">
        <v>0.25</v>
      </c>
      <c r="F208" s="5">
        <v>2.5000000000000001E-2</v>
      </c>
      <c r="G208" s="12">
        <f>(C208*$U$4)/($U$5*$U$3)</f>
        <v>58.775510204081627</v>
      </c>
      <c r="H208" s="11">
        <f>G208*COS(RADIANS(D208))</f>
        <v>56.772783259439109</v>
      </c>
      <c r="I208" s="11">
        <f>G208*SIN(RADIANS(D208))</f>
        <v>15.212221426433871</v>
      </c>
      <c r="J208" s="11">
        <v>0.23580000000000001</v>
      </c>
      <c r="K208" s="11">
        <v>49</v>
      </c>
      <c r="L208" s="12">
        <f>-(F208*G208*$U$3)/J208</f>
        <v>-6.2315002336812579</v>
      </c>
      <c r="M208" s="11">
        <f>ABS(L208/$U$6)</f>
        <v>1.8167639165251482E-2</v>
      </c>
      <c r="N208" s="12">
        <f>L208*SIN(RADIANS(K208))</f>
        <v>-4.7029729255196875</v>
      </c>
      <c r="O208" s="12">
        <f>L208*COS(RADIANS(K208))</f>
        <v>-4.0882319924630455</v>
      </c>
      <c r="P208" s="5">
        <v>3.0573186616983863</v>
      </c>
      <c r="Q208" s="5">
        <v>0.63330693591278764</v>
      </c>
      <c r="R208" s="6">
        <f>P208/Q208</f>
        <v>4.8275464681148037</v>
      </c>
    </row>
    <row r="209" spans="1:18" x14ac:dyDescent="0.35">
      <c r="A209" s="9">
        <v>208</v>
      </c>
      <c r="B209" s="5">
        <v>0.1</v>
      </c>
      <c r="C209" s="5">
        <v>4000000</v>
      </c>
      <c r="D209" s="5">
        <v>20</v>
      </c>
      <c r="E209" s="5">
        <v>0.25</v>
      </c>
      <c r="F209" s="5">
        <v>3.5000000000000003E-2</v>
      </c>
      <c r="G209" s="12">
        <f>(C209*$U$4)/($U$5*$U$3)</f>
        <v>58.775510204081627</v>
      </c>
      <c r="H209" s="11">
        <f>G209*COS(RADIANS(D209))</f>
        <v>55.230913221702366</v>
      </c>
      <c r="I209" s="11">
        <f>G209*SIN(RADIANS(D209))</f>
        <v>20.102408424039304</v>
      </c>
      <c r="J209" s="11">
        <v>0.1661</v>
      </c>
      <c r="K209" s="12">
        <v>80</v>
      </c>
      <c r="L209" s="12">
        <f>-(F209*G209*$U$3)/J209</f>
        <v>-12.384966027350131</v>
      </c>
      <c r="M209" s="11">
        <f>ABS(L209/$U$6)</f>
        <v>3.6107772674490182E-2</v>
      </c>
      <c r="N209" s="12">
        <f>L209*SIN(RADIANS(K209))</f>
        <v>-12.196810564527215</v>
      </c>
      <c r="O209" s="12">
        <f>L209*COS(RADIANS(K209))</f>
        <v>-2.150626781116193</v>
      </c>
      <c r="P209" s="5">
        <v>1.527749427917807</v>
      </c>
      <c r="Q209" s="5">
        <v>0.76897476976343448</v>
      </c>
      <c r="R209" s="6">
        <f>P209/Q209</f>
        <v>1.9867354404719937</v>
      </c>
    </row>
    <row r="210" spans="1:18" x14ac:dyDescent="0.35">
      <c r="A210" s="9">
        <v>209</v>
      </c>
      <c r="B210" s="5">
        <v>0.1</v>
      </c>
      <c r="C210" s="5">
        <v>6000000</v>
      </c>
      <c r="D210" s="5">
        <v>15</v>
      </c>
      <c r="E210" s="5">
        <v>0</v>
      </c>
      <c r="F210" s="5">
        <v>3.5000000000000003E-2</v>
      </c>
      <c r="G210" s="12">
        <f>(C210*$U$4)/($U$5*$U$3)</f>
        <v>88.16326530612244</v>
      </c>
      <c r="H210" s="11">
        <f>G210*COS(RADIANS(D210))</f>
        <v>85.159174889158663</v>
      </c>
      <c r="I210" s="11">
        <f>G210*SIN(RADIANS(D210))</f>
        <v>22.818332139650806</v>
      </c>
      <c r="J210" s="11">
        <v>0.16569999999999999</v>
      </c>
      <c r="K210" s="12">
        <v>0</v>
      </c>
      <c r="L210" s="12">
        <f>-(F210*G210*$U$3)/J210</f>
        <v>-18.622295025433228</v>
      </c>
      <c r="M210" s="11">
        <f>ABS(L210/$U$6)</f>
        <v>5.4292405321962764E-2</v>
      </c>
      <c r="N210" s="12">
        <f>L210*SIN(RADIANS(K210))</f>
        <v>0</v>
      </c>
      <c r="O210" s="12">
        <f>L210*COS(RADIANS(K210))</f>
        <v>-18.622295025433228</v>
      </c>
      <c r="P210" s="5">
        <v>1.4120186947156381</v>
      </c>
      <c r="Q210" s="5">
        <v>0.5268870783222076</v>
      </c>
      <c r="R210" s="6">
        <f>P210/Q210</f>
        <v>2.6799265968184276</v>
      </c>
    </row>
    <row r="211" spans="1:18" x14ac:dyDescent="0.35">
      <c r="A211" s="9">
        <v>210</v>
      </c>
      <c r="B211" s="5">
        <v>0.1</v>
      </c>
      <c r="C211" s="5">
        <v>2000000</v>
      </c>
      <c r="D211" s="5">
        <v>20</v>
      </c>
      <c r="E211" s="5">
        <v>0.125</v>
      </c>
      <c r="F211" s="5">
        <v>0</v>
      </c>
      <c r="G211" s="12">
        <f>(C211*$U$4)/($U$5*$U$3)</f>
        <v>29.387755102040813</v>
      </c>
      <c r="H211" s="11">
        <f>G211*COS(RADIANS(D211))</f>
        <v>27.615456610851183</v>
      </c>
      <c r="I211" s="11">
        <f>G211*SIN(RADIANS(D211))</f>
        <v>10.051204212019652</v>
      </c>
      <c r="J211" s="12">
        <v>0.1658</v>
      </c>
      <c r="K211" s="12">
        <v>69</v>
      </c>
      <c r="L211" s="12">
        <f>-(F211*G211*$U$3)/J211</f>
        <v>0</v>
      </c>
      <c r="M211" s="11">
        <f>ABS(L211/$U$6)</f>
        <v>0</v>
      </c>
      <c r="N211" s="12">
        <f>L211*SIN(RADIANS(K211))</f>
        <v>0</v>
      </c>
      <c r="O211" s="12">
        <f>L211*COS(RADIANS(K211))</f>
        <v>0</v>
      </c>
      <c r="P211" s="5">
        <v>1.3204157968100279</v>
      </c>
      <c r="Q211" s="5">
        <v>0.73905789078532358</v>
      </c>
      <c r="R211" s="6">
        <f>P211/Q211</f>
        <v>1.786620254344288</v>
      </c>
    </row>
    <row r="212" spans="1:18" x14ac:dyDescent="0.35">
      <c r="A212" s="9">
        <v>211</v>
      </c>
      <c r="B212" s="5">
        <v>0.1</v>
      </c>
      <c r="C212" s="5">
        <v>2000000</v>
      </c>
      <c r="D212" s="5">
        <v>10</v>
      </c>
      <c r="E212" s="5">
        <v>0.25</v>
      </c>
      <c r="F212" s="5">
        <v>2.5000000000000001E-2</v>
      </c>
      <c r="G212" s="12">
        <f>(C212*$U$4)/($U$5*$U$3)</f>
        <v>29.387755102040813</v>
      </c>
      <c r="H212" s="11">
        <f>G212*COS(RADIANS(D212))</f>
        <v>28.941289068113864</v>
      </c>
      <c r="I212" s="11">
        <f>G212*SIN(RADIANS(D212))</f>
        <v>5.1031301191914213</v>
      </c>
      <c r="J212" s="11">
        <v>0.1661</v>
      </c>
      <c r="K212" s="12">
        <v>80</v>
      </c>
      <c r="L212" s="12">
        <f>-(F212*G212*$U$3)/J212</f>
        <v>-4.4232021526250476</v>
      </c>
      <c r="M212" s="11">
        <f>ABS(L212/$U$6)</f>
        <v>1.2895633098032209E-2</v>
      </c>
      <c r="N212" s="12">
        <f>L212*SIN(RADIANS(K212))</f>
        <v>-4.3560037730454351</v>
      </c>
      <c r="O212" s="12">
        <f>L212*COS(RADIANS(K212))</f>
        <v>-0.76808099325578327</v>
      </c>
      <c r="P212" s="5">
        <v>1.5857115346135293</v>
      </c>
      <c r="Q212" s="5">
        <v>0.47925414911606629</v>
      </c>
      <c r="R212" s="6">
        <f>P212/Q212</f>
        <v>3.3087069512871343</v>
      </c>
    </row>
    <row r="213" spans="1:18" x14ac:dyDescent="0.35">
      <c r="A213" s="9">
        <v>212</v>
      </c>
      <c r="B213" s="5">
        <v>1</v>
      </c>
      <c r="C213" s="5">
        <v>2000000</v>
      </c>
      <c r="D213" s="5">
        <v>5</v>
      </c>
      <c r="E213" s="5">
        <v>0</v>
      </c>
      <c r="F213" s="5">
        <v>0.15</v>
      </c>
      <c r="G213" s="12">
        <f>(C213*$U$4)/($U$5*$U$3)</f>
        <v>29.387755102040813</v>
      </c>
      <c r="H213" s="11">
        <f>G213*COS(RADIANS(D213))</f>
        <v>29.275925821471702</v>
      </c>
      <c r="I213" s="11">
        <f>G213*SIN(RADIANS(D213))</f>
        <v>2.5613116236046478</v>
      </c>
      <c r="J213" s="11">
        <v>0.33379999999999999</v>
      </c>
      <c r="K213" s="12">
        <v>0</v>
      </c>
      <c r="L213" s="12">
        <f>-(F213*G213*$U$3)/J213</f>
        <v>-13.206001393966813</v>
      </c>
      <c r="M213" s="11">
        <f>ABS(L213/$U$6)</f>
        <v>3.8501461789990712E-2</v>
      </c>
      <c r="N213" s="12">
        <f>L213*SIN(RADIANS(K213))</f>
        <v>0</v>
      </c>
      <c r="O213" s="12">
        <f>L213*COS(RADIANS(K213))</f>
        <v>-13.206001393966813</v>
      </c>
      <c r="P213" s="5">
        <v>2.1323910129072998</v>
      </c>
      <c r="Q213" s="5">
        <v>1.3236846071476356</v>
      </c>
      <c r="R213" s="6">
        <f>P213/Q213</f>
        <v>1.6109509783469638</v>
      </c>
    </row>
    <row r="214" spans="1:18" x14ac:dyDescent="0.35">
      <c r="A214" s="9">
        <v>213</v>
      </c>
      <c r="B214" s="5">
        <v>1</v>
      </c>
      <c r="C214" s="5">
        <v>2000000</v>
      </c>
      <c r="D214" s="5">
        <v>20</v>
      </c>
      <c r="E214" s="5">
        <v>0.25</v>
      </c>
      <c r="F214" s="5">
        <v>7.4999999999999997E-2</v>
      </c>
      <c r="G214" s="12">
        <f>(C214*$U$4)/($U$5*$U$3)</f>
        <v>29.387755102040813</v>
      </c>
      <c r="H214" s="11">
        <f>G214*COS(RADIANS(D214))</f>
        <v>27.615456610851183</v>
      </c>
      <c r="I214" s="11">
        <f>G214*SIN(RADIANS(D214))</f>
        <v>10.051204212019652</v>
      </c>
      <c r="J214" s="13">
        <v>0.33379999999999999</v>
      </c>
      <c r="K214" s="12">
        <v>30</v>
      </c>
      <c r="L214" s="12">
        <f>-(F214*G214*$U$3)/J214</f>
        <v>-6.6030006969834067</v>
      </c>
      <c r="M214" s="11">
        <f>ABS(L214/$U$6)</f>
        <v>1.9250730894995356E-2</v>
      </c>
      <c r="N214" s="12">
        <f>L214*SIN(RADIANS(K214))</f>
        <v>-3.3015003484917029</v>
      </c>
      <c r="O214" s="12">
        <f>L214*COS(RADIANS(K214))</f>
        <v>-5.718366344793985</v>
      </c>
      <c r="P214" s="5">
        <v>4.9154062857706169</v>
      </c>
      <c r="Q214" s="5">
        <v>0.61094284251898812</v>
      </c>
      <c r="R214" s="6">
        <f>P214/Q214</f>
        <v>8.0456074507785829</v>
      </c>
    </row>
    <row r="215" spans="1:18" x14ac:dyDescent="0.35">
      <c r="A215" s="9">
        <v>214</v>
      </c>
      <c r="B215" s="5">
        <v>0.75</v>
      </c>
      <c r="C215" s="5">
        <v>4000000</v>
      </c>
      <c r="D215" s="5">
        <v>5</v>
      </c>
      <c r="E215" s="5">
        <v>0.375</v>
      </c>
      <c r="F215" s="5">
        <v>3.5000000000000003E-2</v>
      </c>
      <c r="G215" s="12">
        <f>(C215*$U$4)/($U$5*$U$3)</f>
        <v>58.775510204081627</v>
      </c>
      <c r="H215" s="11">
        <f>G215*COS(RADIANS(D215))</f>
        <v>58.551851642943404</v>
      </c>
      <c r="I215" s="11">
        <f>G215*SIN(RADIANS(D215))</f>
        <v>5.1226232472092956</v>
      </c>
      <c r="J215" s="11">
        <v>0.29299999999999998</v>
      </c>
      <c r="K215" s="12">
        <v>57</v>
      </c>
      <c r="L215" s="12">
        <f>-(F215*G215*$U$3)/J215</f>
        <v>-7.0209653827401262</v>
      </c>
      <c r="M215" s="11">
        <f>ABS(L215/$U$6)</f>
        <v>2.0469286830146139E-2</v>
      </c>
      <c r="N215" s="12">
        <f>L215*SIN(RADIANS(K215))</f>
        <v>-5.8882770250678229</v>
      </c>
      <c r="O215" s="12">
        <f>L215*COS(RADIANS(K215))</f>
        <v>-3.8238918109294926</v>
      </c>
      <c r="P215" s="5">
        <v>3.7616657268472444</v>
      </c>
      <c r="Q215" s="5">
        <v>1.4045802942893666E-3</v>
      </c>
      <c r="R215" s="6">
        <f>P215/Q215</f>
        <v>2678.1421768062191</v>
      </c>
    </row>
    <row r="216" spans="1:18" x14ac:dyDescent="0.35">
      <c r="A216" s="9">
        <v>215</v>
      </c>
      <c r="B216" s="5">
        <v>0.5</v>
      </c>
      <c r="C216" s="5">
        <v>6000000</v>
      </c>
      <c r="D216" s="5">
        <v>10</v>
      </c>
      <c r="E216" s="5">
        <v>0.125</v>
      </c>
      <c r="F216" s="5">
        <v>3.5000000000000003E-2</v>
      </c>
      <c r="G216" s="12">
        <f>(C216*$U$4)/($U$5*$U$3)</f>
        <v>88.16326530612244</v>
      </c>
      <c r="H216" s="11">
        <f>G216*COS(RADIANS(D216))</f>
        <v>86.823867204341596</v>
      </c>
      <c r="I216" s="11">
        <f>G216*SIN(RADIANS(D216))</f>
        <v>15.309390357574264</v>
      </c>
      <c r="J216" s="12">
        <v>0.23300000000000001</v>
      </c>
      <c r="K216" s="11">
        <v>27</v>
      </c>
      <c r="L216" s="12">
        <f>-(F216*G216*$U$3)/J216</f>
        <v>-13.243408951563458</v>
      </c>
      <c r="M216" s="11">
        <f>ABS(L216/$U$6)</f>
        <v>3.8610521724674801E-2</v>
      </c>
      <c r="N216" s="12">
        <f>L216*SIN(RADIANS(K216))</f>
        <v>-6.0123818481754814</v>
      </c>
      <c r="O216" s="12">
        <f>L216*COS(RADIANS(K216))</f>
        <v>-11.799963778337673</v>
      </c>
      <c r="P216" s="5">
        <v>4.0876436779447651</v>
      </c>
      <c r="Q216" s="5">
        <v>0.56650254415919576</v>
      </c>
      <c r="R216" s="6">
        <f>P216/Q216</f>
        <v>7.215578676723605</v>
      </c>
    </row>
    <row r="217" spans="1:18" x14ac:dyDescent="0.35">
      <c r="A217" s="9">
        <v>216</v>
      </c>
      <c r="B217" s="5">
        <v>0.5</v>
      </c>
      <c r="C217" s="5">
        <v>6000000</v>
      </c>
      <c r="D217" s="5">
        <v>0</v>
      </c>
      <c r="E217" s="5">
        <v>0.375</v>
      </c>
      <c r="F217" s="5">
        <v>3.5000000000000003E-2</v>
      </c>
      <c r="G217" s="12">
        <f>(C217*$U$4)/($U$5*$U$3)</f>
        <v>88.16326530612244</v>
      </c>
      <c r="H217" s="11">
        <f>G217*COS(RADIANS(D217))</f>
        <v>88.16326530612244</v>
      </c>
      <c r="I217" s="11">
        <f>G217*SIN(RADIANS(D217))</f>
        <v>0</v>
      </c>
      <c r="J217" s="12">
        <v>0.24809999999999999</v>
      </c>
      <c r="K217" s="12">
        <v>67</v>
      </c>
      <c r="L217" s="12">
        <f>-(F217*G217*$U$3)/J217</f>
        <v>-12.437381240283298</v>
      </c>
      <c r="M217" s="11">
        <f>ABS(L217/$U$6)</f>
        <v>3.6260586706365297E-2</v>
      </c>
      <c r="N217" s="12">
        <f>L217*SIN(RADIANS(K217))</f>
        <v>-11.448669795919107</v>
      </c>
      <c r="O217" s="12">
        <f>L217*COS(RADIANS(K217))</f>
        <v>-4.8596720074672159</v>
      </c>
      <c r="P217" s="5">
        <v>3.023962608058278</v>
      </c>
      <c r="Q217" s="5">
        <v>-0.13916394712668428</v>
      </c>
      <c r="R217" s="6">
        <f>P217/Q217</f>
        <v>-21.729497261999132</v>
      </c>
    </row>
    <row r="218" spans="1:18" x14ac:dyDescent="0.35">
      <c r="A218" s="9">
        <v>217</v>
      </c>
      <c r="B218" s="5">
        <v>0.5</v>
      </c>
      <c r="C218" s="5">
        <v>2000000</v>
      </c>
      <c r="D218" s="5">
        <v>20</v>
      </c>
      <c r="E218" s="5">
        <v>0.25</v>
      </c>
      <c r="F218" s="5">
        <v>0.1</v>
      </c>
      <c r="G218" s="12">
        <f>(C218*$U$4)/($U$5*$U$3)</f>
        <v>29.387755102040813</v>
      </c>
      <c r="H218" s="11">
        <f>G218*COS(RADIANS(D218))</f>
        <v>27.615456610851183</v>
      </c>
      <c r="I218" s="11">
        <f>G218*SIN(RADIANS(D218))</f>
        <v>10.051204212019652</v>
      </c>
      <c r="J218" s="11">
        <v>0.23580000000000001</v>
      </c>
      <c r="K218" s="11">
        <v>49</v>
      </c>
      <c r="L218" s="12">
        <f>-(F218*G218*$U$3)/J218</f>
        <v>-12.463000467362516</v>
      </c>
      <c r="M218" s="11">
        <f>ABS(L218/$U$6)</f>
        <v>3.6335278330502964E-2</v>
      </c>
      <c r="N218" s="12">
        <f>L218*SIN(RADIANS(K218))</f>
        <v>-9.405945851039375</v>
      </c>
      <c r="O218" s="12">
        <f>L218*COS(RADIANS(K218))</f>
        <v>-8.1764639849260909</v>
      </c>
      <c r="P218" s="5">
        <v>5.120968193010917</v>
      </c>
      <c r="Q218" s="5">
        <v>0.84758628624479893</v>
      </c>
      <c r="R218" s="6">
        <f>P218/Q218</f>
        <v>6.0418252113294395</v>
      </c>
    </row>
    <row r="219" spans="1:18" x14ac:dyDescent="0.35">
      <c r="A219" s="9">
        <v>248</v>
      </c>
      <c r="B219" s="5">
        <v>0.25</v>
      </c>
      <c r="C219" s="5">
        <v>6000000</v>
      </c>
      <c r="D219" s="5">
        <v>15</v>
      </c>
      <c r="E219" s="5">
        <v>0.25</v>
      </c>
      <c r="F219" s="5">
        <v>0.15</v>
      </c>
      <c r="G219" s="12">
        <f>(C219*$U$4)/($U$5*$U$3)</f>
        <v>88.16326530612244</v>
      </c>
      <c r="H219" s="11">
        <f>G219*COS(RADIANS(D219))</f>
        <v>85.159174889158663</v>
      </c>
      <c r="I219" s="11">
        <f>G219*SIN(RADIANS(D219))</f>
        <v>22.818332139650806</v>
      </c>
      <c r="J219" s="12">
        <v>0.1913</v>
      </c>
      <c r="K219" s="20">
        <v>67</v>
      </c>
      <c r="L219" s="12">
        <f>-(F219*G219*$U$3)/J219</f>
        <v>-69.129585969254393</v>
      </c>
      <c r="M219" s="11">
        <f>ABS(L219/$U$6)</f>
        <v>0.20154398241765129</v>
      </c>
      <c r="N219" s="12">
        <f>L219*SIN(RADIANS(K219))</f>
        <v>-63.634119401856395</v>
      </c>
      <c r="O219" s="12">
        <f>L219*COS(RADIANS(K219))</f>
        <v>-27.011081137763032</v>
      </c>
      <c r="P219" s="5">
        <v>3.0130769071950629</v>
      </c>
      <c r="Q219" s="5">
        <v>0.52209154317081841</v>
      </c>
      <c r="R219" s="6">
        <f>P219/Q219</f>
        <v>5.7711658934288499</v>
      </c>
    </row>
    <row r="220" spans="1:18" x14ac:dyDescent="0.35">
      <c r="A220" s="9">
        <v>219</v>
      </c>
      <c r="B220" s="5">
        <v>0.25</v>
      </c>
      <c r="C220" s="5">
        <v>4000000</v>
      </c>
      <c r="D220" s="5">
        <v>5</v>
      </c>
      <c r="E220" s="5">
        <v>0.125</v>
      </c>
      <c r="F220" s="5">
        <v>3.5000000000000003E-2</v>
      </c>
      <c r="G220" s="12">
        <f>(C220*$U$4)/($U$5*$U$3)</f>
        <v>58.775510204081627</v>
      </c>
      <c r="H220" s="11">
        <f>G220*COS(RADIANS(D220))</f>
        <v>58.551851642943404</v>
      </c>
      <c r="I220" s="11">
        <f>G220*SIN(RADIANS(D220))</f>
        <v>5.1226232472092956</v>
      </c>
      <c r="J220" s="11">
        <v>0.19020000000000001</v>
      </c>
      <c r="K220" s="12">
        <v>46</v>
      </c>
      <c r="L220" s="12">
        <f>-(F220*G220*$U$3)/J220</f>
        <v>-10.81568273997296</v>
      </c>
      <c r="M220" s="11">
        <f>ABS(L220/$U$6)</f>
        <v>3.1532602740445947E-2</v>
      </c>
      <c r="N220" s="12">
        <f>L220*SIN(RADIANS(K220))</f>
        <v>-7.7801510626983434</v>
      </c>
      <c r="O220" s="12">
        <f>L220*COS(RADIANS(K220))</f>
        <v>-7.5132045475511191</v>
      </c>
      <c r="P220" s="5">
        <v>2.1112830294762284</v>
      </c>
      <c r="Q220" s="5">
        <v>0.31664138604542569</v>
      </c>
      <c r="R220" s="6">
        <f>P220/Q220</f>
        <v>6.6677418762098952</v>
      </c>
    </row>
    <row r="221" spans="1:18" x14ac:dyDescent="0.35">
      <c r="A221" s="9">
        <v>220</v>
      </c>
      <c r="B221" s="5">
        <v>0.5</v>
      </c>
      <c r="C221" s="5">
        <v>6000000</v>
      </c>
      <c r="D221" s="5">
        <v>30</v>
      </c>
      <c r="E221" s="5">
        <v>0.25</v>
      </c>
      <c r="F221" s="5">
        <v>2.5000000000000001E-2</v>
      </c>
      <c r="G221" s="12">
        <f>(C221*$U$4)/($U$5*$U$3)</f>
        <v>88.16326530612244</v>
      </c>
      <c r="H221" s="11">
        <f>G221*COS(RADIANS(D221))</f>
        <v>76.351627435689281</v>
      </c>
      <c r="I221" s="11">
        <f>G221*SIN(RADIANS(D221))</f>
        <v>44.081632653061213</v>
      </c>
      <c r="J221" s="11">
        <v>0.23580000000000001</v>
      </c>
      <c r="K221" s="11">
        <v>49</v>
      </c>
      <c r="L221" s="12">
        <f>-(F221*G221*$U$3)/J221</f>
        <v>-9.347250350521886</v>
      </c>
      <c r="M221" s="11">
        <f>ABS(L221/$U$6)</f>
        <v>2.7251458747877218E-2</v>
      </c>
      <c r="N221" s="12">
        <f>L221*SIN(RADIANS(K221))</f>
        <v>-7.0544593882795308</v>
      </c>
      <c r="O221" s="12">
        <f>L221*COS(RADIANS(K221))</f>
        <v>-6.1323479886945673</v>
      </c>
      <c r="P221" s="5">
        <v>2.8156128897758279</v>
      </c>
      <c r="Q221" s="5">
        <v>1.123491133754055</v>
      </c>
      <c r="R221" s="6">
        <f>P221/Q221</f>
        <v>2.5061282685584572</v>
      </c>
    </row>
    <row r="222" spans="1:18" x14ac:dyDescent="0.35">
      <c r="A222" s="9">
        <v>221</v>
      </c>
      <c r="B222" s="5">
        <v>0.5</v>
      </c>
      <c r="C222" s="5">
        <v>2000000</v>
      </c>
      <c r="D222" s="5">
        <v>5</v>
      </c>
      <c r="E222" s="5">
        <v>0.375</v>
      </c>
      <c r="F222" s="5">
        <v>1.4999999999999999E-2</v>
      </c>
      <c r="G222" s="12">
        <f>(C222*$U$4)/($U$5*$U$3)</f>
        <v>29.387755102040813</v>
      </c>
      <c r="H222" s="11">
        <f>G222*COS(RADIANS(D222))</f>
        <v>29.275925821471702</v>
      </c>
      <c r="I222" s="11">
        <f>G222*SIN(RADIANS(D222))</f>
        <v>2.5613116236046478</v>
      </c>
      <c r="J222" s="12">
        <v>0.24809999999999999</v>
      </c>
      <c r="K222" s="12">
        <v>67</v>
      </c>
      <c r="L222" s="12">
        <f>-(F222*G222*$U$3)/J222</f>
        <v>-1.7767687486118993</v>
      </c>
      <c r="M222" s="11">
        <f>ABS(L222/$U$6)</f>
        <v>5.1800838151950419E-3</v>
      </c>
      <c r="N222" s="12">
        <f>L222*SIN(RADIANS(K222))</f>
        <v>-1.6355242565598722</v>
      </c>
      <c r="O222" s="12">
        <f>L222*COS(RADIANS(K222))</f>
        <v>-0.69423885820960207</v>
      </c>
      <c r="P222" s="5">
        <v>3.14457091048267</v>
      </c>
      <c r="Q222" s="5">
        <v>5.5768318667247428E-2</v>
      </c>
      <c r="R222" s="6">
        <f>P222/Q222</f>
        <v>56.386331623970356</v>
      </c>
    </row>
    <row r="223" spans="1:18" x14ac:dyDescent="0.35">
      <c r="A223" s="9">
        <v>222</v>
      </c>
      <c r="B223" s="5">
        <v>0.5</v>
      </c>
      <c r="C223" s="5">
        <v>2000000</v>
      </c>
      <c r="D223" s="5">
        <v>10</v>
      </c>
      <c r="E223" s="5">
        <v>0.25</v>
      </c>
      <c r="F223" s="5">
        <v>0.15</v>
      </c>
      <c r="G223" s="12">
        <f>(C223*$U$4)/($U$5*$U$3)</f>
        <v>29.387755102040813</v>
      </c>
      <c r="H223" s="11">
        <f>G223*COS(RADIANS(D223))</f>
        <v>28.941289068113864</v>
      </c>
      <c r="I223" s="11">
        <f>G223*SIN(RADIANS(D223))</f>
        <v>5.1031301191914213</v>
      </c>
      <c r="J223" s="11">
        <v>0.23580000000000001</v>
      </c>
      <c r="K223" s="11">
        <v>49</v>
      </c>
      <c r="L223" s="12">
        <f>-(F223*G223*$U$3)/J223</f>
        <v>-18.694500701043772</v>
      </c>
      <c r="M223" s="11">
        <f>ABS(L223/$U$6)</f>
        <v>5.4502917495754435E-2</v>
      </c>
      <c r="N223" s="12">
        <f>L223*SIN(RADIANS(K223))</f>
        <v>-14.108918776559062</v>
      </c>
      <c r="O223" s="12">
        <f>L223*COS(RADIANS(K223))</f>
        <v>-12.264695977389135</v>
      </c>
      <c r="P223" s="5">
        <v>5.4096767624132518</v>
      </c>
      <c r="Q223" s="5">
        <v>0.21660182161202332</v>
      </c>
      <c r="R223" s="6">
        <f>P223/Q223</f>
        <v>24.975213606943029</v>
      </c>
    </row>
    <row r="224" spans="1:18" x14ac:dyDescent="0.35">
      <c r="A224" s="9">
        <v>223</v>
      </c>
      <c r="B224" s="5">
        <v>0.25</v>
      </c>
      <c r="C224" s="5">
        <v>4000000</v>
      </c>
      <c r="D224" s="5">
        <v>5</v>
      </c>
      <c r="E224" s="5">
        <v>0</v>
      </c>
      <c r="F224" s="5">
        <v>2.5000000000000001E-2</v>
      </c>
      <c r="G224" s="12">
        <f>(C224*$U$4)/($U$5*$U$3)</f>
        <v>58.775510204081627</v>
      </c>
      <c r="H224" s="11">
        <f>G224*COS(RADIANS(D224))</f>
        <v>58.551851642943404</v>
      </c>
      <c r="I224" s="11">
        <f>G224*SIN(RADIANS(D224))</f>
        <v>5.1226232472092956</v>
      </c>
      <c r="J224" s="12">
        <v>0.18990000000000001</v>
      </c>
      <c r="K224" s="12">
        <v>0</v>
      </c>
      <c r="L224" s="12">
        <f>-(F224*G224*$U$3)/J224</f>
        <v>-7.73769223329142</v>
      </c>
      <c r="M224" s="11">
        <f>ABS(L224/$U$6)</f>
        <v>2.2558869484814635E-2</v>
      </c>
      <c r="N224" s="12">
        <f>L224*SIN(RADIANS(K224))</f>
        <v>0</v>
      </c>
      <c r="O224" s="12">
        <f>L224*COS(RADIANS(K224))</f>
        <v>-7.73769223329142</v>
      </c>
      <c r="P224" s="5">
        <v>2.0120249389442142</v>
      </c>
      <c r="Q224" s="5">
        <v>0.32233694819355641</v>
      </c>
      <c r="R224" s="6">
        <f>P224/Q224</f>
        <v>6.2419928904211019</v>
      </c>
    </row>
    <row r="225" spans="1:18" x14ac:dyDescent="0.35">
      <c r="A225" s="9">
        <v>224</v>
      </c>
      <c r="B225" s="5">
        <v>0.25</v>
      </c>
      <c r="C225" s="5">
        <v>2000000</v>
      </c>
      <c r="D225" s="5">
        <v>20</v>
      </c>
      <c r="E225" s="5">
        <v>0</v>
      </c>
      <c r="F225" s="5">
        <v>1.4999999999999999E-2</v>
      </c>
      <c r="G225" s="12">
        <f>(C225*$U$4)/($U$5*$U$3)</f>
        <v>29.387755102040813</v>
      </c>
      <c r="H225" s="11">
        <f>G225*COS(RADIANS(D225))</f>
        <v>27.615456610851183</v>
      </c>
      <c r="I225" s="11">
        <f>G225*SIN(RADIANS(D225))</f>
        <v>10.051204212019652</v>
      </c>
      <c r="J225" s="12">
        <v>0.18990000000000001</v>
      </c>
      <c r="K225" s="12">
        <v>0</v>
      </c>
      <c r="L225" s="12">
        <f>-(F225*G225*$U$3)/J225</f>
        <v>-2.321307669987426</v>
      </c>
      <c r="M225" s="11">
        <f>ABS(L225/$U$6)</f>
        <v>6.7676608454443907E-3</v>
      </c>
      <c r="N225" s="12">
        <f>L225*SIN(RADIANS(K225))</f>
        <v>0</v>
      </c>
      <c r="O225" s="12">
        <f>L225*COS(RADIANS(K225))</f>
        <v>-2.321307669987426</v>
      </c>
      <c r="P225" s="5">
        <v>2.0752047870515606</v>
      </c>
      <c r="Q225" s="5">
        <v>0.66953854895035492</v>
      </c>
      <c r="R225" s="6">
        <f>P225/Q225</f>
        <v>3.0994552745392907</v>
      </c>
    </row>
    <row r="226" spans="1:18" x14ac:dyDescent="0.35">
      <c r="A226" s="9">
        <v>225</v>
      </c>
      <c r="B226" s="5">
        <v>0.75</v>
      </c>
      <c r="C226" s="5">
        <v>2000000</v>
      </c>
      <c r="D226" s="5">
        <v>5</v>
      </c>
      <c r="E226" s="5">
        <v>0.25</v>
      </c>
      <c r="F226" s="5">
        <v>3.5000000000000003E-2</v>
      </c>
      <c r="G226" s="12">
        <f>(C226*$U$4)/($U$5*$U$3)</f>
        <v>29.387755102040813</v>
      </c>
      <c r="H226" s="11">
        <f>G226*COS(RADIANS(D226))</f>
        <v>29.275925821471702</v>
      </c>
      <c r="I226" s="11">
        <f>G226*SIN(RADIANS(D226))</f>
        <v>2.5613116236046478</v>
      </c>
      <c r="J226" s="12">
        <v>0.28370000000000001</v>
      </c>
      <c r="K226" s="11">
        <v>38</v>
      </c>
      <c r="L226" s="12">
        <f>-(F226*G226*$U$3)/J226</f>
        <v>-3.6255601994058106</v>
      </c>
      <c r="M226" s="11">
        <f>ABS(L226/$U$6)</f>
        <v>1.05701463539528E-2</v>
      </c>
      <c r="N226" s="12">
        <f>L226*SIN(RADIANS(K226))</f>
        <v>-2.2321177412481692</v>
      </c>
      <c r="O226" s="12">
        <f>L226*COS(RADIANS(K226))</f>
        <v>-2.8569804249803097</v>
      </c>
      <c r="P226" s="5">
        <v>3.2504018074869938</v>
      </c>
      <c r="Q226" s="5">
        <v>0.23356197730436576</v>
      </c>
      <c r="R226" s="6">
        <f>P226/Q226</f>
        <v>13.916656490928915</v>
      </c>
    </row>
    <row r="227" spans="1:18" x14ac:dyDescent="0.35">
      <c r="A227" s="9">
        <v>226</v>
      </c>
      <c r="B227" s="5">
        <v>0.5</v>
      </c>
      <c r="C227" s="5">
        <v>6000000</v>
      </c>
      <c r="D227" s="5">
        <v>5</v>
      </c>
      <c r="E227" s="5">
        <v>0.375</v>
      </c>
      <c r="F227" s="5">
        <v>0</v>
      </c>
      <c r="G227" s="12">
        <f>(C227*$U$4)/($U$5*$U$3)</f>
        <v>88.16326530612244</v>
      </c>
      <c r="H227" s="11">
        <f>G227*COS(RADIANS(D227))</f>
        <v>87.827777464415107</v>
      </c>
      <c r="I227" s="11">
        <f>G227*SIN(RADIANS(D227))</f>
        <v>7.6839348708139434</v>
      </c>
      <c r="J227" s="12">
        <v>0.24809999999999999</v>
      </c>
      <c r="K227" s="12">
        <v>67</v>
      </c>
      <c r="L227" s="12">
        <f>-(F227*G227*$U$3)/J227</f>
        <v>0</v>
      </c>
      <c r="M227" s="11">
        <f>ABS(L227/$U$6)</f>
        <v>0</v>
      </c>
      <c r="N227" s="12">
        <f>L227*SIN(RADIANS(K227))</f>
        <v>0</v>
      </c>
      <c r="O227" s="12">
        <f>L227*COS(RADIANS(K227))</f>
        <v>0</v>
      </c>
      <c r="P227" s="5">
        <v>4.3338115301844837</v>
      </c>
      <c r="Q227" s="5">
        <v>0.54033538815052296</v>
      </c>
      <c r="R227" s="6">
        <f>P227/Q227</f>
        <v>8.0205954028263644</v>
      </c>
    </row>
    <row r="228" spans="1:18" x14ac:dyDescent="0.35">
      <c r="A228" s="9">
        <v>227</v>
      </c>
      <c r="B228" s="5">
        <v>0.1</v>
      </c>
      <c r="C228" s="5">
        <v>2000000</v>
      </c>
      <c r="D228" s="5">
        <v>20</v>
      </c>
      <c r="E228" s="5">
        <v>0</v>
      </c>
      <c r="F228" s="5">
        <v>3.5000000000000003E-2</v>
      </c>
      <c r="G228" s="12">
        <f>(C228*$U$4)/($U$5*$U$3)</f>
        <v>29.387755102040813</v>
      </c>
      <c r="H228" s="11">
        <f>G228*COS(RADIANS(D228))</f>
        <v>27.615456610851183</v>
      </c>
      <c r="I228" s="11">
        <f>G228*SIN(RADIANS(D228))</f>
        <v>10.051204212019652</v>
      </c>
      <c r="J228" s="11">
        <v>0.16569999999999999</v>
      </c>
      <c r="K228" s="12">
        <v>0</v>
      </c>
      <c r="L228" s="12">
        <f>-(F228*G228*$U$3)/J228</f>
        <v>-6.2074316751444085</v>
      </c>
      <c r="M228" s="11">
        <f>ABS(L228/$U$6)</f>
        <v>1.8097468440654251E-2</v>
      </c>
      <c r="N228" s="12">
        <f>L228*SIN(RADIANS(K228))</f>
        <v>0</v>
      </c>
      <c r="O228" s="12">
        <f>L228*COS(RADIANS(K228))</f>
        <v>-6.2074316751444085</v>
      </c>
      <c r="P228" s="5">
        <v>1.4108356466070489</v>
      </c>
      <c r="Q228" s="5">
        <v>0.63437409836640446</v>
      </c>
      <c r="R228" s="6">
        <f>P228/Q228</f>
        <v>2.2239805348927919</v>
      </c>
    </row>
    <row r="229" spans="1:18" x14ac:dyDescent="0.35">
      <c r="A229" s="9">
        <v>228</v>
      </c>
      <c r="B229" s="5">
        <v>0.1</v>
      </c>
      <c r="C229" s="5">
        <v>6000000</v>
      </c>
      <c r="D229" s="5">
        <v>0</v>
      </c>
      <c r="E229" s="5">
        <v>0.375</v>
      </c>
      <c r="F229" s="5">
        <v>1.4999999999999999E-2</v>
      </c>
      <c r="G229" s="12">
        <f>(C229*$U$4)/($U$5*$U$3)</f>
        <v>88.16326530612244</v>
      </c>
      <c r="H229" s="11">
        <f>G229*COS(RADIANS(D229))</f>
        <v>88.16326530612244</v>
      </c>
      <c r="I229" s="11">
        <f>G229*SIN(RADIANS(D229))</f>
        <v>0</v>
      </c>
      <c r="J229" s="12">
        <v>0.16789999999999999</v>
      </c>
      <c r="K229" s="11">
        <v>85</v>
      </c>
      <c r="L229" s="12">
        <f>-(F229*G229*$U$3)/J229</f>
        <v>-7.8764084549841371</v>
      </c>
      <c r="M229" s="11">
        <f>ABS(L229/$U$6)</f>
        <v>2.2963289956221974E-2</v>
      </c>
      <c r="N229" s="12">
        <f>L229*SIN(RADIANS(K229))</f>
        <v>-7.8464363428601942</v>
      </c>
      <c r="O229" s="12">
        <f>L229*COS(RADIANS(K229))</f>
        <v>-0.68647422907807698</v>
      </c>
      <c r="P229" s="5">
        <v>1.4152183860899317</v>
      </c>
      <c r="Q229" s="5">
        <v>0.20310346513681204</v>
      </c>
      <c r="R229" s="6">
        <f>P229/Q229</f>
        <v>6.9679677061965917</v>
      </c>
    </row>
    <row r="230" spans="1:18" x14ac:dyDescent="0.35">
      <c r="A230" s="9">
        <v>229</v>
      </c>
      <c r="B230" s="5">
        <v>0.5</v>
      </c>
      <c r="C230" s="5">
        <v>2000000</v>
      </c>
      <c r="D230" s="5">
        <v>20</v>
      </c>
      <c r="E230" s="5">
        <v>0.25</v>
      </c>
      <c r="F230" s="5">
        <v>1.4999999999999999E-2</v>
      </c>
      <c r="G230" s="12">
        <f>(C230*$U$4)/($U$5*$U$3)</f>
        <v>29.387755102040813</v>
      </c>
      <c r="H230" s="11">
        <f>G230*COS(RADIANS(D230))</f>
        <v>27.615456610851183</v>
      </c>
      <c r="I230" s="11">
        <f>G230*SIN(RADIANS(D230))</f>
        <v>10.051204212019652</v>
      </c>
      <c r="J230" s="11">
        <v>0.23580000000000001</v>
      </c>
      <c r="K230" s="11">
        <v>49</v>
      </c>
      <c r="L230" s="12">
        <f>-(F230*G230*$U$3)/J230</f>
        <v>-1.8694500701043775</v>
      </c>
      <c r="M230" s="11">
        <f>ABS(L230/$U$6)</f>
        <v>5.4502917495754446E-3</v>
      </c>
      <c r="N230" s="12">
        <f>L230*SIN(RADIANS(K230))</f>
        <v>-1.4108918776559065</v>
      </c>
      <c r="O230" s="12">
        <f>L230*COS(RADIANS(K230))</f>
        <v>-1.2264695977389137</v>
      </c>
      <c r="P230" s="5">
        <v>3.4848550487629302</v>
      </c>
      <c r="Q230" s="5">
        <v>0.86248318981703942</v>
      </c>
      <c r="R230" s="6">
        <f>P230/Q230</f>
        <v>4.0404904001690518</v>
      </c>
    </row>
    <row r="231" spans="1:18" x14ac:dyDescent="0.35">
      <c r="A231" s="9">
        <v>230</v>
      </c>
      <c r="B231" s="5">
        <v>0.25</v>
      </c>
      <c r="C231" s="5">
        <v>6000000</v>
      </c>
      <c r="D231" s="5">
        <v>10</v>
      </c>
      <c r="E231" s="5">
        <v>0.125</v>
      </c>
      <c r="F231" s="5">
        <v>0.05</v>
      </c>
      <c r="G231" s="12">
        <f>(C231*$U$4)/($U$5*$U$3)</f>
        <v>88.16326530612244</v>
      </c>
      <c r="H231" s="11">
        <f>G231*COS(RADIANS(D231))</f>
        <v>86.823867204341596</v>
      </c>
      <c r="I231" s="11">
        <f>G231*SIN(RADIANS(D231))</f>
        <v>15.309390357574264</v>
      </c>
      <c r="J231" s="11">
        <v>0.19020000000000001</v>
      </c>
      <c r="K231" s="12">
        <v>46</v>
      </c>
      <c r="L231" s="12">
        <f>-(F231*G231*$U$3)/J231</f>
        <v>-23.176463014227771</v>
      </c>
      <c r="M231" s="11">
        <f>ABS(L231/$U$6)</f>
        <v>6.7569863015241316E-2</v>
      </c>
      <c r="N231" s="12">
        <f>L231*SIN(RADIANS(K231))</f>
        <v>-16.671752277210736</v>
      </c>
      <c r="O231" s="12">
        <f>L231*COS(RADIANS(K231))</f>
        <v>-16.099724030466682</v>
      </c>
      <c r="P231" s="5">
        <v>2.263743067058686</v>
      </c>
      <c r="Q231" s="5">
        <v>0.4327822981985972</v>
      </c>
      <c r="R231" s="6">
        <f>P231/Q231</f>
        <v>5.2306738895773615</v>
      </c>
    </row>
    <row r="232" spans="1:18" x14ac:dyDescent="0.35">
      <c r="A232" s="9">
        <v>231</v>
      </c>
      <c r="B232" s="5">
        <v>0.25</v>
      </c>
      <c r="C232" s="5">
        <v>4000000</v>
      </c>
      <c r="D232" s="5">
        <v>0</v>
      </c>
      <c r="E232" s="5">
        <v>0.125</v>
      </c>
      <c r="F232" s="5">
        <v>7.4999999999999997E-2</v>
      </c>
      <c r="G232" s="12">
        <f>(C232*$U$4)/($U$5*$U$3)</f>
        <v>58.775510204081627</v>
      </c>
      <c r="H232" s="11">
        <f>G232*COS(RADIANS(D232))</f>
        <v>58.775510204081627</v>
      </c>
      <c r="I232" s="11">
        <f>G232*SIN(RADIANS(D232))</f>
        <v>0</v>
      </c>
      <c r="J232" s="11">
        <v>0.19020000000000001</v>
      </c>
      <c r="K232" s="12">
        <v>46</v>
      </c>
      <c r="L232" s="12">
        <f>-(F232*G232*$U$3)/J232</f>
        <v>-23.176463014227771</v>
      </c>
      <c r="M232" s="11">
        <f>ABS(L232/$U$6)</f>
        <v>6.7569863015241316E-2</v>
      </c>
      <c r="N232" s="12">
        <f>L232*SIN(RADIANS(K232))</f>
        <v>-16.671752277210736</v>
      </c>
      <c r="O232" s="12">
        <f>L232*COS(RADIANS(K232))</f>
        <v>-16.099724030466682</v>
      </c>
      <c r="P232" s="5">
        <v>2.3432917655045316</v>
      </c>
      <c r="Q232" s="5">
        <v>0.13862279087493154</v>
      </c>
      <c r="R232" s="6">
        <f>P232/Q232</f>
        <v>16.904087348946103</v>
      </c>
    </row>
    <row r="233" spans="1:18" x14ac:dyDescent="0.35">
      <c r="A233" s="9">
        <v>326</v>
      </c>
      <c r="B233" s="5">
        <v>0.25</v>
      </c>
      <c r="C233" s="5">
        <v>6000000</v>
      </c>
      <c r="D233" s="5">
        <v>20</v>
      </c>
      <c r="E233" s="5">
        <v>0.25</v>
      </c>
      <c r="F233" s="5">
        <v>0.15</v>
      </c>
      <c r="G233" s="12">
        <f>(C233*$U$4)/($U$5*$U$3)</f>
        <v>88.16326530612244</v>
      </c>
      <c r="H233" s="11">
        <f>G233*COS(RADIANS(D233))</f>
        <v>82.846369832553549</v>
      </c>
      <c r="I233" s="11">
        <f>G233*SIN(RADIANS(D233))</f>
        <v>30.153612636058952</v>
      </c>
      <c r="J233" s="19">
        <v>0.1913</v>
      </c>
      <c r="K233" s="20">
        <v>67</v>
      </c>
      <c r="L233" s="12">
        <f>-(F233*G233*$U$3)/J233</f>
        <v>-69.129585969254393</v>
      </c>
      <c r="M233" s="11">
        <f>ABS(L233/$U$6)</f>
        <v>0.20154398241765129</v>
      </c>
      <c r="N233" s="12">
        <f>L233*SIN(RADIANS(K233))</f>
        <v>-63.634119401856395</v>
      </c>
      <c r="O233" s="12">
        <f>L233*COS(RADIANS(K233))</f>
        <v>-27.011081137763032</v>
      </c>
      <c r="P233" s="5">
        <v>3.0576128696312335</v>
      </c>
      <c r="Q233" s="5">
        <v>0.70441756507770525</v>
      </c>
      <c r="R233" s="6">
        <f>P233/Q233</f>
        <v>4.3406255340806901</v>
      </c>
    </row>
    <row r="234" spans="1:18" x14ac:dyDescent="0.35">
      <c r="A234" s="9">
        <v>233</v>
      </c>
      <c r="B234" s="5">
        <v>0.75</v>
      </c>
      <c r="C234" s="5">
        <v>2000000</v>
      </c>
      <c r="D234" s="5">
        <v>15</v>
      </c>
      <c r="E234" s="5">
        <v>0</v>
      </c>
      <c r="F234" s="5">
        <v>1.4999999999999999E-2</v>
      </c>
      <c r="G234" s="12">
        <f>(C234*$U$4)/($U$5*$U$3)</f>
        <v>29.387755102040813</v>
      </c>
      <c r="H234" s="11">
        <f>G234*COS(RADIANS(D234))</f>
        <v>28.386391629719554</v>
      </c>
      <c r="I234" s="11">
        <f>G234*SIN(RADIANS(D234))</f>
        <v>7.6061107132169354</v>
      </c>
      <c r="J234" s="11">
        <v>0.27929999999999999</v>
      </c>
      <c r="K234" s="12">
        <v>0</v>
      </c>
      <c r="L234" s="12">
        <f>-(F234*G234*$U$3)/J234</f>
        <v>-1.5782897476928472</v>
      </c>
      <c r="M234" s="11">
        <f>ABS(L234/$U$6)</f>
        <v>4.6014278358392051E-3</v>
      </c>
      <c r="N234" s="12">
        <f>L234*SIN(RADIANS(K234))</f>
        <v>0</v>
      </c>
      <c r="O234" s="12">
        <f>L234*COS(RADIANS(K234))</f>
        <v>-1.5782897476928472</v>
      </c>
      <c r="P234" s="5">
        <v>2.3772333308580649</v>
      </c>
      <c r="Q234" s="5">
        <v>1.247983898521881</v>
      </c>
      <c r="R234" s="6">
        <f>P234/Q234</f>
        <v>1.9048589758839622</v>
      </c>
    </row>
    <row r="235" spans="1:18" x14ac:dyDescent="0.35">
      <c r="A235" s="9">
        <v>234</v>
      </c>
      <c r="B235" s="5">
        <v>0.1</v>
      </c>
      <c r="C235" s="5">
        <v>2000000</v>
      </c>
      <c r="D235" s="5">
        <v>15</v>
      </c>
      <c r="E235" s="5">
        <v>0.375</v>
      </c>
      <c r="F235" s="5">
        <v>2.5000000000000001E-2</v>
      </c>
      <c r="G235" s="12">
        <f>(C235*$U$4)/($U$5*$U$3)</f>
        <v>29.387755102040813</v>
      </c>
      <c r="H235" s="11">
        <f>G235*COS(RADIANS(D235))</f>
        <v>28.386391629719554</v>
      </c>
      <c r="I235" s="11">
        <f>G235*SIN(RADIANS(D235))</f>
        <v>7.6061107132169354</v>
      </c>
      <c r="J235" s="12">
        <v>0.16789999999999999</v>
      </c>
      <c r="K235" s="11">
        <v>85</v>
      </c>
      <c r="L235" s="12">
        <f>-(F235*G235*$U$3)/J235</f>
        <v>-4.3757824749911878</v>
      </c>
      <c r="M235" s="11">
        <f>ABS(L235/$U$6)</f>
        <v>1.2757383309012209E-2</v>
      </c>
      <c r="N235" s="12">
        <f>L235*SIN(RADIANS(K235))</f>
        <v>-4.359131301588997</v>
      </c>
      <c r="O235" s="12">
        <f>L235*COS(RADIANS(K235))</f>
        <v>-0.3813745717100428</v>
      </c>
      <c r="P235" s="5">
        <v>1.8040239089741363</v>
      </c>
      <c r="Q235" s="5">
        <v>0.67687261963042544</v>
      </c>
      <c r="R235" s="6">
        <f>P235/Q235</f>
        <v>2.6652339844373363</v>
      </c>
    </row>
    <row r="236" spans="1:18" x14ac:dyDescent="0.35">
      <c r="A236" s="9">
        <v>235</v>
      </c>
      <c r="B236" s="5">
        <v>1</v>
      </c>
      <c r="C236" s="5">
        <v>2000000</v>
      </c>
      <c r="D236" s="5">
        <v>0</v>
      </c>
      <c r="E236" s="5">
        <v>0.375</v>
      </c>
      <c r="F236" s="5">
        <v>0.05</v>
      </c>
      <c r="G236" s="12">
        <f>(C236*$U$4)/($U$5*$U$3)</f>
        <v>29.387755102040813</v>
      </c>
      <c r="H236" s="11">
        <f>G236*COS(RADIANS(D236))</f>
        <v>29.387755102040813</v>
      </c>
      <c r="I236" s="11">
        <f>G236*SIN(RADIANS(D236))</f>
        <v>0</v>
      </c>
      <c r="J236" s="12">
        <v>0.33379999999999999</v>
      </c>
      <c r="K236" s="11">
        <v>49</v>
      </c>
      <c r="L236" s="12">
        <f>-(F236*G236*$U$3)/J236</f>
        <v>-4.4020004646556048</v>
      </c>
      <c r="M236" s="11">
        <f>ABS(L236/$U$6)</f>
        <v>1.283382059666357E-2</v>
      </c>
      <c r="N236" s="12">
        <f>L236*SIN(RADIANS(K236))</f>
        <v>-3.3222319228206789</v>
      </c>
      <c r="O236" s="12">
        <f>L236*COS(RADIANS(K236))</f>
        <v>-2.8879721504577178</v>
      </c>
      <c r="P236" s="5">
        <v>4.7763880697691272</v>
      </c>
      <c r="Q236" s="5">
        <v>-0.57524977266050648</v>
      </c>
      <c r="R236" s="6">
        <f>P236/Q236</f>
        <v>-8.3031550758873482</v>
      </c>
    </row>
    <row r="237" spans="1:18" x14ac:dyDescent="0.35">
      <c r="A237" s="9">
        <v>236</v>
      </c>
      <c r="B237" s="5">
        <v>0.25</v>
      </c>
      <c r="C237" s="5">
        <v>6000000</v>
      </c>
      <c r="D237" s="5">
        <v>10</v>
      </c>
      <c r="E237" s="5">
        <v>0.25</v>
      </c>
      <c r="F237" s="5">
        <v>2.5000000000000001E-2</v>
      </c>
      <c r="G237" s="12">
        <f>(C237*$U$4)/($U$5*$U$3)</f>
        <v>88.16326530612244</v>
      </c>
      <c r="H237" s="11">
        <f>G237*COS(RADIANS(D237))</f>
        <v>86.823867204341596</v>
      </c>
      <c r="I237" s="11">
        <f>G237*SIN(RADIANS(D237))</f>
        <v>15.309390357574264</v>
      </c>
      <c r="J237" s="12">
        <v>0.1913</v>
      </c>
      <c r="K237" s="11">
        <v>67</v>
      </c>
      <c r="L237" s="12">
        <f>-(F237*G237*$U$3)/J237</f>
        <v>-11.521597661542399</v>
      </c>
      <c r="M237" s="11">
        <f>ABS(L237/$U$6)</f>
        <v>3.3590663736275214E-2</v>
      </c>
      <c r="N237" s="12">
        <f>L237*SIN(RADIANS(K237))</f>
        <v>-10.605686566976066</v>
      </c>
      <c r="O237" s="12">
        <f>L237*COS(RADIANS(K237))</f>
        <v>-4.501846856293839</v>
      </c>
      <c r="P237" s="5">
        <v>2.1145086246327525</v>
      </c>
      <c r="Q237" s="5">
        <v>0.39794475531345863</v>
      </c>
      <c r="R237" s="6">
        <f>P237/Q237</f>
        <v>5.3135732947835113</v>
      </c>
    </row>
    <row r="238" spans="1:18" x14ac:dyDescent="0.35">
      <c r="A238" s="9">
        <v>237</v>
      </c>
      <c r="B238" s="5">
        <v>0.5</v>
      </c>
      <c r="C238" s="5">
        <v>6000000</v>
      </c>
      <c r="D238" s="5">
        <v>10</v>
      </c>
      <c r="E238" s="5">
        <v>0.125</v>
      </c>
      <c r="F238" s="5">
        <v>0.05</v>
      </c>
      <c r="G238" s="12">
        <f>(C238*$U$4)/($U$5*$U$3)</f>
        <v>88.16326530612244</v>
      </c>
      <c r="H238" s="11">
        <f>G238*COS(RADIANS(D238))</f>
        <v>86.823867204341596</v>
      </c>
      <c r="I238" s="11">
        <f>G238*SIN(RADIANS(D238))</f>
        <v>15.309390357574264</v>
      </c>
      <c r="J238" s="12">
        <v>0.23300000000000001</v>
      </c>
      <c r="K238" s="11">
        <v>27</v>
      </c>
      <c r="L238" s="12">
        <f>-(F238*G238*$U$3)/J238</f>
        <v>-18.919155645090651</v>
      </c>
      <c r="M238" s="11">
        <f>ABS(L238/$U$6)</f>
        <v>5.5157888178106858E-2</v>
      </c>
      <c r="N238" s="12">
        <f>L238*SIN(RADIANS(K238))</f>
        <v>-8.5891169259649711</v>
      </c>
      <c r="O238" s="12">
        <f>L238*COS(RADIANS(K238))</f>
        <v>-16.857091111910961</v>
      </c>
      <c r="P238" s="5">
        <v>4.6448572688316947</v>
      </c>
      <c r="Q238" s="5">
        <v>0.58109773611134852</v>
      </c>
      <c r="R238" s="6">
        <f>P238/Q238</f>
        <v>7.9932461962675045</v>
      </c>
    </row>
    <row r="239" spans="1:18" x14ac:dyDescent="0.35">
      <c r="A239" s="9">
        <v>238</v>
      </c>
      <c r="B239" s="5">
        <v>0.25</v>
      </c>
      <c r="C239" s="5">
        <v>6000000</v>
      </c>
      <c r="D239" s="5">
        <v>0</v>
      </c>
      <c r="E239" s="5">
        <v>0</v>
      </c>
      <c r="F239" s="5">
        <v>0.05</v>
      </c>
      <c r="G239" s="12">
        <f>(C239*$U$4)/($U$5*$U$3)</f>
        <v>88.16326530612244</v>
      </c>
      <c r="H239" s="11">
        <f>G239*COS(RADIANS(D239))</f>
        <v>88.16326530612244</v>
      </c>
      <c r="I239" s="11">
        <f>G239*SIN(RADIANS(D239))</f>
        <v>0</v>
      </c>
      <c r="J239" s="12">
        <v>0.18990000000000001</v>
      </c>
      <c r="K239" s="12">
        <v>0</v>
      </c>
      <c r="L239" s="12">
        <f>-(F239*G239*$U$3)/J239</f>
        <v>-23.213076699874257</v>
      </c>
      <c r="M239" s="11">
        <f>ABS(L239/$U$6)</f>
        <v>6.7676608454443898E-2</v>
      </c>
      <c r="N239" s="12">
        <f>L239*SIN(RADIANS(K239))</f>
        <v>0</v>
      </c>
      <c r="O239" s="12">
        <f>L239*COS(RADIANS(K239))</f>
        <v>-23.213076699874257</v>
      </c>
      <c r="P239" s="5">
        <v>2.1371929138692587</v>
      </c>
      <c r="Q239" s="5">
        <v>0.16564733778691121</v>
      </c>
      <c r="R239" s="6">
        <f>P239/Q239</f>
        <v>12.902066175180819</v>
      </c>
    </row>
    <row r="240" spans="1:18" x14ac:dyDescent="0.35">
      <c r="A240" s="9">
        <v>239</v>
      </c>
      <c r="B240" s="5">
        <v>0.75</v>
      </c>
      <c r="C240" s="5">
        <v>4000000</v>
      </c>
      <c r="D240" s="5">
        <v>10</v>
      </c>
      <c r="E240" s="5">
        <v>0.125</v>
      </c>
      <c r="F240" s="5">
        <v>0.1</v>
      </c>
      <c r="G240" s="12">
        <f>(C240*$U$4)/($U$5*$U$3)</f>
        <v>58.775510204081627</v>
      </c>
      <c r="H240" s="11">
        <f>G240*COS(RADIANS(D240))</f>
        <v>57.882578136227728</v>
      </c>
      <c r="I240" s="11">
        <f>G240*SIN(RADIANS(D240))</f>
        <v>10.206260238382843</v>
      </c>
      <c r="J240" s="12">
        <v>0.2802</v>
      </c>
      <c r="K240" s="12">
        <v>19</v>
      </c>
      <c r="L240" s="12">
        <f>-(F240*G240*$U$3)/J240</f>
        <v>-20.976270593890657</v>
      </c>
      <c r="M240" s="11">
        <f>ABS(L240/$U$6)</f>
        <v>6.1155307853908623E-2</v>
      </c>
      <c r="N240" s="12">
        <f>L240*SIN(RADIANS(K240))</f>
        <v>-6.8292057046469079</v>
      </c>
      <c r="O240" s="12">
        <f>L240*COS(RADIANS(K240))</f>
        <v>-19.833453493321329</v>
      </c>
      <c r="P240" s="5">
        <v>3.6588035095453355</v>
      </c>
      <c r="Q240" s="5">
        <v>0.57171291685882841</v>
      </c>
      <c r="R240" s="6">
        <f>P240/Q240</f>
        <v>6.3997216114128737</v>
      </c>
    </row>
    <row r="241" spans="1:18" x14ac:dyDescent="0.35">
      <c r="A241" s="9">
        <v>240</v>
      </c>
      <c r="B241" s="5">
        <v>1</v>
      </c>
      <c r="C241" s="5">
        <v>4000000</v>
      </c>
      <c r="D241" s="5">
        <v>0</v>
      </c>
      <c r="E241" s="5">
        <v>0.25</v>
      </c>
      <c r="F241" s="5">
        <v>7.4999999999999997E-2</v>
      </c>
      <c r="G241" s="12">
        <f>(C241*$U$4)/($U$5*$U$3)</f>
        <v>58.775510204081627</v>
      </c>
      <c r="H241" s="11">
        <f>G241*COS(RADIANS(D241))</f>
        <v>58.775510204081627</v>
      </c>
      <c r="I241" s="11">
        <f>G241*SIN(RADIANS(D241))</f>
        <v>0</v>
      </c>
      <c r="J241" s="13">
        <v>0.33379999999999999</v>
      </c>
      <c r="K241" s="12">
        <v>30</v>
      </c>
      <c r="L241" s="12">
        <f>-(F241*G241*$U$3)/J241</f>
        <v>-13.206001393966813</v>
      </c>
      <c r="M241" s="11">
        <f>ABS(L241/$U$6)</f>
        <v>3.8501461789990712E-2</v>
      </c>
      <c r="N241" s="12">
        <f>L241*SIN(RADIANS(K241))</f>
        <v>-6.6030006969834059</v>
      </c>
      <c r="O241" s="12">
        <f>L241*COS(RADIANS(K241))</f>
        <v>-11.43673268958797</v>
      </c>
      <c r="P241" s="5">
        <v>4.5183471394663579</v>
      </c>
      <c r="Q241" s="5">
        <v>-0.50017991362377257</v>
      </c>
      <c r="R241" s="6">
        <f>P241/Q241</f>
        <v>-9.0334437997144104</v>
      </c>
    </row>
    <row r="242" spans="1:18" x14ac:dyDescent="0.35">
      <c r="A242" s="9">
        <v>241</v>
      </c>
      <c r="B242" s="5">
        <v>1</v>
      </c>
      <c r="C242" s="5">
        <v>2000000</v>
      </c>
      <c r="D242" s="5">
        <v>15</v>
      </c>
      <c r="E242" s="5">
        <v>0.125</v>
      </c>
      <c r="F242" s="5">
        <v>0.05</v>
      </c>
      <c r="G242" s="12">
        <f>(C242*$U$4)/($U$5*$U$3)</f>
        <v>29.387755102040813</v>
      </c>
      <c r="H242" s="11">
        <f>G242*COS(RADIANS(D242))</f>
        <v>28.386391629719554</v>
      </c>
      <c r="I242" s="11">
        <f>G242*SIN(RADIANS(D242))</f>
        <v>7.6061107132169354</v>
      </c>
      <c r="J242" s="11">
        <v>0.33379999999999999</v>
      </c>
      <c r="K242" s="12">
        <v>14</v>
      </c>
      <c r="L242" s="12">
        <f>-(F242*G242*$U$3)/J242</f>
        <v>-4.4020004646556048</v>
      </c>
      <c r="M242" s="11">
        <f>ABS(L242/$U$6)</f>
        <v>1.283382059666357E-2</v>
      </c>
      <c r="N242" s="12">
        <f>L242*SIN(RADIANS(K242))</f>
        <v>-1.0649402968401021</v>
      </c>
      <c r="O242" s="12">
        <f>L242*COS(RADIANS(K242))</f>
        <v>-4.2712422379202843</v>
      </c>
      <c r="P242" s="5">
        <v>3.891791370094011</v>
      </c>
      <c r="Q242" s="5">
        <v>0.97381201314292409</v>
      </c>
      <c r="R242" s="6">
        <f>P242/Q242</f>
        <v>3.9964503595858001</v>
      </c>
    </row>
    <row r="243" spans="1:18" x14ac:dyDescent="0.35">
      <c r="A243" s="9">
        <v>242</v>
      </c>
      <c r="B243" s="5">
        <v>0.25</v>
      </c>
      <c r="C243" s="5">
        <v>4000000</v>
      </c>
      <c r="D243" s="5">
        <v>5</v>
      </c>
      <c r="E243" s="5">
        <v>0.25</v>
      </c>
      <c r="F243" s="5">
        <v>0.05</v>
      </c>
      <c r="G243" s="12">
        <f>(C243*$U$4)/($U$5*$U$3)</f>
        <v>58.775510204081627</v>
      </c>
      <c r="H243" s="11">
        <f>G243*COS(RADIANS(D243))</f>
        <v>58.551851642943404</v>
      </c>
      <c r="I243" s="11">
        <f>G243*SIN(RADIANS(D243))</f>
        <v>5.1226232472092956</v>
      </c>
      <c r="J243" s="12">
        <v>0.1913</v>
      </c>
      <c r="K243" s="11">
        <v>67</v>
      </c>
      <c r="L243" s="12">
        <f>-(F243*G243*$U$3)/J243</f>
        <v>-15.362130215389866</v>
      </c>
      <c r="M243" s="11">
        <f>ABS(L243/$U$6)</f>
        <v>4.4787551648366959E-2</v>
      </c>
      <c r="N243" s="12">
        <f>L243*SIN(RADIANS(K243))</f>
        <v>-14.140915422634755</v>
      </c>
      <c r="O243" s="12">
        <f>L243*COS(RADIANS(K243))</f>
        <v>-6.0024624750584517</v>
      </c>
      <c r="P243" s="5">
        <v>2.0743994586333532</v>
      </c>
      <c r="Q243" s="5">
        <v>0.249153548428449</v>
      </c>
      <c r="R243" s="6">
        <f>P243/Q243</f>
        <v>8.3257873376387881</v>
      </c>
    </row>
    <row r="244" spans="1:18" x14ac:dyDescent="0.35">
      <c r="A244" s="9">
        <v>243</v>
      </c>
      <c r="B244" s="5">
        <v>0.25</v>
      </c>
      <c r="C244" s="5">
        <v>6000000</v>
      </c>
      <c r="D244" s="5">
        <v>5</v>
      </c>
      <c r="E244" s="5">
        <v>0</v>
      </c>
      <c r="F244" s="5">
        <v>0</v>
      </c>
      <c r="G244" s="12">
        <f>(C244*$U$4)/($U$5*$U$3)</f>
        <v>88.16326530612244</v>
      </c>
      <c r="H244" s="11">
        <f>G244*COS(RADIANS(D244))</f>
        <v>87.827777464415107</v>
      </c>
      <c r="I244" s="11">
        <f>G244*SIN(RADIANS(D244))</f>
        <v>7.6839348708139434</v>
      </c>
      <c r="J244" s="12">
        <v>0.18990000000000001</v>
      </c>
      <c r="K244" s="12">
        <v>0</v>
      </c>
      <c r="L244" s="12">
        <f>-(F244*G244*$U$3)/J244</f>
        <v>0</v>
      </c>
      <c r="M244" s="11">
        <f>ABS(L244/$U$6)</f>
        <v>0</v>
      </c>
      <c r="N244" s="12">
        <f>L244*SIN(RADIANS(K244))</f>
        <v>0</v>
      </c>
      <c r="O244" s="12">
        <f>L244*COS(RADIANS(K244))</f>
        <v>0</v>
      </c>
      <c r="P244" s="5">
        <v>2.264492015199425</v>
      </c>
      <c r="Q244" s="5">
        <v>0.38885450630050838</v>
      </c>
      <c r="R244" s="6">
        <f>P244/Q244</f>
        <v>5.8234943365923506</v>
      </c>
    </row>
    <row r="245" spans="1:18" x14ac:dyDescent="0.35">
      <c r="A245" s="9">
        <v>244</v>
      </c>
      <c r="B245" s="5">
        <v>1</v>
      </c>
      <c r="C245" s="5">
        <v>2000000</v>
      </c>
      <c r="D245" s="5">
        <v>30</v>
      </c>
      <c r="E245" s="5">
        <v>0.125</v>
      </c>
      <c r="F245" s="5">
        <v>0.05</v>
      </c>
      <c r="G245" s="12">
        <f>(C245*$U$4)/($U$5*$U$3)</f>
        <v>29.387755102040813</v>
      </c>
      <c r="H245" s="11">
        <f>G245*COS(RADIANS(D245))</f>
        <v>25.450542478563094</v>
      </c>
      <c r="I245" s="11">
        <f>G245*SIN(RADIANS(D245))</f>
        <v>14.693877551020405</v>
      </c>
      <c r="J245" s="11">
        <v>0.33379999999999999</v>
      </c>
      <c r="K245" s="12">
        <v>14</v>
      </c>
      <c r="L245" s="12">
        <f>-(F245*G245*$U$3)/J245</f>
        <v>-4.4020004646556048</v>
      </c>
      <c r="M245" s="11">
        <f>ABS(L245/$U$6)</f>
        <v>1.283382059666357E-2</v>
      </c>
      <c r="N245" s="12">
        <f>L245*SIN(RADIANS(K245))</f>
        <v>-1.0649402968401021</v>
      </c>
      <c r="O245" s="12">
        <f>L245*COS(RADIANS(K245))</f>
        <v>-4.2712422379202843</v>
      </c>
      <c r="P245" s="5">
        <v>3.5812958901755598</v>
      </c>
      <c r="Q245" s="5">
        <v>1.3145835945381754</v>
      </c>
      <c r="R245" s="6">
        <f>P245/Q245</f>
        <v>2.7242815938485068</v>
      </c>
    </row>
    <row r="246" spans="1:18" x14ac:dyDescent="0.35">
      <c r="A246" s="9">
        <v>245</v>
      </c>
      <c r="B246" s="5">
        <v>0.75</v>
      </c>
      <c r="C246" s="5">
        <v>4000000</v>
      </c>
      <c r="D246" s="5">
        <v>30</v>
      </c>
      <c r="E246" s="5">
        <v>0</v>
      </c>
      <c r="F246" s="5">
        <v>0.15</v>
      </c>
      <c r="G246" s="12">
        <f>(C246*$U$4)/($U$5*$U$3)</f>
        <v>58.775510204081627</v>
      </c>
      <c r="H246" s="11">
        <f>G246*COS(RADIANS(D246))</f>
        <v>50.901084957126187</v>
      </c>
      <c r="I246" s="11">
        <f>G246*SIN(RADIANS(D246))</f>
        <v>29.38775510204081</v>
      </c>
      <c r="J246" s="11">
        <v>0.27929999999999999</v>
      </c>
      <c r="K246" s="12">
        <v>0</v>
      </c>
      <c r="L246" s="12">
        <f>-(F246*G246*$U$3)/J246</f>
        <v>-31.565794953856944</v>
      </c>
      <c r="M246" s="11">
        <f>ABS(L246/$U$6)</f>
        <v>9.2028556716784088E-2</v>
      </c>
      <c r="N246" s="12">
        <f>L246*SIN(RADIANS(K246))</f>
        <v>0</v>
      </c>
      <c r="O246" s="12">
        <f>L246*COS(RADIANS(K246))</f>
        <v>-31.565794953856944</v>
      </c>
      <c r="P246" s="5">
        <v>7.860572554781009</v>
      </c>
      <c r="Q246" s="5">
        <v>2.311917969486021</v>
      </c>
      <c r="R246" s="6">
        <f>P246/Q246</f>
        <v>3.4000222579387405</v>
      </c>
    </row>
    <row r="247" spans="1:18" x14ac:dyDescent="0.35">
      <c r="A247" s="9">
        <v>246</v>
      </c>
      <c r="B247" s="5">
        <v>0.5</v>
      </c>
      <c r="C247" s="5">
        <v>2000000</v>
      </c>
      <c r="D247" s="5">
        <v>30</v>
      </c>
      <c r="E247" s="5">
        <v>0.125</v>
      </c>
      <c r="F247" s="5">
        <v>0.1</v>
      </c>
      <c r="G247" s="12">
        <f>(C247*$U$4)/($U$5*$U$3)</f>
        <v>29.387755102040813</v>
      </c>
      <c r="H247" s="11">
        <f>G247*COS(RADIANS(D247))</f>
        <v>25.450542478563094</v>
      </c>
      <c r="I247" s="11">
        <f>G247*SIN(RADIANS(D247))</f>
        <v>14.693877551020405</v>
      </c>
      <c r="J247" s="12">
        <v>0.23300000000000001</v>
      </c>
      <c r="K247" s="11">
        <v>27</v>
      </c>
      <c r="L247" s="12">
        <f>-(F247*G247*$U$3)/J247</f>
        <v>-12.612770430060435</v>
      </c>
      <c r="M247" s="11">
        <f>ABS(L247/$U$6)</f>
        <v>3.6771925452071239E-2</v>
      </c>
      <c r="N247" s="12">
        <f>L247*SIN(RADIANS(K247))</f>
        <v>-5.7260779506433144</v>
      </c>
      <c r="O247" s="12">
        <f>L247*COS(RADIANS(K247))</f>
        <v>-11.238060741273975</v>
      </c>
      <c r="P247" s="5">
        <v>3.1925863566407897</v>
      </c>
      <c r="Q247" s="5">
        <v>1.0721213037221113</v>
      </c>
      <c r="R247" s="6">
        <f>P247/Q247</f>
        <v>2.9778219549942762</v>
      </c>
    </row>
    <row r="248" spans="1:18" x14ac:dyDescent="0.35">
      <c r="A248" s="9">
        <v>698</v>
      </c>
      <c r="B248" s="5">
        <v>0.25</v>
      </c>
      <c r="C248" s="5">
        <v>6000000</v>
      </c>
      <c r="D248" s="5">
        <v>30</v>
      </c>
      <c r="E248" s="5">
        <v>0.25</v>
      </c>
      <c r="F248" s="5">
        <v>0.15</v>
      </c>
      <c r="G248" s="12">
        <f>(C248*$U$4)/($U$5*$U$3)</f>
        <v>88.16326530612244</v>
      </c>
      <c r="H248" s="11">
        <f>G248*COS(RADIANS(D248))</f>
        <v>76.351627435689281</v>
      </c>
      <c r="I248" s="11">
        <f>G248*SIN(RADIANS(D248))</f>
        <v>44.081632653061213</v>
      </c>
      <c r="J248" s="12">
        <v>0.1913</v>
      </c>
      <c r="K248" s="11">
        <v>67</v>
      </c>
      <c r="L248" s="12">
        <f>-(F248*G248*$U$3)/J248</f>
        <v>-69.129585969254393</v>
      </c>
      <c r="M248" s="11">
        <f>ABS(L248/$U$6)</f>
        <v>0.20154398241765129</v>
      </c>
      <c r="N248" s="12">
        <f>L248*SIN(RADIANS(K248))</f>
        <v>-63.634119401856395</v>
      </c>
      <c r="O248" s="12">
        <f>L248*COS(RADIANS(K248))</f>
        <v>-27.011081137763032</v>
      </c>
      <c r="P248" s="5">
        <v>3.1577718735566696</v>
      </c>
      <c r="Q248" s="5">
        <v>1.0765386712085614</v>
      </c>
      <c r="R248" s="6">
        <f>P248/Q248</f>
        <v>2.933263762844339</v>
      </c>
    </row>
    <row r="249" spans="1:18" x14ac:dyDescent="0.35">
      <c r="A249" s="9">
        <v>1432</v>
      </c>
      <c r="B249" s="5">
        <v>0.25</v>
      </c>
      <c r="C249" s="5">
        <v>6000000</v>
      </c>
      <c r="D249" s="5">
        <v>5</v>
      </c>
      <c r="E249" s="5">
        <v>0.25</v>
      </c>
      <c r="F249" s="5">
        <v>0.15</v>
      </c>
      <c r="G249" s="12">
        <f>(C249*$U$4)/($U$5*$U$3)</f>
        <v>88.16326530612244</v>
      </c>
      <c r="H249" s="11">
        <f>G249*COS(RADIANS(D249))</f>
        <v>87.827777464415107</v>
      </c>
      <c r="I249" s="11">
        <f>G249*SIN(RADIANS(D249))</f>
        <v>7.6839348708139434</v>
      </c>
      <c r="J249" s="12">
        <v>0.1913</v>
      </c>
      <c r="K249" s="11">
        <v>67</v>
      </c>
      <c r="L249" s="12">
        <f>-(F249*G249*$U$3)/J249</f>
        <v>-69.129585969254393</v>
      </c>
      <c r="M249" s="11">
        <f>ABS(L249/$U$6)</f>
        <v>0.20154398241765129</v>
      </c>
      <c r="N249" s="12">
        <f>L249*SIN(RADIANS(K249))</f>
        <v>-63.634119401856395</v>
      </c>
      <c r="O249" s="12">
        <f>L249*COS(RADIANS(K249))</f>
        <v>-27.011081137763032</v>
      </c>
      <c r="P249" s="5">
        <v>2.8658545697932252</v>
      </c>
      <c r="Q249" s="5">
        <v>0.15864961980311953</v>
      </c>
      <c r="R249" s="6">
        <f>P249/Q249</f>
        <v>18.064049402385482</v>
      </c>
    </row>
    <row r="250" spans="1:18" x14ac:dyDescent="0.35">
      <c r="A250" s="9">
        <v>249</v>
      </c>
      <c r="B250" s="5">
        <v>0.5</v>
      </c>
      <c r="C250" s="5">
        <v>4000000</v>
      </c>
      <c r="D250" s="5">
        <v>15</v>
      </c>
      <c r="E250" s="5">
        <v>0.125</v>
      </c>
      <c r="F250" s="5">
        <v>0.05</v>
      </c>
      <c r="G250" s="12">
        <f>(C250*$U$4)/($U$5*$U$3)</f>
        <v>58.775510204081627</v>
      </c>
      <c r="H250" s="11">
        <f>G250*COS(RADIANS(D250))</f>
        <v>56.772783259439109</v>
      </c>
      <c r="I250" s="11">
        <f>G250*SIN(RADIANS(D250))</f>
        <v>15.212221426433871</v>
      </c>
      <c r="J250" s="12">
        <v>0.23300000000000001</v>
      </c>
      <c r="K250" s="11">
        <v>27</v>
      </c>
      <c r="L250" s="12">
        <f>-(F250*G250*$U$3)/J250</f>
        <v>-12.612770430060435</v>
      </c>
      <c r="M250" s="11">
        <f>ABS(L250/$U$6)</f>
        <v>3.6771925452071239E-2</v>
      </c>
      <c r="N250" s="12">
        <f>L250*SIN(RADIANS(K250))</f>
        <v>-5.7260779506433144</v>
      </c>
      <c r="O250" s="12">
        <f>L250*COS(RADIANS(K250))</f>
        <v>-11.238060741273975</v>
      </c>
      <c r="P250" s="5">
        <v>4.6881943992814268</v>
      </c>
      <c r="Q250" s="5">
        <v>0.82341741502969101</v>
      </c>
      <c r="R250" s="6">
        <f>P250/Q250</f>
        <v>5.6935817893921739</v>
      </c>
    </row>
    <row r="251" spans="1:18" x14ac:dyDescent="0.35">
      <c r="A251" s="9">
        <v>250</v>
      </c>
      <c r="B251" s="5">
        <v>0.25</v>
      </c>
      <c r="C251" s="5">
        <v>4000000</v>
      </c>
      <c r="D251" s="5">
        <v>20</v>
      </c>
      <c r="E251" s="5">
        <v>0.375</v>
      </c>
      <c r="F251" s="5">
        <v>7.4999999999999997E-2</v>
      </c>
      <c r="G251" s="12">
        <f>(C251*$U$4)/($U$5*$U$3)</f>
        <v>58.775510204081627</v>
      </c>
      <c r="H251" s="11">
        <f>G251*COS(RADIANS(D251))</f>
        <v>55.230913221702366</v>
      </c>
      <c r="I251" s="11">
        <f>G251*SIN(RADIANS(D251))</f>
        <v>20.102408424039304</v>
      </c>
      <c r="J251" s="11">
        <v>0.1976</v>
      </c>
      <c r="K251" s="12">
        <v>78</v>
      </c>
      <c r="L251" s="12">
        <f>-(F251*G251*$U$3)/J251</f>
        <v>-22.308518549120052</v>
      </c>
      <c r="M251" s="11">
        <f>ABS(L251/$U$6)</f>
        <v>6.5039412679650299E-2</v>
      </c>
      <c r="N251" s="12">
        <f>L251*SIN(RADIANS(K251))</f>
        <v>-21.821023894747377</v>
      </c>
      <c r="O251" s="12">
        <f>L251*COS(RADIANS(K251))</f>
        <v>-4.6382018111869003</v>
      </c>
      <c r="P251" s="5">
        <v>2.6627160035638755</v>
      </c>
      <c r="Q251" s="5">
        <v>0.62301295908915422</v>
      </c>
      <c r="R251" s="6">
        <f>P251/Q251</f>
        <v>4.2739335750844889</v>
      </c>
    </row>
    <row r="252" spans="1:18" x14ac:dyDescent="0.35">
      <c r="A252" s="9">
        <v>251</v>
      </c>
      <c r="B252" s="5">
        <v>0.1</v>
      </c>
      <c r="C252" s="5">
        <v>4000000</v>
      </c>
      <c r="D252" s="5">
        <v>15</v>
      </c>
      <c r="E252" s="5">
        <v>0.125</v>
      </c>
      <c r="F252" s="5">
        <v>1.4999999999999999E-2</v>
      </c>
      <c r="G252" s="12">
        <f>(C252*$U$4)/($U$5*$U$3)</f>
        <v>58.775510204081627</v>
      </c>
      <c r="H252" s="11">
        <f>G252*COS(RADIANS(D252))</f>
        <v>56.772783259439109</v>
      </c>
      <c r="I252" s="11">
        <f>G252*SIN(RADIANS(D252))</f>
        <v>15.212221426433871</v>
      </c>
      <c r="J252" s="12">
        <v>0.1658</v>
      </c>
      <c r="K252" s="12">
        <v>69</v>
      </c>
      <c r="L252" s="12">
        <f>-(F252*G252*$U$3)/J252</f>
        <v>-5.3174466409000267</v>
      </c>
      <c r="M252" s="11">
        <f>ABS(L252/$U$6)</f>
        <v>1.5502759886005909E-2</v>
      </c>
      <c r="N252" s="12">
        <f>L252*SIN(RADIANS(K252))</f>
        <v>-4.9642641028875598</v>
      </c>
      <c r="O252" s="12">
        <f>L252*COS(RADIANS(K252))</f>
        <v>-1.9056024495158879</v>
      </c>
      <c r="P252" s="5">
        <v>1.311284047699713</v>
      </c>
      <c r="Q252" s="5">
        <v>0.56049022881568522</v>
      </c>
      <c r="R252" s="6">
        <f>P252/Q252</f>
        <v>2.3395306113907708</v>
      </c>
    </row>
    <row r="253" spans="1:18" x14ac:dyDescent="0.35">
      <c r="A253" s="9">
        <v>252</v>
      </c>
      <c r="B253" s="5">
        <v>0.75</v>
      </c>
      <c r="C253" s="5">
        <v>4000000</v>
      </c>
      <c r="D253" s="5">
        <v>0</v>
      </c>
      <c r="E253" s="5">
        <v>0.125</v>
      </c>
      <c r="F253" s="5">
        <v>0.05</v>
      </c>
      <c r="G253" s="12">
        <f>(C253*$U$4)/($U$5*$U$3)</f>
        <v>58.775510204081627</v>
      </c>
      <c r="H253" s="11">
        <f>G253*COS(RADIANS(D253))</f>
        <v>58.775510204081627</v>
      </c>
      <c r="I253" s="11">
        <f>G253*SIN(RADIANS(D253))</f>
        <v>0</v>
      </c>
      <c r="J253" s="12">
        <v>0.2802</v>
      </c>
      <c r="K253" s="12">
        <v>19</v>
      </c>
      <c r="L253" s="12">
        <f>-(F253*G253*$U$3)/J253</f>
        <v>-10.488135296945329</v>
      </c>
      <c r="M253" s="11">
        <f>ABS(L253/$U$6)</f>
        <v>3.0577653926954312E-2</v>
      </c>
      <c r="N253" s="12">
        <f>L253*SIN(RADIANS(K253))</f>
        <v>-3.414602852323454</v>
      </c>
      <c r="O253" s="12">
        <f>L253*COS(RADIANS(K253))</f>
        <v>-9.9167267466606646</v>
      </c>
      <c r="P253" s="5">
        <v>5.07350346668456</v>
      </c>
      <c r="Q253" s="5">
        <v>-5.8959422904783072E-2</v>
      </c>
      <c r="R253" s="6">
        <f>P253/Q253</f>
        <v>-86.050765369227733</v>
      </c>
    </row>
    <row r="254" spans="1:18" x14ac:dyDescent="0.35">
      <c r="A254" s="9">
        <v>253</v>
      </c>
      <c r="B254" s="5">
        <v>0.25</v>
      </c>
      <c r="C254" s="5">
        <v>4000000</v>
      </c>
      <c r="D254" s="5">
        <v>10</v>
      </c>
      <c r="E254" s="5">
        <v>0.375</v>
      </c>
      <c r="F254" s="5">
        <v>0.1</v>
      </c>
      <c r="G254" s="12">
        <f>(C254*$U$4)/($U$5*$U$3)</f>
        <v>58.775510204081627</v>
      </c>
      <c r="H254" s="11">
        <f>G254*COS(RADIANS(D254))</f>
        <v>57.882578136227728</v>
      </c>
      <c r="I254" s="11">
        <f>G254*SIN(RADIANS(D254))</f>
        <v>10.206260238382843</v>
      </c>
      <c r="J254" s="11">
        <v>0.1976</v>
      </c>
      <c r="K254" s="12">
        <v>78</v>
      </c>
      <c r="L254" s="12">
        <f>-(F254*G254*$U$3)/J254</f>
        <v>-29.744691398826735</v>
      </c>
      <c r="M254" s="11">
        <f>ABS(L254/$U$6)</f>
        <v>8.6719216906200394E-2</v>
      </c>
      <c r="N254" s="12">
        <f>L254*SIN(RADIANS(K254))</f>
        <v>-29.094698526329832</v>
      </c>
      <c r="O254" s="12">
        <f>L254*COS(RADIANS(K254))</f>
        <v>-6.1842690815825332</v>
      </c>
      <c r="P254" s="5">
        <v>2.6393592128752887</v>
      </c>
      <c r="Q254" s="5">
        <v>0.27002528466549924</v>
      </c>
      <c r="R254" s="6">
        <f>P254/Q254</f>
        <v>9.7744891414330421</v>
      </c>
    </row>
    <row r="255" spans="1:18" x14ac:dyDescent="0.35">
      <c r="A255" s="9">
        <v>254</v>
      </c>
      <c r="B255" s="5">
        <v>1</v>
      </c>
      <c r="C255" s="5">
        <v>6000000</v>
      </c>
      <c r="D255" s="5">
        <v>30</v>
      </c>
      <c r="E255" s="5">
        <v>0</v>
      </c>
      <c r="F255" s="5">
        <v>3.5000000000000003E-2</v>
      </c>
      <c r="G255" s="12">
        <f>(C255*$U$4)/($U$5*$U$3)</f>
        <v>88.16326530612244</v>
      </c>
      <c r="H255" s="11">
        <f>G255*COS(RADIANS(D255))</f>
        <v>76.351627435689281</v>
      </c>
      <c r="I255" s="11">
        <f>G255*SIN(RADIANS(D255))</f>
        <v>44.081632653061213</v>
      </c>
      <c r="J255" s="11">
        <v>0.33379999999999999</v>
      </c>
      <c r="K255" s="12">
        <v>0</v>
      </c>
      <c r="L255" s="12">
        <f>-(F255*G255*$U$3)/J255</f>
        <v>-9.2442009757767707</v>
      </c>
      <c r="M255" s="11">
        <f>ABS(L255/$U$6)</f>
        <v>2.6951023252993502E-2</v>
      </c>
      <c r="N255" s="12">
        <f>L255*SIN(RADIANS(K255))</f>
        <v>0</v>
      </c>
      <c r="O255" s="12">
        <f>L255*COS(RADIANS(K255))</f>
        <v>-9.2442009757767707</v>
      </c>
      <c r="P255" s="5">
        <v>-1.4426989989758188E-2</v>
      </c>
      <c r="Q255" s="5">
        <v>1.8942786717353228</v>
      </c>
      <c r="R255" s="6">
        <f>P255/Q255</f>
        <v>-7.6160863789601872E-3</v>
      </c>
    </row>
    <row r="256" spans="1:18" x14ac:dyDescent="0.35">
      <c r="A256" s="9">
        <v>255</v>
      </c>
      <c r="B256" s="5">
        <v>0.1</v>
      </c>
      <c r="C256" s="5">
        <v>6000000</v>
      </c>
      <c r="D256" s="5">
        <v>0</v>
      </c>
      <c r="E256" s="5">
        <v>0.125</v>
      </c>
      <c r="F256" s="5">
        <v>0.05</v>
      </c>
      <c r="G256" s="12">
        <f>(C256*$U$4)/($U$5*$U$3)</f>
        <v>88.16326530612244</v>
      </c>
      <c r="H256" s="11">
        <f>G256*COS(RADIANS(D256))</f>
        <v>88.16326530612244</v>
      </c>
      <c r="I256" s="11">
        <f>G256*SIN(RADIANS(D256))</f>
        <v>0</v>
      </c>
      <c r="J256" s="12">
        <v>0.1658</v>
      </c>
      <c r="K256" s="12">
        <v>69</v>
      </c>
      <c r="L256" s="12">
        <f>-(F256*G256*$U$3)/J256</f>
        <v>-26.587233204500134</v>
      </c>
      <c r="M256" s="11">
        <f>ABS(L256/$U$6)</f>
        <v>7.7513799430029548E-2</v>
      </c>
      <c r="N256" s="12">
        <f>L256*SIN(RADIANS(K256))</f>
        <v>-24.821320514437797</v>
      </c>
      <c r="O256" s="12">
        <f>L256*COS(RADIANS(K256))</f>
        <v>-9.5280122475794382</v>
      </c>
      <c r="P256" s="5">
        <v>1.2943730550697645</v>
      </c>
      <c r="Q256" s="5">
        <v>0.24278323971465934</v>
      </c>
      <c r="R256" s="6">
        <f>P256/Q256</f>
        <v>5.3313937839820733</v>
      </c>
    </row>
    <row r="257" spans="1:18" x14ac:dyDescent="0.35">
      <c r="A257" s="9">
        <v>2150</v>
      </c>
      <c r="B257" s="5">
        <v>0.25</v>
      </c>
      <c r="C257" s="5">
        <v>6000000</v>
      </c>
      <c r="D257" s="5">
        <v>0</v>
      </c>
      <c r="E257" s="5">
        <v>0.25</v>
      </c>
      <c r="F257" s="5">
        <v>0.15</v>
      </c>
      <c r="G257" s="12">
        <f>(C257*$U$4)/($U$5*$U$3)</f>
        <v>88.16326530612244</v>
      </c>
      <c r="H257" s="11">
        <f>G257*COS(RADIANS(D257))</f>
        <v>88.16326530612244</v>
      </c>
      <c r="I257" s="11">
        <f>G257*SIN(RADIANS(D257))</f>
        <v>0</v>
      </c>
      <c r="J257" s="19">
        <v>0.1913</v>
      </c>
      <c r="K257" s="20">
        <v>67</v>
      </c>
      <c r="L257" s="12">
        <f>-(F257*G257*$U$3)/J257</f>
        <v>-69.129585969254393</v>
      </c>
      <c r="M257" s="11">
        <f>ABS(L257/$U$6)</f>
        <v>0.20154398241765129</v>
      </c>
      <c r="N257" s="12">
        <f>L257*SIN(RADIANS(K257))</f>
        <v>-63.634119401856395</v>
      </c>
      <c r="O257" s="12">
        <f>L257*COS(RADIANS(K257))</f>
        <v>-27.011081137763032</v>
      </c>
      <c r="P257" s="5">
        <v>2.7526950612495402</v>
      </c>
      <c r="Q257" s="5">
        <v>-9.545117883183506E-3</v>
      </c>
      <c r="R257" s="6">
        <f>P257/Q257</f>
        <v>-288.38774910252403</v>
      </c>
    </row>
    <row r="258" spans="1:18" x14ac:dyDescent="0.35">
      <c r="A258" s="9">
        <v>257</v>
      </c>
      <c r="B258" s="5">
        <v>0.75</v>
      </c>
      <c r="C258" s="5">
        <v>6000000</v>
      </c>
      <c r="D258" s="5">
        <v>15</v>
      </c>
      <c r="E258" s="5">
        <v>0.375</v>
      </c>
      <c r="F258" s="5">
        <v>3.5000000000000003E-2</v>
      </c>
      <c r="G258" s="12">
        <f>(C258*$U$4)/($U$5*$U$3)</f>
        <v>88.16326530612244</v>
      </c>
      <c r="H258" s="11">
        <f>G258*COS(RADIANS(D258))</f>
        <v>85.159174889158663</v>
      </c>
      <c r="I258" s="11">
        <f>G258*SIN(RADIANS(D258))</f>
        <v>22.818332139650806</v>
      </c>
      <c r="J258" s="11">
        <v>0.29299999999999998</v>
      </c>
      <c r="K258" s="12">
        <v>57</v>
      </c>
      <c r="L258" s="12">
        <f>-(F258*G258*$U$3)/J258</f>
        <v>-10.531448074110191</v>
      </c>
      <c r="M258" s="11">
        <f>ABS(L258/$U$6)</f>
        <v>3.0703930245219217E-2</v>
      </c>
      <c r="N258" s="12">
        <f>L258*SIN(RADIANS(K258))</f>
        <v>-8.8324155376017366</v>
      </c>
      <c r="O258" s="12">
        <f>L258*COS(RADIANS(K258))</f>
        <v>-5.73583771639424</v>
      </c>
      <c r="P258" s="5">
        <v>4.0496361030053336</v>
      </c>
      <c r="Q258" s="5">
        <v>0.49727177971965081</v>
      </c>
      <c r="R258" s="6">
        <f>P258/Q258</f>
        <v>8.1437078639138054</v>
      </c>
    </row>
    <row r="259" spans="1:18" x14ac:dyDescent="0.35">
      <c r="A259" s="9">
        <v>258</v>
      </c>
      <c r="B259" s="5">
        <v>1</v>
      </c>
      <c r="C259" s="5">
        <v>4000000</v>
      </c>
      <c r="D259" s="5">
        <v>20</v>
      </c>
      <c r="E259" s="5">
        <v>0.25</v>
      </c>
      <c r="F259" s="5">
        <v>3.5000000000000003E-2</v>
      </c>
      <c r="G259" s="12">
        <f>(C259*$U$4)/($U$5*$U$3)</f>
        <v>58.775510204081627</v>
      </c>
      <c r="H259" s="11">
        <f>G259*COS(RADIANS(D259))</f>
        <v>55.230913221702366</v>
      </c>
      <c r="I259" s="11">
        <f>G259*SIN(RADIANS(D259))</f>
        <v>20.102408424039304</v>
      </c>
      <c r="J259" s="13">
        <v>0.33379999999999999</v>
      </c>
      <c r="K259" s="12">
        <v>30</v>
      </c>
      <c r="L259" s="12">
        <f>-(F259*G259*$U$3)/J259</f>
        <v>-6.1628006505178465</v>
      </c>
      <c r="M259" s="11">
        <f>ABS(L259/$U$6)</f>
        <v>1.7967348835328998E-2</v>
      </c>
      <c r="N259" s="12">
        <f>L259*SIN(RADIANS(K259))</f>
        <v>-3.0814003252589228</v>
      </c>
      <c r="O259" s="12">
        <f>L259*COS(RADIANS(K259))</f>
        <v>-5.3371419218077198</v>
      </c>
      <c r="P259" s="5">
        <v>3.5922868356125655</v>
      </c>
      <c r="Q259" s="5">
        <v>1.1332361642265434</v>
      </c>
      <c r="R259" s="6">
        <f>P259/Q259</f>
        <v>3.1699366372272224</v>
      </c>
    </row>
    <row r="260" spans="1:18" x14ac:dyDescent="0.35">
      <c r="A260" s="9">
        <v>259</v>
      </c>
      <c r="B260" s="5">
        <v>0.1</v>
      </c>
      <c r="C260" s="5">
        <v>2000000</v>
      </c>
      <c r="D260" s="5">
        <v>20</v>
      </c>
      <c r="E260" s="5">
        <v>0.25</v>
      </c>
      <c r="F260" s="5">
        <v>0.05</v>
      </c>
      <c r="G260" s="12">
        <f>(C260*$U$4)/($U$5*$U$3)</f>
        <v>29.387755102040813</v>
      </c>
      <c r="H260" s="11">
        <f>G260*COS(RADIANS(D260))</f>
        <v>27.615456610851183</v>
      </c>
      <c r="I260" s="11">
        <f>G260*SIN(RADIANS(D260))</f>
        <v>10.051204212019652</v>
      </c>
      <c r="J260" s="11">
        <v>0.1661</v>
      </c>
      <c r="K260" s="12">
        <v>80</v>
      </c>
      <c r="L260" s="12">
        <f>-(F260*G260*$U$3)/J260</f>
        <v>-8.8464043052500951</v>
      </c>
      <c r="M260" s="11">
        <f>ABS(L260/$U$6)</f>
        <v>2.5791266196064418E-2</v>
      </c>
      <c r="N260" s="12">
        <f>L260*SIN(RADIANS(K260))</f>
        <v>-8.7120075460908701</v>
      </c>
      <c r="O260" s="12">
        <f>L260*COS(RADIANS(K260))</f>
        <v>-1.5361619865115665</v>
      </c>
      <c r="P260" s="5">
        <v>1.5871719466380327</v>
      </c>
      <c r="Q260" s="5">
        <v>0.78790569006318945</v>
      </c>
      <c r="R260" s="6">
        <f>P260/Q260</f>
        <v>2.0144186882452173</v>
      </c>
    </row>
    <row r="261" spans="1:18" x14ac:dyDescent="0.35">
      <c r="A261" s="9">
        <v>260</v>
      </c>
      <c r="B261" s="5">
        <v>0.75</v>
      </c>
      <c r="C261" s="5">
        <v>2000000</v>
      </c>
      <c r="D261" s="5">
        <v>20</v>
      </c>
      <c r="E261" s="5">
        <v>0.375</v>
      </c>
      <c r="F261" s="5">
        <v>0.15</v>
      </c>
      <c r="G261" s="12">
        <f>(C261*$U$4)/($U$5*$U$3)</f>
        <v>29.387755102040813</v>
      </c>
      <c r="H261" s="11">
        <f>G261*COS(RADIANS(D261))</f>
        <v>27.615456610851183</v>
      </c>
      <c r="I261" s="11">
        <f>G261*SIN(RADIANS(D261))</f>
        <v>10.051204212019652</v>
      </c>
      <c r="J261" s="11">
        <v>0.29299999999999998</v>
      </c>
      <c r="K261" s="12">
        <v>57</v>
      </c>
      <c r="L261" s="12">
        <f>-(F261*G261*$U$3)/J261</f>
        <v>-15.044925820157413</v>
      </c>
      <c r="M261" s="11">
        <f>ABS(L261/$U$6)</f>
        <v>4.3862757493170298E-2</v>
      </c>
      <c r="N261" s="12">
        <f>L261*SIN(RADIANS(K261))</f>
        <v>-12.617736482288192</v>
      </c>
      <c r="O261" s="12">
        <f>L261*COS(RADIANS(K261))</f>
        <v>-8.1940538805631977</v>
      </c>
      <c r="P261" s="5">
        <v>6.4102621970870919</v>
      </c>
      <c r="Q261" s="5">
        <v>0.62335382404855122</v>
      </c>
      <c r="R261" s="6">
        <f>P261/Q261</f>
        <v>10.283505049273293</v>
      </c>
    </row>
    <row r="262" spans="1:18" x14ac:dyDescent="0.35">
      <c r="A262" s="9">
        <v>261</v>
      </c>
      <c r="B262" s="5">
        <v>0.25</v>
      </c>
      <c r="C262" s="5">
        <v>2000000</v>
      </c>
      <c r="D262" s="5">
        <v>10</v>
      </c>
      <c r="E262" s="5">
        <v>0</v>
      </c>
      <c r="F262" s="5">
        <v>0.15</v>
      </c>
      <c r="G262" s="12">
        <f>(C262*$U$4)/($U$5*$U$3)</f>
        <v>29.387755102040813</v>
      </c>
      <c r="H262" s="11">
        <f>G262*COS(RADIANS(D262))</f>
        <v>28.941289068113864</v>
      </c>
      <c r="I262" s="11">
        <f>G262*SIN(RADIANS(D262))</f>
        <v>5.1031301191914213</v>
      </c>
      <c r="J262" s="12">
        <v>0.18990000000000001</v>
      </c>
      <c r="K262" s="12">
        <v>0</v>
      </c>
      <c r="L262" s="12">
        <f>-(F262*G262*$U$3)/J262</f>
        <v>-23.213076699874257</v>
      </c>
      <c r="M262" s="11">
        <f>ABS(L262/$U$6)</f>
        <v>6.7676608454443898E-2</v>
      </c>
      <c r="N262" s="12">
        <f>L262*SIN(RADIANS(K262))</f>
        <v>0</v>
      </c>
      <c r="O262" s="12">
        <f>L262*COS(RADIANS(K262))</f>
        <v>-23.213076699874257</v>
      </c>
      <c r="P262" s="5">
        <v>2.4451722684879198</v>
      </c>
      <c r="Q262" s="5">
        <v>0.2704640585894465</v>
      </c>
      <c r="R262" s="6">
        <f>P262/Q262</f>
        <v>9.0406550919935444</v>
      </c>
    </row>
    <row r="263" spans="1:18" x14ac:dyDescent="0.35">
      <c r="A263" s="9">
        <v>262</v>
      </c>
      <c r="B263" s="5">
        <v>0.1</v>
      </c>
      <c r="C263" s="5">
        <v>4000000</v>
      </c>
      <c r="D263" s="5">
        <v>0</v>
      </c>
      <c r="E263" s="5">
        <v>0</v>
      </c>
      <c r="F263" s="5">
        <v>0</v>
      </c>
      <c r="G263" s="12">
        <f>(C263*$U$4)/($U$5*$U$3)</f>
        <v>58.775510204081627</v>
      </c>
      <c r="H263" s="11">
        <f>G263*COS(RADIANS(D263))</f>
        <v>58.775510204081627</v>
      </c>
      <c r="I263" s="11">
        <f>G263*SIN(RADIANS(D263))</f>
        <v>0</v>
      </c>
      <c r="J263" s="11">
        <v>0.16569999999999999</v>
      </c>
      <c r="K263" s="12">
        <v>0</v>
      </c>
      <c r="L263" s="12">
        <f>-(F263*G263*$U$3)/J263</f>
        <v>0</v>
      </c>
      <c r="M263" s="11">
        <f>ABS(L263/$U$6)</f>
        <v>0</v>
      </c>
      <c r="N263" s="12">
        <f>L263*SIN(RADIANS(K263))</f>
        <v>0</v>
      </c>
      <c r="O263" s="12">
        <f>L263*COS(RADIANS(K263))</f>
        <v>0</v>
      </c>
      <c r="P263" s="5">
        <v>1.1267047531616763</v>
      </c>
      <c r="Q263" s="5">
        <v>0.23820249917153685</v>
      </c>
      <c r="R263" s="6">
        <f>P263/Q263</f>
        <v>4.7300291016271077</v>
      </c>
    </row>
    <row r="264" spans="1:18" x14ac:dyDescent="0.35">
      <c r="A264" s="9">
        <v>263</v>
      </c>
      <c r="B264" s="5">
        <v>0.25</v>
      </c>
      <c r="C264" s="5">
        <v>2000000</v>
      </c>
      <c r="D264" s="5">
        <v>30</v>
      </c>
      <c r="E264" s="5">
        <v>0.125</v>
      </c>
      <c r="F264" s="5">
        <v>1.4999999999999999E-2</v>
      </c>
      <c r="G264" s="12">
        <f>(C264*$U$4)/($U$5*$U$3)</f>
        <v>29.387755102040813</v>
      </c>
      <c r="H264" s="11">
        <f>G264*COS(RADIANS(D264))</f>
        <v>25.450542478563094</v>
      </c>
      <c r="I264" s="11">
        <f>G264*SIN(RADIANS(D264))</f>
        <v>14.693877551020405</v>
      </c>
      <c r="J264" s="11">
        <v>0.19020000000000001</v>
      </c>
      <c r="K264" s="12">
        <v>46</v>
      </c>
      <c r="L264" s="12">
        <f>-(F264*G264*$U$3)/J264</f>
        <v>-2.3176463014227768</v>
      </c>
      <c r="M264" s="11">
        <f>ABS(L264/$U$6)</f>
        <v>6.7569863015241307E-3</v>
      </c>
      <c r="N264" s="12">
        <f>L264*SIN(RADIANS(K264))</f>
        <v>-1.6671752277210734</v>
      </c>
      <c r="O264" s="12">
        <f>L264*COS(RADIANS(K264))</f>
        <v>-1.6099724030466682</v>
      </c>
      <c r="P264" s="5">
        <v>2.1815131216166206</v>
      </c>
      <c r="Q264" s="5">
        <v>0.95276430930833444</v>
      </c>
      <c r="R264" s="6">
        <f>P264/Q264</f>
        <v>2.2896671299540015</v>
      </c>
    </row>
    <row r="265" spans="1:18" x14ac:dyDescent="0.35">
      <c r="A265" s="9">
        <v>264</v>
      </c>
      <c r="B265" s="5">
        <v>0.25</v>
      </c>
      <c r="C265" s="5">
        <v>4000000</v>
      </c>
      <c r="D265" s="5">
        <v>30</v>
      </c>
      <c r="E265" s="5">
        <v>0.25</v>
      </c>
      <c r="F265" s="5">
        <v>2.5000000000000001E-2</v>
      </c>
      <c r="G265" s="12">
        <f>(C265*$U$4)/($U$5*$U$3)</f>
        <v>58.775510204081627</v>
      </c>
      <c r="H265" s="11">
        <f>G265*COS(RADIANS(D265))</f>
        <v>50.901084957126187</v>
      </c>
      <c r="I265" s="11">
        <f>G265*SIN(RADIANS(D265))</f>
        <v>29.38775510204081</v>
      </c>
      <c r="J265" s="12">
        <v>0.1913</v>
      </c>
      <c r="K265" s="11">
        <v>67</v>
      </c>
      <c r="L265" s="12">
        <f>-(F265*G265*$U$3)/J265</f>
        <v>-7.6810651076949332</v>
      </c>
      <c r="M265" s="11">
        <f>ABS(L265/$U$6)</f>
        <v>2.239377582418348E-2</v>
      </c>
      <c r="N265" s="12">
        <f>L265*SIN(RADIANS(K265))</f>
        <v>-7.0704577113173777</v>
      </c>
      <c r="O265" s="12">
        <f>L265*COS(RADIANS(K265))</f>
        <v>-3.0012312375292258</v>
      </c>
      <c r="P265" s="5">
        <v>2.1248427565229306</v>
      </c>
      <c r="Q265" s="5">
        <v>0.9101950623604782</v>
      </c>
      <c r="R265" s="6">
        <f>P265/Q265</f>
        <v>2.334491631950204</v>
      </c>
    </row>
    <row r="266" spans="1:18" x14ac:dyDescent="0.35">
      <c r="A266" s="9">
        <v>265</v>
      </c>
      <c r="B266" s="5">
        <v>0.25</v>
      </c>
      <c r="C266" s="5">
        <v>6000000</v>
      </c>
      <c r="D266" s="5">
        <v>5</v>
      </c>
      <c r="E266" s="5">
        <v>0.375</v>
      </c>
      <c r="F266" s="5">
        <v>3.5000000000000003E-2</v>
      </c>
      <c r="G266" s="12">
        <f>(C266*$U$4)/($U$5*$U$3)</f>
        <v>88.16326530612244</v>
      </c>
      <c r="H266" s="11">
        <f>G266*COS(RADIANS(D266))</f>
        <v>87.827777464415107</v>
      </c>
      <c r="I266" s="11">
        <f>G266*SIN(RADIANS(D266))</f>
        <v>7.6839348708139434</v>
      </c>
      <c r="J266" s="11">
        <v>0.1976</v>
      </c>
      <c r="K266" s="12">
        <v>78</v>
      </c>
      <c r="L266" s="12">
        <f>-(F266*G266*$U$3)/J266</f>
        <v>-15.615962984384037</v>
      </c>
      <c r="M266" s="11">
        <f>ABS(L266/$U$6)</f>
        <v>4.5527588875755212E-2</v>
      </c>
      <c r="N266" s="12">
        <f>L266*SIN(RADIANS(K266))</f>
        <v>-15.274716726323165</v>
      </c>
      <c r="O266" s="12">
        <f>L266*COS(RADIANS(K266))</f>
        <v>-3.2467412678308301</v>
      </c>
      <c r="P266" s="5">
        <v>2.1412984704113649</v>
      </c>
      <c r="Q266" s="5">
        <v>0.17182594827460562</v>
      </c>
      <c r="R266" s="6">
        <f>P266/Q266</f>
        <v>12.462020386986161</v>
      </c>
    </row>
    <row r="267" spans="1:18" x14ac:dyDescent="0.35">
      <c r="A267" s="9">
        <v>266</v>
      </c>
      <c r="B267" s="5">
        <v>0.1</v>
      </c>
      <c r="C267" s="5">
        <v>4000000</v>
      </c>
      <c r="D267" s="5">
        <v>10</v>
      </c>
      <c r="E267" s="5">
        <v>0</v>
      </c>
      <c r="F267" s="5">
        <v>7.4999999999999997E-2</v>
      </c>
      <c r="G267" s="12">
        <f>(C267*$U$4)/($U$5*$U$3)</f>
        <v>58.775510204081627</v>
      </c>
      <c r="H267" s="11">
        <f>G267*COS(RADIANS(D267))</f>
        <v>57.882578136227728</v>
      </c>
      <c r="I267" s="11">
        <f>G267*SIN(RADIANS(D267))</f>
        <v>10.206260238382843</v>
      </c>
      <c r="J267" s="11">
        <v>0.16569999999999999</v>
      </c>
      <c r="K267" s="12">
        <v>0</v>
      </c>
      <c r="L267" s="12">
        <f>-(F267*G267*$U$3)/J267</f>
        <v>-26.603278607761752</v>
      </c>
      <c r="M267" s="11">
        <f>ABS(L267/$U$6)</f>
        <v>7.7560579031375365E-2</v>
      </c>
      <c r="N267" s="12">
        <f>L267*SIN(RADIANS(K267))</f>
        <v>0</v>
      </c>
      <c r="O267" s="12">
        <f>L267*COS(RADIANS(K267))</f>
        <v>-26.603278607761752</v>
      </c>
      <c r="P267" s="5">
        <v>1.5154983800796964</v>
      </c>
      <c r="Q267" s="5">
        <v>0.41405490377541615</v>
      </c>
      <c r="R267" s="6">
        <f>P267/Q267</f>
        <v>3.6601387068747395</v>
      </c>
    </row>
    <row r="268" spans="1:18" x14ac:dyDescent="0.35">
      <c r="A268" s="9">
        <v>156</v>
      </c>
      <c r="B268" s="5">
        <v>0.25</v>
      </c>
      <c r="C268" s="5">
        <v>6000000</v>
      </c>
      <c r="D268" s="5">
        <v>15</v>
      </c>
      <c r="E268" s="5">
        <v>0.375</v>
      </c>
      <c r="F268" s="5">
        <v>0.15</v>
      </c>
      <c r="G268" s="12">
        <f>(C268*$U$4)/($U$5*$U$3)</f>
        <v>88.16326530612244</v>
      </c>
      <c r="H268" s="11">
        <f>G268*COS(RADIANS(D268))</f>
        <v>85.159174889158663</v>
      </c>
      <c r="I268" s="11">
        <f>G268*SIN(RADIANS(D268))</f>
        <v>22.818332139650806</v>
      </c>
      <c r="J268" s="11">
        <v>0.1976</v>
      </c>
      <c r="K268" s="12">
        <v>78</v>
      </c>
      <c r="L268" s="12">
        <f>-(F268*G268*$U$3)/J268</f>
        <v>-66.925555647360156</v>
      </c>
      <c r="M268" s="11">
        <f>ABS(L268/$U$6)</f>
        <v>0.1951182380389509</v>
      </c>
      <c r="N268" s="12">
        <f>L268*SIN(RADIANS(K268))</f>
        <v>-65.463071684242124</v>
      </c>
      <c r="O268" s="12">
        <f>L268*COS(RADIANS(K268))</f>
        <v>-13.9146054335607</v>
      </c>
      <c r="P268" s="5">
        <v>3.0178958513344707</v>
      </c>
      <c r="Q268" s="5">
        <v>0.52577784054535925</v>
      </c>
      <c r="R268" s="6">
        <f>P268/Q268</f>
        <v>5.7398688545036061</v>
      </c>
    </row>
    <row r="269" spans="1:18" x14ac:dyDescent="0.35">
      <c r="A269" s="9">
        <v>268</v>
      </c>
      <c r="B269" s="5">
        <v>1</v>
      </c>
      <c r="C269" s="5">
        <v>4000000</v>
      </c>
      <c r="D269" s="5">
        <v>15</v>
      </c>
      <c r="E269" s="5">
        <v>0.25</v>
      </c>
      <c r="F269" s="5">
        <v>0.1</v>
      </c>
      <c r="G269" s="12">
        <f>(C269*$U$4)/($U$5*$U$3)</f>
        <v>58.775510204081627</v>
      </c>
      <c r="H269" s="11">
        <f>G269*COS(RADIANS(D269))</f>
        <v>56.772783259439109</v>
      </c>
      <c r="I269" s="11">
        <f>G269*SIN(RADIANS(D269))</f>
        <v>15.212221426433871</v>
      </c>
      <c r="J269" s="13">
        <v>0.33379999999999999</v>
      </c>
      <c r="K269" s="12">
        <v>30</v>
      </c>
      <c r="L269" s="12">
        <f>-(F269*G269*$U$3)/J269</f>
        <v>-17.608001858622419</v>
      </c>
      <c r="M269" s="11">
        <f>ABS(L269/$U$6)</f>
        <v>5.1335282386654281E-2</v>
      </c>
      <c r="N269" s="12">
        <f>L269*SIN(RADIANS(K269))</f>
        <v>-8.8040009293112078</v>
      </c>
      <c r="O269" s="12">
        <f>L269*COS(RADIANS(K269))</f>
        <v>-15.248976919450628</v>
      </c>
      <c r="P269" s="5">
        <v>9.5723014717290056</v>
      </c>
      <c r="Q269" s="5">
        <v>-0.10168416675381908</v>
      </c>
      <c r="R269" s="6">
        <f>P269/Q269</f>
        <v>-94.137580877304941</v>
      </c>
    </row>
    <row r="270" spans="1:18" x14ac:dyDescent="0.35">
      <c r="A270" s="9">
        <v>431</v>
      </c>
      <c r="B270" s="5">
        <v>0.25</v>
      </c>
      <c r="C270" s="5">
        <v>6000000</v>
      </c>
      <c r="D270" s="5">
        <v>5</v>
      </c>
      <c r="E270" s="5">
        <v>0.375</v>
      </c>
      <c r="F270" s="5">
        <v>0.15</v>
      </c>
      <c r="G270" s="12">
        <f>(C270*$U$4)/($U$5*$U$3)</f>
        <v>88.16326530612244</v>
      </c>
      <c r="H270" s="11">
        <f>G270*COS(RADIANS(D270))</f>
        <v>87.827777464415107</v>
      </c>
      <c r="I270" s="11">
        <f>G270*SIN(RADIANS(D270))</f>
        <v>7.6839348708139434</v>
      </c>
      <c r="J270" s="11">
        <v>0.1976</v>
      </c>
      <c r="K270" s="12">
        <v>78</v>
      </c>
      <c r="L270" s="12">
        <f>-(F270*G270*$U$3)/J270</f>
        <v>-66.925555647360156</v>
      </c>
      <c r="M270" s="11">
        <f>ABS(L270/$U$6)</f>
        <v>0.1951182380389509</v>
      </c>
      <c r="N270" s="12">
        <f>L270*SIN(RADIANS(K270))</f>
        <v>-65.463071684242124</v>
      </c>
      <c r="O270" s="12">
        <f>L270*COS(RADIANS(K270))</f>
        <v>-13.9146054335607</v>
      </c>
      <c r="P270" s="5">
        <v>2.8451978835042668</v>
      </c>
      <c r="Q270" s="5">
        <v>0.16455304627481143</v>
      </c>
      <c r="R270" s="6">
        <f>P270/Q270</f>
        <v>17.290460115534117</v>
      </c>
    </row>
    <row r="271" spans="1:18" x14ac:dyDescent="0.35">
      <c r="A271" s="9">
        <v>270</v>
      </c>
      <c r="B271" s="5">
        <v>1</v>
      </c>
      <c r="C271" s="5">
        <v>4000000</v>
      </c>
      <c r="D271" s="5">
        <v>20</v>
      </c>
      <c r="E271" s="5">
        <v>0.25</v>
      </c>
      <c r="F271" s="5">
        <v>0.15</v>
      </c>
      <c r="G271" s="12">
        <f>(C271*$U$4)/($U$5*$U$3)</f>
        <v>58.775510204081627</v>
      </c>
      <c r="H271" s="11">
        <f>G271*COS(RADIANS(D271))</f>
        <v>55.230913221702366</v>
      </c>
      <c r="I271" s="11">
        <f>G271*SIN(RADIANS(D271))</f>
        <v>20.102408424039304</v>
      </c>
      <c r="J271" s="13">
        <v>0.33379999999999999</v>
      </c>
      <c r="K271" s="12">
        <v>30</v>
      </c>
      <c r="L271" s="12">
        <f>-(F271*G271*$U$3)/J271</f>
        <v>-26.412002787933627</v>
      </c>
      <c r="M271" s="11">
        <f>ABS(L271/$U$6)</f>
        <v>7.7002923579981425E-2</v>
      </c>
      <c r="N271" s="12">
        <f>L271*SIN(RADIANS(K271))</f>
        <v>-13.206001393966812</v>
      </c>
      <c r="O271" s="12">
        <f>L271*COS(RADIANS(K271))</f>
        <v>-22.87346537917594</v>
      </c>
      <c r="P271" s="5">
        <v>5.4597936872869397</v>
      </c>
      <c r="Q271" s="5">
        <v>0.58679922965822151</v>
      </c>
      <c r="R271" s="6">
        <f>P271/Q271</f>
        <v>9.3043641016144001</v>
      </c>
    </row>
    <row r="272" spans="1:18" x14ac:dyDescent="0.35">
      <c r="A272" s="9">
        <v>271</v>
      </c>
      <c r="B272" s="5">
        <v>0.1</v>
      </c>
      <c r="C272" s="5">
        <v>2000000</v>
      </c>
      <c r="D272" s="5">
        <v>10</v>
      </c>
      <c r="E272" s="5">
        <v>0</v>
      </c>
      <c r="F272" s="5">
        <v>0</v>
      </c>
      <c r="G272" s="12">
        <f>(C272*$U$4)/($U$5*$U$3)</f>
        <v>29.387755102040813</v>
      </c>
      <c r="H272" s="11">
        <f>G272*COS(RADIANS(D272))</f>
        <v>28.941289068113864</v>
      </c>
      <c r="I272" s="11">
        <f>G272*SIN(RADIANS(D272))</f>
        <v>5.1031301191914213</v>
      </c>
      <c r="J272" s="11">
        <v>0.16569999999999999</v>
      </c>
      <c r="K272" s="12">
        <v>0</v>
      </c>
      <c r="L272" s="12">
        <f>-(F272*G272*$U$3)/J272</f>
        <v>0</v>
      </c>
      <c r="M272" s="11">
        <f>ABS(L272/$U$6)</f>
        <v>0</v>
      </c>
      <c r="N272" s="12">
        <f>L272*SIN(RADIANS(K272))</f>
        <v>0</v>
      </c>
      <c r="O272" s="12">
        <f>L272*COS(RADIANS(K272))</f>
        <v>0</v>
      </c>
      <c r="P272" s="5">
        <v>1.2185704691837156</v>
      </c>
      <c r="Q272" s="5">
        <v>0.44908051163732643</v>
      </c>
      <c r="R272" s="6">
        <f>P272/Q272</f>
        <v>2.7134788475698155</v>
      </c>
    </row>
    <row r="273" spans="1:18" x14ac:dyDescent="0.35">
      <c r="A273" s="9">
        <v>272</v>
      </c>
      <c r="B273" s="5">
        <v>1</v>
      </c>
      <c r="C273" s="5">
        <v>6000000</v>
      </c>
      <c r="D273" s="5">
        <v>20</v>
      </c>
      <c r="E273" s="5">
        <v>0.375</v>
      </c>
      <c r="F273" s="5">
        <v>0</v>
      </c>
      <c r="G273" s="12">
        <f>(C273*$U$4)/($U$5*$U$3)</f>
        <v>88.16326530612244</v>
      </c>
      <c r="H273" s="11">
        <f>G273*COS(RADIANS(D273))</f>
        <v>82.846369832553549</v>
      </c>
      <c r="I273" s="11">
        <f>G273*SIN(RADIANS(D273))</f>
        <v>30.153612636058952</v>
      </c>
      <c r="J273" s="12">
        <v>0.33379999999999999</v>
      </c>
      <c r="K273" s="11">
        <v>49</v>
      </c>
      <c r="L273" s="12">
        <f>-(F273*G273*$U$3)/J273</f>
        <v>0</v>
      </c>
      <c r="M273" s="11">
        <f>ABS(L273/$U$6)</f>
        <v>0</v>
      </c>
      <c r="N273" s="12">
        <f>L273*SIN(RADIANS(K273))</f>
        <v>0</v>
      </c>
      <c r="O273" s="12">
        <f>L273*COS(RADIANS(K273))</f>
        <v>0</v>
      </c>
      <c r="P273" s="5">
        <v>5.9465566004591386</v>
      </c>
      <c r="Q273" s="5">
        <v>1.9429158138580103</v>
      </c>
      <c r="R273" s="6">
        <f>P273/Q273</f>
        <v>3.060635235991608</v>
      </c>
    </row>
    <row r="274" spans="1:18" x14ac:dyDescent="0.35">
      <c r="A274" s="9">
        <v>590</v>
      </c>
      <c r="B274" s="5">
        <v>0.25</v>
      </c>
      <c r="C274" s="5">
        <v>6000000</v>
      </c>
      <c r="D274" s="5">
        <v>30</v>
      </c>
      <c r="E274" s="5">
        <v>0.375</v>
      </c>
      <c r="F274" s="5">
        <v>0.15</v>
      </c>
      <c r="G274" s="12">
        <f>(C274*$U$4)/($U$5*$U$3)</f>
        <v>88.16326530612244</v>
      </c>
      <c r="H274" s="11">
        <f>G274*COS(RADIANS(D274))</f>
        <v>76.351627435689281</v>
      </c>
      <c r="I274" s="11">
        <f>G274*SIN(RADIANS(D274))</f>
        <v>44.081632653061213</v>
      </c>
      <c r="J274" s="11">
        <v>0.1976</v>
      </c>
      <c r="K274" s="12">
        <v>78</v>
      </c>
      <c r="L274" s="12">
        <f>-(F274*G274*$U$3)/J274</f>
        <v>-66.925555647360156</v>
      </c>
      <c r="M274" s="11">
        <f>ABS(L274/$U$6)</f>
        <v>0.1951182380389509</v>
      </c>
      <c r="N274" s="12">
        <f>L274*SIN(RADIANS(K274))</f>
        <v>-65.463071684242124</v>
      </c>
      <c r="O274" s="12">
        <f>L274*COS(RADIANS(K274))</f>
        <v>-13.9146054335607</v>
      </c>
      <c r="P274" s="5">
        <v>3.2097805678053852</v>
      </c>
      <c r="Q274" s="5">
        <v>1.1064031827268064</v>
      </c>
      <c r="R274" s="6">
        <f>P274/Q274</f>
        <v>2.901094843106526</v>
      </c>
    </row>
    <row r="275" spans="1:18" x14ac:dyDescent="0.35">
      <c r="A275" s="9">
        <v>274</v>
      </c>
      <c r="B275" s="5">
        <v>0.25</v>
      </c>
      <c r="C275" s="5">
        <v>4000000</v>
      </c>
      <c r="D275" s="5">
        <v>30</v>
      </c>
      <c r="E275" s="5">
        <v>0</v>
      </c>
      <c r="F275" s="5">
        <v>3.5000000000000003E-2</v>
      </c>
      <c r="G275" s="12">
        <f>(C275*$U$4)/($U$5*$U$3)</f>
        <v>58.775510204081627</v>
      </c>
      <c r="H275" s="11">
        <f>G275*COS(RADIANS(D275))</f>
        <v>50.901084957126187</v>
      </c>
      <c r="I275" s="11">
        <f>G275*SIN(RADIANS(D275))</f>
        <v>29.38775510204081</v>
      </c>
      <c r="J275" s="12">
        <v>0.18990000000000001</v>
      </c>
      <c r="K275" s="12">
        <v>0</v>
      </c>
      <c r="L275" s="12">
        <f>-(F275*G275*$U$3)/J275</f>
        <v>-10.832769126607987</v>
      </c>
      <c r="M275" s="11">
        <f>ABS(L275/$U$6)</f>
        <v>3.1582417278740491E-2</v>
      </c>
      <c r="N275" s="12">
        <f>L275*SIN(RADIANS(K275))</f>
        <v>0</v>
      </c>
      <c r="O275" s="12">
        <f>L275*COS(RADIANS(K275))</f>
        <v>-10.832769126607987</v>
      </c>
      <c r="P275" s="5">
        <v>2.1892484228552718</v>
      </c>
      <c r="Q275" s="5">
        <v>0.8696776111045369</v>
      </c>
      <c r="R275" s="6">
        <f>P275/Q275</f>
        <v>2.5173103169515998</v>
      </c>
    </row>
    <row r="276" spans="1:18" x14ac:dyDescent="0.35">
      <c r="A276" s="9">
        <v>275</v>
      </c>
      <c r="B276" s="5">
        <v>1</v>
      </c>
      <c r="C276" s="5">
        <v>4000000</v>
      </c>
      <c r="D276" s="5">
        <v>10</v>
      </c>
      <c r="E276" s="5">
        <v>0.25</v>
      </c>
      <c r="F276" s="5">
        <v>3.5000000000000003E-2</v>
      </c>
      <c r="G276" s="12">
        <f>(C276*$U$4)/($U$5*$U$3)</f>
        <v>58.775510204081627</v>
      </c>
      <c r="H276" s="11">
        <f>G276*COS(RADIANS(D276))</f>
        <v>57.882578136227728</v>
      </c>
      <c r="I276" s="11">
        <f>G276*SIN(RADIANS(D276))</f>
        <v>10.206260238382843</v>
      </c>
      <c r="J276" s="13">
        <v>0.33379999999999999</v>
      </c>
      <c r="K276" s="12">
        <v>30</v>
      </c>
      <c r="L276" s="12">
        <f>-(F276*G276*$U$3)/J276</f>
        <v>-6.1628006505178465</v>
      </c>
      <c r="M276" s="11">
        <f>ABS(L276/$U$6)</f>
        <v>1.7967348835328998E-2</v>
      </c>
      <c r="N276" s="12">
        <f>L276*SIN(RADIANS(K276))</f>
        <v>-3.0814003252589228</v>
      </c>
      <c r="O276" s="12">
        <f>L276*COS(RADIANS(K276))</f>
        <v>-5.3371419218077198</v>
      </c>
      <c r="P276" s="5">
        <v>3.707167529550722</v>
      </c>
      <c r="Q276" s="5">
        <v>0.71048561774220931</v>
      </c>
      <c r="R276" s="6">
        <f>P276/Q276</f>
        <v>5.2177939102151125</v>
      </c>
    </row>
    <row r="277" spans="1:18" x14ac:dyDescent="0.35">
      <c r="A277" s="9">
        <v>276</v>
      </c>
      <c r="B277" s="5">
        <v>1</v>
      </c>
      <c r="C277" s="5">
        <v>2000000</v>
      </c>
      <c r="D277" s="5">
        <v>10</v>
      </c>
      <c r="E277" s="5">
        <v>0.375</v>
      </c>
      <c r="F277" s="5">
        <v>0.1</v>
      </c>
      <c r="G277" s="12">
        <f>(C277*$U$4)/($U$5*$U$3)</f>
        <v>29.387755102040813</v>
      </c>
      <c r="H277" s="11">
        <f>G277*COS(RADIANS(D277))</f>
        <v>28.941289068113864</v>
      </c>
      <c r="I277" s="11">
        <f>G277*SIN(RADIANS(D277))</f>
        <v>5.1031301191914213</v>
      </c>
      <c r="J277" s="12">
        <v>0.33379999999999999</v>
      </c>
      <c r="K277" s="11">
        <v>49</v>
      </c>
      <c r="L277" s="12">
        <f>-(F277*G277*$U$3)/J277</f>
        <v>-8.8040009293112096</v>
      </c>
      <c r="M277" s="11">
        <f>ABS(L277/$U$6)</f>
        <v>2.566764119332714E-2</v>
      </c>
      <c r="N277" s="12">
        <f>L277*SIN(RADIANS(K277))</f>
        <v>-6.6444638456413578</v>
      </c>
      <c r="O277" s="12">
        <f>L277*COS(RADIANS(K277))</f>
        <v>-5.7759443009154356</v>
      </c>
      <c r="P277" s="5">
        <v>6.5923346365063669</v>
      </c>
      <c r="Q277" s="5">
        <v>-0.18754900519582851</v>
      </c>
      <c r="R277" s="6">
        <f>P277/Q277</f>
        <v>-35.149931238627516</v>
      </c>
    </row>
    <row r="278" spans="1:18" x14ac:dyDescent="0.35">
      <c r="A278" s="9">
        <v>277</v>
      </c>
      <c r="B278" s="5">
        <v>0.5</v>
      </c>
      <c r="C278" s="5">
        <v>6000000</v>
      </c>
      <c r="D278" s="5">
        <v>30</v>
      </c>
      <c r="E278" s="5">
        <v>0.375</v>
      </c>
      <c r="F278" s="5">
        <v>3.5000000000000003E-2</v>
      </c>
      <c r="G278" s="12">
        <f>(C278*$U$4)/($U$5*$U$3)</f>
        <v>88.16326530612244</v>
      </c>
      <c r="H278" s="11">
        <f>G278*COS(RADIANS(D278))</f>
        <v>76.351627435689281</v>
      </c>
      <c r="I278" s="11">
        <f>G278*SIN(RADIANS(D278))</f>
        <v>44.081632653061213</v>
      </c>
      <c r="J278" s="12">
        <v>0.24809999999999999</v>
      </c>
      <c r="K278" s="12">
        <v>67</v>
      </c>
      <c r="L278" s="12">
        <f>-(F278*G278*$U$3)/J278</f>
        <v>-12.437381240283298</v>
      </c>
      <c r="M278" s="11">
        <f>ABS(L278/$U$6)</f>
        <v>3.6260586706365297E-2</v>
      </c>
      <c r="N278" s="12">
        <f>L278*SIN(RADIANS(K278))</f>
        <v>-11.448669795919107</v>
      </c>
      <c r="O278" s="12">
        <f>L278*COS(RADIANS(K278))</f>
        <v>-4.8596720074672159</v>
      </c>
      <c r="P278" s="5">
        <v>3.501086055259151</v>
      </c>
      <c r="Q278" s="5">
        <v>1.143501512302971</v>
      </c>
      <c r="R278" s="6">
        <f>P278/Q278</f>
        <v>3.0617240271139554</v>
      </c>
    </row>
    <row r="279" spans="1:18" x14ac:dyDescent="0.35">
      <c r="A279" s="9">
        <v>278</v>
      </c>
      <c r="B279" s="5">
        <v>0.75</v>
      </c>
      <c r="C279" s="5">
        <v>4000000</v>
      </c>
      <c r="D279" s="5">
        <v>15</v>
      </c>
      <c r="E279" s="5">
        <v>0.375</v>
      </c>
      <c r="F279" s="5">
        <v>0</v>
      </c>
      <c r="G279" s="12">
        <f>(C279*$U$4)/($U$5*$U$3)</f>
        <v>58.775510204081627</v>
      </c>
      <c r="H279" s="11">
        <f>G279*COS(RADIANS(D279))</f>
        <v>56.772783259439109</v>
      </c>
      <c r="I279" s="11">
        <f>G279*SIN(RADIANS(D279))</f>
        <v>15.212221426433871</v>
      </c>
      <c r="J279" s="11">
        <v>0.29299999999999998</v>
      </c>
      <c r="K279" s="12">
        <v>57</v>
      </c>
      <c r="L279" s="12">
        <f>-(F279*G279*$U$3)/J279</f>
        <v>0</v>
      </c>
      <c r="M279" s="11">
        <f>ABS(L279/$U$6)</f>
        <v>0</v>
      </c>
      <c r="N279" s="12">
        <f>L279*SIN(RADIANS(K279))</f>
        <v>0</v>
      </c>
      <c r="O279" s="12">
        <f>L279*COS(RADIANS(K279))</f>
        <v>0</v>
      </c>
      <c r="P279" s="5">
        <v>4.8881702488198773</v>
      </c>
      <c r="Q279" s="5">
        <v>1.3183151122641759</v>
      </c>
      <c r="R279" s="6">
        <f>P279/Q279</f>
        <v>3.7078921445606108</v>
      </c>
    </row>
    <row r="280" spans="1:18" x14ac:dyDescent="0.35">
      <c r="A280" s="9">
        <v>279</v>
      </c>
      <c r="B280" s="5">
        <v>0.1</v>
      </c>
      <c r="C280" s="5">
        <v>2000000</v>
      </c>
      <c r="D280" s="5">
        <v>20</v>
      </c>
      <c r="E280" s="5">
        <v>0</v>
      </c>
      <c r="F280" s="5">
        <v>0</v>
      </c>
      <c r="G280" s="12">
        <f>(C280*$U$4)/($U$5*$U$3)</f>
        <v>29.387755102040813</v>
      </c>
      <c r="H280" s="11">
        <f>G280*COS(RADIANS(D280))</f>
        <v>27.615456610851183</v>
      </c>
      <c r="I280" s="11">
        <f>G280*SIN(RADIANS(D280))</f>
        <v>10.051204212019652</v>
      </c>
      <c r="J280" s="11">
        <v>0.16569999999999999</v>
      </c>
      <c r="K280" s="12">
        <v>0</v>
      </c>
      <c r="L280" s="12">
        <f>-(F280*G280*$U$3)/J280</f>
        <v>0</v>
      </c>
      <c r="M280" s="11">
        <f>ABS(L280/$U$6)</f>
        <v>0</v>
      </c>
      <c r="N280" s="12">
        <f>L280*SIN(RADIANS(K280))</f>
        <v>0</v>
      </c>
      <c r="O280" s="12">
        <f>L280*COS(RADIANS(K280))</f>
        <v>0</v>
      </c>
      <c r="P280" s="5">
        <v>1.1532256322770895</v>
      </c>
      <c r="Q280" s="5">
        <v>0.67707588958866405</v>
      </c>
      <c r="R280" s="6">
        <f>P280/Q280</f>
        <v>1.7032442744013454</v>
      </c>
    </row>
    <row r="281" spans="1:18" x14ac:dyDescent="0.35">
      <c r="A281" s="9">
        <v>280</v>
      </c>
      <c r="B281" s="5">
        <v>1</v>
      </c>
      <c r="C281" s="5">
        <v>2000000</v>
      </c>
      <c r="D281" s="5">
        <v>0</v>
      </c>
      <c r="E281" s="5">
        <v>0.375</v>
      </c>
      <c r="F281" s="5">
        <v>7.4999999999999997E-2</v>
      </c>
      <c r="G281" s="12">
        <f>(C281*$U$4)/($U$5*$U$3)</f>
        <v>29.387755102040813</v>
      </c>
      <c r="H281" s="11">
        <f>G281*COS(RADIANS(D281))</f>
        <v>29.387755102040813</v>
      </c>
      <c r="I281" s="11">
        <f>G281*SIN(RADIANS(D281))</f>
        <v>0</v>
      </c>
      <c r="J281" s="12">
        <v>0.33379999999999999</v>
      </c>
      <c r="K281" s="11">
        <v>49</v>
      </c>
      <c r="L281" s="12">
        <f>-(F281*G281*$U$3)/J281</f>
        <v>-6.6030006969834067</v>
      </c>
      <c r="M281" s="11">
        <f>ABS(L281/$U$6)</f>
        <v>1.9250730894995356E-2</v>
      </c>
      <c r="N281" s="12">
        <f>L281*SIN(RADIANS(K281))</f>
        <v>-4.9833478842310184</v>
      </c>
      <c r="O281" s="12">
        <f>L281*COS(RADIANS(K281))</f>
        <v>-4.3319582256865763</v>
      </c>
      <c r="P281" s="5">
        <v>5.3311306373410892</v>
      </c>
      <c r="Q281" s="5">
        <v>-0.75742842999885607</v>
      </c>
      <c r="R281" s="6">
        <f>P281/Q281</f>
        <v>-7.0384612277481331</v>
      </c>
    </row>
    <row r="282" spans="1:18" x14ac:dyDescent="0.35">
      <c r="A282" s="9">
        <v>281</v>
      </c>
      <c r="B282" s="5">
        <v>1</v>
      </c>
      <c r="C282" s="5">
        <v>2000000</v>
      </c>
      <c r="D282" s="5">
        <v>0</v>
      </c>
      <c r="E282" s="5">
        <v>0</v>
      </c>
      <c r="F282" s="5">
        <v>0.1</v>
      </c>
      <c r="G282" s="12">
        <f>(C282*$U$4)/($U$5*$U$3)</f>
        <v>29.387755102040813</v>
      </c>
      <c r="H282" s="11">
        <f>G282*COS(RADIANS(D282))</f>
        <v>29.387755102040813</v>
      </c>
      <c r="I282" s="11">
        <f>G282*SIN(RADIANS(D282))</f>
        <v>0</v>
      </c>
      <c r="J282" s="11">
        <v>0.33379999999999999</v>
      </c>
      <c r="K282" s="12">
        <v>0</v>
      </c>
      <c r="L282" s="12">
        <f>-(F282*G282*$U$3)/J282</f>
        <v>-8.8040009293112096</v>
      </c>
      <c r="M282" s="11">
        <f>ABS(L282/$U$6)</f>
        <v>2.566764119332714E-2</v>
      </c>
      <c r="N282" s="12">
        <f>L282*SIN(RADIANS(K282))</f>
        <v>0</v>
      </c>
      <c r="O282" s="12">
        <f>L282*COS(RADIANS(K282))</f>
        <v>-8.8040009293112096</v>
      </c>
      <c r="P282" s="5">
        <v>3.1459394988202454</v>
      </c>
      <c r="Q282" s="5">
        <v>0.96744291370242874</v>
      </c>
      <c r="R282" s="6">
        <f>P282/Q282</f>
        <v>3.2518089225344102</v>
      </c>
    </row>
    <row r="283" spans="1:18" x14ac:dyDescent="0.35">
      <c r="A283" s="9">
        <v>726</v>
      </c>
      <c r="B283" s="5">
        <v>0.25</v>
      </c>
      <c r="C283" s="5">
        <v>6000000</v>
      </c>
      <c r="D283" s="5">
        <v>10</v>
      </c>
      <c r="E283" s="5">
        <v>0.375</v>
      </c>
      <c r="F283" s="5">
        <v>0.15</v>
      </c>
      <c r="G283" s="12">
        <f>(C283*$U$4)/($U$5*$U$3)</f>
        <v>88.16326530612244</v>
      </c>
      <c r="H283" s="11">
        <f>G283*COS(RADIANS(D283))</f>
        <v>86.823867204341596</v>
      </c>
      <c r="I283" s="11">
        <f>G283*SIN(RADIANS(D283))</f>
        <v>15.309390357574264</v>
      </c>
      <c r="J283" s="11">
        <v>0.1976</v>
      </c>
      <c r="K283" s="12">
        <v>78</v>
      </c>
      <c r="L283" s="12">
        <f>-(F283*G283*$U$3)/J283</f>
        <v>-66.925555647360156</v>
      </c>
      <c r="M283" s="11">
        <f>ABS(L283/$U$6)</f>
        <v>0.1951182380389509</v>
      </c>
      <c r="N283" s="12">
        <f>L283*SIN(RADIANS(K283))</f>
        <v>-65.463071684242124</v>
      </c>
      <c r="O283" s="12">
        <f>L283*COS(RADIANS(K283))</f>
        <v>-13.9146054335607</v>
      </c>
      <c r="P283" s="5">
        <v>2.9425843447044224</v>
      </c>
      <c r="Q283" s="5">
        <v>0.34338517087233178</v>
      </c>
      <c r="R283" s="6">
        <f>P283/Q283</f>
        <v>8.5693401879560334</v>
      </c>
    </row>
    <row r="284" spans="1:18" x14ac:dyDescent="0.35">
      <c r="A284" s="9">
        <v>283</v>
      </c>
      <c r="B284" s="5">
        <v>1</v>
      </c>
      <c r="C284" s="5">
        <v>6000000</v>
      </c>
      <c r="D284" s="5">
        <v>10</v>
      </c>
      <c r="E284" s="5">
        <v>0</v>
      </c>
      <c r="F284" s="5">
        <v>0</v>
      </c>
      <c r="G284" s="12">
        <f>(C284*$U$4)/($U$5*$U$3)</f>
        <v>88.16326530612244</v>
      </c>
      <c r="H284" s="11">
        <f>G284*COS(RADIANS(D284))</f>
        <v>86.823867204341596</v>
      </c>
      <c r="I284" s="11">
        <f>G284*SIN(RADIANS(D284))</f>
        <v>15.309390357574264</v>
      </c>
      <c r="J284" s="11">
        <v>0.33379999999999999</v>
      </c>
      <c r="K284" s="12">
        <v>0</v>
      </c>
      <c r="L284" s="12">
        <f>-(F284*G284*$U$3)/J284</f>
        <v>0</v>
      </c>
      <c r="M284" s="11">
        <f>ABS(L284/$U$6)</f>
        <v>0</v>
      </c>
      <c r="N284" s="12">
        <f>L284*SIN(RADIANS(K284))</f>
        <v>0</v>
      </c>
      <c r="O284" s="12">
        <f>L284*COS(RADIANS(K284))</f>
        <v>0</v>
      </c>
      <c r="P284" s="5">
        <v>5.8445711079937368</v>
      </c>
      <c r="Q284" s="5">
        <v>1.8893244149821455</v>
      </c>
      <c r="R284" s="6">
        <f>P284/Q284</f>
        <v>3.0934714343639969</v>
      </c>
    </row>
    <row r="285" spans="1:18" x14ac:dyDescent="0.35">
      <c r="A285" s="9">
        <v>284</v>
      </c>
      <c r="B285" s="5">
        <v>0.75</v>
      </c>
      <c r="C285" s="5">
        <v>6000000</v>
      </c>
      <c r="D285" s="5">
        <v>10</v>
      </c>
      <c r="E285" s="5">
        <v>0</v>
      </c>
      <c r="F285" s="5">
        <v>2.5000000000000001E-2</v>
      </c>
      <c r="G285" s="12">
        <f>(C285*$U$4)/($U$5*$U$3)</f>
        <v>88.16326530612244</v>
      </c>
      <c r="H285" s="11">
        <f>G285*COS(RADIANS(D285))</f>
        <v>86.823867204341596</v>
      </c>
      <c r="I285" s="11">
        <f>G285*SIN(RADIANS(D285))</f>
        <v>15.309390357574264</v>
      </c>
      <c r="J285" s="11">
        <v>0.27929999999999999</v>
      </c>
      <c r="K285" s="12">
        <v>0</v>
      </c>
      <c r="L285" s="12">
        <f>-(F285*G285*$U$3)/J285</f>
        <v>-7.891448738464236</v>
      </c>
      <c r="M285" s="11">
        <f>ABS(L285/$U$6)</f>
        <v>2.3007139179196022E-2</v>
      </c>
      <c r="N285" s="12">
        <f>L285*SIN(RADIANS(K285))</f>
        <v>0</v>
      </c>
      <c r="O285" s="12">
        <f>L285*COS(RADIANS(K285))</f>
        <v>-7.891448738464236</v>
      </c>
      <c r="P285" s="5">
        <v>2.2499710146824352</v>
      </c>
      <c r="Q285" s="5">
        <v>1.133213449189622</v>
      </c>
      <c r="R285" s="6">
        <f>P285/Q285</f>
        <v>1.9854785665413903</v>
      </c>
    </row>
    <row r="286" spans="1:18" x14ac:dyDescent="0.35">
      <c r="A286" s="9">
        <v>285</v>
      </c>
      <c r="B286" s="5">
        <v>0.75</v>
      </c>
      <c r="C286" s="5">
        <v>4000000</v>
      </c>
      <c r="D286" s="5">
        <v>30</v>
      </c>
      <c r="E286" s="5">
        <v>0.25</v>
      </c>
      <c r="F286" s="5">
        <v>7.4999999999999997E-2</v>
      </c>
      <c r="G286" s="12">
        <f>(C286*$U$4)/($U$5*$U$3)</f>
        <v>58.775510204081627</v>
      </c>
      <c r="H286" s="11">
        <f>G286*COS(RADIANS(D286))</f>
        <v>50.901084957126187</v>
      </c>
      <c r="I286" s="11">
        <f>G286*SIN(RADIANS(D286))</f>
        <v>29.38775510204081</v>
      </c>
      <c r="J286" s="12">
        <v>0.28370000000000001</v>
      </c>
      <c r="K286" s="11">
        <v>38</v>
      </c>
      <c r="L286" s="12">
        <f>-(F286*G286*$U$3)/J286</f>
        <v>-15.538115140310616</v>
      </c>
      <c r="M286" s="11">
        <f>ABS(L286/$U$6)</f>
        <v>4.5300627231226284E-2</v>
      </c>
      <c r="N286" s="12">
        <f>L286*SIN(RADIANS(K286))</f>
        <v>-9.5662188910635813</v>
      </c>
      <c r="O286" s="12">
        <f>L286*COS(RADIANS(K286))</f>
        <v>-12.244201821344184</v>
      </c>
      <c r="P286" s="5">
        <v>3.9251304585845532</v>
      </c>
      <c r="Q286" s="5">
        <v>1.2025748933922411</v>
      </c>
      <c r="R286" s="6">
        <f>P286/Q286</f>
        <v>3.2639384708194656</v>
      </c>
    </row>
    <row r="287" spans="1:18" x14ac:dyDescent="0.35">
      <c r="A287" s="9">
        <v>286</v>
      </c>
      <c r="B287" s="5">
        <v>0.5</v>
      </c>
      <c r="C287" s="5">
        <v>6000000</v>
      </c>
      <c r="D287" s="5">
        <v>20</v>
      </c>
      <c r="E287" s="5">
        <v>0.25</v>
      </c>
      <c r="F287" s="5">
        <v>3.5000000000000003E-2</v>
      </c>
      <c r="G287" s="12">
        <f>(C287*$U$4)/($U$5*$U$3)</f>
        <v>88.16326530612244</v>
      </c>
      <c r="H287" s="11">
        <f>G287*COS(RADIANS(D287))</f>
        <v>82.846369832553549</v>
      </c>
      <c r="I287" s="11">
        <f>G287*SIN(RADIANS(D287))</f>
        <v>30.153612636058952</v>
      </c>
      <c r="J287" s="11">
        <v>0.23580000000000001</v>
      </c>
      <c r="K287" s="11">
        <v>49</v>
      </c>
      <c r="L287" s="12">
        <f>-(F287*G287*$U$3)/J287</f>
        <v>-13.086150490730644</v>
      </c>
      <c r="M287" s="11">
        <f>ABS(L287/$U$6)</f>
        <v>3.8152042247028117E-2</v>
      </c>
      <c r="N287" s="12">
        <f>L287*SIN(RADIANS(K287))</f>
        <v>-9.8762431435913456</v>
      </c>
      <c r="O287" s="12">
        <f>L287*COS(RADIANS(K287))</f>
        <v>-8.5852871841723957</v>
      </c>
      <c r="P287" s="5">
        <v>2.8899335386033935</v>
      </c>
      <c r="Q287" s="5">
        <v>0.72845017791484301</v>
      </c>
      <c r="R287" s="6">
        <f>P287/Q287</f>
        <v>3.9672356823025328</v>
      </c>
    </row>
    <row r="288" spans="1:18" x14ac:dyDescent="0.35">
      <c r="A288" s="9">
        <v>287</v>
      </c>
      <c r="B288" s="5">
        <v>0.75</v>
      </c>
      <c r="C288" s="5">
        <v>2000000</v>
      </c>
      <c r="D288" s="5">
        <v>10</v>
      </c>
      <c r="E288" s="5">
        <v>0</v>
      </c>
      <c r="F288" s="5">
        <v>0.15</v>
      </c>
      <c r="G288" s="12">
        <f>(C288*$U$4)/($U$5*$U$3)</f>
        <v>29.387755102040813</v>
      </c>
      <c r="H288" s="11">
        <f>G288*COS(RADIANS(D288))</f>
        <v>28.941289068113864</v>
      </c>
      <c r="I288" s="11">
        <f>G288*SIN(RADIANS(D288))</f>
        <v>5.1031301191914213</v>
      </c>
      <c r="J288" s="11">
        <v>0.27929999999999999</v>
      </c>
      <c r="K288" s="12">
        <v>0</v>
      </c>
      <c r="L288" s="12">
        <f>-(F288*G288*$U$3)/J288</f>
        <v>-15.782897476928472</v>
      </c>
      <c r="M288" s="11">
        <f>ABS(L288/$U$6)</f>
        <v>4.6014278358392044E-2</v>
      </c>
      <c r="N288" s="12">
        <f>L288*SIN(RADIANS(K288))</f>
        <v>0</v>
      </c>
      <c r="O288" s="12">
        <f>L288*COS(RADIANS(K288))</f>
        <v>-15.782897476928472</v>
      </c>
      <c r="P288" s="5">
        <v>7.4581255376268034</v>
      </c>
      <c r="Q288" s="5">
        <v>0.61799258782607447</v>
      </c>
      <c r="R288" s="6">
        <f>P288/Q288</f>
        <v>12.068309045359927</v>
      </c>
    </row>
    <row r="289" spans="1:18" x14ac:dyDescent="0.35">
      <c r="A289" s="9">
        <v>288</v>
      </c>
      <c r="B289" s="5">
        <v>0.5</v>
      </c>
      <c r="C289" s="5">
        <v>2000000</v>
      </c>
      <c r="D289" s="5">
        <v>20</v>
      </c>
      <c r="E289" s="5">
        <v>0.25</v>
      </c>
      <c r="F289" s="5">
        <v>0.05</v>
      </c>
      <c r="G289" s="12">
        <f>(C289*$U$4)/($U$5*$U$3)</f>
        <v>29.387755102040813</v>
      </c>
      <c r="H289" s="11">
        <f>G289*COS(RADIANS(D289))</f>
        <v>27.615456610851183</v>
      </c>
      <c r="I289" s="11">
        <f>G289*SIN(RADIANS(D289))</f>
        <v>10.051204212019652</v>
      </c>
      <c r="J289" s="11">
        <v>0.23580000000000001</v>
      </c>
      <c r="K289" s="11">
        <v>49</v>
      </c>
      <c r="L289" s="12">
        <f>-(F289*G289*$U$3)/J289</f>
        <v>-6.2315002336812579</v>
      </c>
      <c r="M289" s="11">
        <f>ABS(L289/$U$6)</f>
        <v>1.8167639165251482E-2</v>
      </c>
      <c r="N289" s="12">
        <f>L289*SIN(RADIANS(K289))</f>
        <v>-4.7029729255196875</v>
      </c>
      <c r="O289" s="12">
        <f>L289*COS(RADIANS(K289))</f>
        <v>-4.0882319924630455</v>
      </c>
      <c r="P289" s="5">
        <v>3.1587877682826853</v>
      </c>
      <c r="Q289" s="5">
        <v>0.73082556213585548</v>
      </c>
      <c r="R289" s="6">
        <f>P289/Q289</f>
        <v>4.3222185045786459</v>
      </c>
    </row>
    <row r="290" spans="1:18" x14ac:dyDescent="0.35">
      <c r="A290" s="9">
        <v>289</v>
      </c>
      <c r="B290" s="5">
        <v>1</v>
      </c>
      <c r="C290" s="5">
        <v>2000000</v>
      </c>
      <c r="D290" s="5">
        <v>15</v>
      </c>
      <c r="E290" s="5">
        <v>0.25</v>
      </c>
      <c r="F290" s="5">
        <v>7.4999999999999997E-2</v>
      </c>
      <c r="G290" s="12">
        <f>(C290*$U$4)/($U$5*$U$3)</f>
        <v>29.387755102040813</v>
      </c>
      <c r="H290" s="11">
        <f>G290*COS(RADIANS(D290))</f>
        <v>28.386391629719554</v>
      </c>
      <c r="I290" s="11">
        <f>G290*SIN(RADIANS(D290))</f>
        <v>7.6061107132169354</v>
      </c>
      <c r="J290" s="13">
        <v>0.33379999999999999</v>
      </c>
      <c r="K290" s="12">
        <v>30</v>
      </c>
      <c r="L290" s="12">
        <f>-(F290*G290*$U$3)/J290</f>
        <v>-6.6030006969834067</v>
      </c>
      <c r="M290" s="11">
        <f>ABS(L290/$U$6)</f>
        <v>1.9250730894995356E-2</v>
      </c>
      <c r="N290" s="12">
        <f>L290*SIN(RADIANS(K290))</f>
        <v>-3.3015003484917029</v>
      </c>
      <c r="O290" s="12">
        <f>L290*COS(RADIANS(K290))</f>
        <v>-5.718366344793985</v>
      </c>
      <c r="P290" s="5">
        <v>4.8725354463861432</v>
      </c>
      <c r="Q290" s="5">
        <v>0.33882420004154257</v>
      </c>
      <c r="R290" s="6">
        <f>P290/Q290</f>
        <v>14.380718513579406</v>
      </c>
    </row>
    <row r="291" spans="1:18" x14ac:dyDescent="0.35">
      <c r="A291" s="9">
        <v>290</v>
      </c>
      <c r="B291" s="5">
        <v>0.75</v>
      </c>
      <c r="C291" s="5">
        <v>2000000</v>
      </c>
      <c r="D291" s="5">
        <v>10</v>
      </c>
      <c r="E291" s="5">
        <v>0</v>
      </c>
      <c r="F291" s="5">
        <v>7.4999999999999997E-2</v>
      </c>
      <c r="G291" s="12">
        <f>(C291*$U$4)/($U$5*$U$3)</f>
        <v>29.387755102040813</v>
      </c>
      <c r="H291" s="11">
        <f>G291*COS(RADIANS(D291))</f>
        <v>28.941289068113864</v>
      </c>
      <c r="I291" s="11">
        <f>G291*SIN(RADIANS(D291))</f>
        <v>5.1031301191914213</v>
      </c>
      <c r="J291" s="11">
        <v>0.27929999999999999</v>
      </c>
      <c r="K291" s="12">
        <v>0</v>
      </c>
      <c r="L291" s="12">
        <f>-(F291*G291*$U$3)/J291</f>
        <v>-7.891448738464236</v>
      </c>
      <c r="M291" s="11">
        <f>ABS(L291/$U$6)</f>
        <v>2.3007139179196022E-2</v>
      </c>
      <c r="N291" s="12">
        <f>L291*SIN(RADIANS(K291))</f>
        <v>0</v>
      </c>
      <c r="O291" s="12">
        <f>L291*COS(RADIANS(K291))</f>
        <v>-7.891448738464236</v>
      </c>
      <c r="P291" s="5">
        <v>2.5880950686413553</v>
      </c>
      <c r="Q291" s="5">
        <v>0.98983772772089651</v>
      </c>
      <c r="R291" s="6">
        <f>P291/Q291</f>
        <v>2.6146660166211788</v>
      </c>
    </row>
    <row r="292" spans="1:18" x14ac:dyDescent="0.35">
      <c r="A292" s="9">
        <v>291</v>
      </c>
      <c r="B292" s="5">
        <v>0.25</v>
      </c>
      <c r="C292" s="5">
        <v>2000000</v>
      </c>
      <c r="D292" s="5">
        <v>15</v>
      </c>
      <c r="E292" s="5">
        <v>0</v>
      </c>
      <c r="F292" s="5">
        <v>0.15</v>
      </c>
      <c r="G292" s="12">
        <f>(C292*$U$4)/($U$5*$U$3)</f>
        <v>29.387755102040813</v>
      </c>
      <c r="H292" s="11">
        <f>G292*COS(RADIANS(D292))</f>
        <v>28.386391629719554</v>
      </c>
      <c r="I292" s="11">
        <f>G292*SIN(RADIANS(D292))</f>
        <v>7.6061107132169354</v>
      </c>
      <c r="J292" s="12">
        <v>0.18990000000000001</v>
      </c>
      <c r="K292" s="12">
        <v>0</v>
      </c>
      <c r="L292" s="12">
        <f>-(F292*G292*$U$3)/J292</f>
        <v>-23.213076699874257</v>
      </c>
      <c r="M292" s="11">
        <f>ABS(L292/$U$6)</f>
        <v>6.7676608454443898E-2</v>
      </c>
      <c r="N292" s="12">
        <f>L292*SIN(RADIANS(K292))</f>
        <v>0</v>
      </c>
      <c r="O292" s="12">
        <f>L292*COS(RADIANS(K292))</f>
        <v>-23.213076699874257</v>
      </c>
      <c r="P292" s="5">
        <v>2.4915632052096144</v>
      </c>
      <c r="Q292" s="5">
        <v>0.40349558593532986</v>
      </c>
      <c r="R292" s="6">
        <f>P292/Q292</f>
        <v>6.1749453824482456</v>
      </c>
    </row>
    <row r="293" spans="1:18" x14ac:dyDescent="0.35">
      <c r="A293" s="9">
        <v>292</v>
      </c>
      <c r="B293" s="5">
        <v>0.75</v>
      </c>
      <c r="C293" s="5">
        <v>4000000</v>
      </c>
      <c r="D293" s="5">
        <v>5</v>
      </c>
      <c r="E293" s="5">
        <v>0.375</v>
      </c>
      <c r="F293" s="5">
        <v>1.4999999999999999E-2</v>
      </c>
      <c r="G293" s="12">
        <f>(C293*$U$4)/($U$5*$U$3)</f>
        <v>58.775510204081627</v>
      </c>
      <c r="H293" s="11">
        <f>G293*COS(RADIANS(D293))</f>
        <v>58.551851642943404</v>
      </c>
      <c r="I293" s="11">
        <f>G293*SIN(RADIANS(D293))</f>
        <v>5.1226232472092956</v>
      </c>
      <c r="J293" s="11">
        <v>0.29299999999999998</v>
      </c>
      <c r="K293" s="12">
        <v>57</v>
      </c>
      <c r="L293" s="12">
        <f>-(F293*G293*$U$3)/J293</f>
        <v>-3.0089851640314826</v>
      </c>
      <c r="M293" s="11">
        <f>ABS(L293/$U$6)</f>
        <v>8.7725514986340593E-3</v>
      </c>
      <c r="N293" s="12">
        <f>L293*SIN(RADIANS(K293))</f>
        <v>-2.5235472964576386</v>
      </c>
      <c r="O293" s="12">
        <f>L293*COS(RADIANS(K293))</f>
        <v>-1.6388107761126396</v>
      </c>
      <c r="P293" s="5">
        <v>4.2776738331376896</v>
      </c>
      <c r="Q293" s="5">
        <v>-0.18614910824151354</v>
      </c>
      <c r="R293" s="6">
        <f>P293/Q293</f>
        <v>-22.979824472689661</v>
      </c>
    </row>
    <row r="294" spans="1:18" x14ac:dyDescent="0.35">
      <c r="A294" s="9">
        <v>293</v>
      </c>
      <c r="B294" s="5">
        <v>0.1</v>
      </c>
      <c r="C294" s="5">
        <v>6000000</v>
      </c>
      <c r="D294" s="5">
        <v>15</v>
      </c>
      <c r="E294" s="5">
        <v>0.125</v>
      </c>
      <c r="F294" s="5">
        <v>0</v>
      </c>
      <c r="G294" s="12">
        <f>(C294*$U$4)/($U$5*$U$3)</f>
        <v>88.16326530612244</v>
      </c>
      <c r="H294" s="11">
        <f>G294*COS(RADIANS(D294))</f>
        <v>85.159174889158663</v>
      </c>
      <c r="I294" s="11">
        <f>G294*SIN(RADIANS(D294))</f>
        <v>22.818332139650806</v>
      </c>
      <c r="J294" s="12">
        <v>0.1658</v>
      </c>
      <c r="K294" s="12">
        <v>69</v>
      </c>
      <c r="L294" s="12">
        <f>-(F294*G294*$U$3)/J294</f>
        <v>0</v>
      </c>
      <c r="M294" s="11">
        <f>ABS(L294/$U$6)</f>
        <v>0</v>
      </c>
      <c r="N294" s="12">
        <f>L294*SIN(RADIANS(K294))</f>
        <v>0</v>
      </c>
      <c r="O294" s="12">
        <f>L294*COS(RADIANS(K294))</f>
        <v>0</v>
      </c>
      <c r="P294" s="5">
        <v>1.3773075935593606</v>
      </c>
      <c r="Q294" s="5">
        <v>0.61687434924438156</v>
      </c>
      <c r="R294" s="6">
        <f>P294/Q294</f>
        <v>2.2327198322420845</v>
      </c>
    </row>
    <row r="295" spans="1:18" x14ac:dyDescent="0.35">
      <c r="A295" s="9">
        <v>294</v>
      </c>
      <c r="B295" s="5">
        <v>0.75</v>
      </c>
      <c r="C295" s="5">
        <v>2000000</v>
      </c>
      <c r="D295" s="5">
        <v>20</v>
      </c>
      <c r="E295" s="5">
        <v>0.125</v>
      </c>
      <c r="F295" s="5">
        <v>2.5000000000000001E-2</v>
      </c>
      <c r="G295" s="12">
        <f>(C295*$U$4)/($U$5*$U$3)</f>
        <v>29.387755102040813</v>
      </c>
      <c r="H295" s="11">
        <f>G295*COS(RADIANS(D295))</f>
        <v>27.615456610851183</v>
      </c>
      <c r="I295" s="11">
        <f>G295*SIN(RADIANS(D295))</f>
        <v>10.051204212019652</v>
      </c>
      <c r="J295" s="12">
        <v>0.2802</v>
      </c>
      <c r="K295" s="12">
        <v>19</v>
      </c>
      <c r="L295" s="12">
        <f>-(F295*G295*$U$3)/J295</f>
        <v>-2.6220338242363321</v>
      </c>
      <c r="M295" s="11">
        <f>ABS(L295/$U$6)</f>
        <v>7.6444134817385779E-3</v>
      </c>
      <c r="N295" s="12">
        <f>L295*SIN(RADIANS(K295))</f>
        <v>-0.85365071308086349</v>
      </c>
      <c r="O295" s="12">
        <f>L295*COS(RADIANS(K295))</f>
        <v>-2.4791816866651661</v>
      </c>
      <c r="P295" s="5">
        <v>3.9260303707524113</v>
      </c>
      <c r="Q295" s="5">
        <v>1.0276196720369868</v>
      </c>
      <c r="R295" s="6">
        <f>P295/Q295</f>
        <v>3.8205091607190478</v>
      </c>
    </row>
    <row r="296" spans="1:18" x14ac:dyDescent="0.35">
      <c r="A296" s="9">
        <v>295</v>
      </c>
      <c r="B296" s="5">
        <v>0.75</v>
      </c>
      <c r="C296" s="5">
        <v>2000000</v>
      </c>
      <c r="D296" s="5">
        <v>15</v>
      </c>
      <c r="E296" s="5">
        <v>0.125</v>
      </c>
      <c r="F296" s="5">
        <v>0.05</v>
      </c>
      <c r="G296" s="12">
        <f>(C296*$U$4)/($U$5*$U$3)</f>
        <v>29.387755102040813</v>
      </c>
      <c r="H296" s="11">
        <f>G296*COS(RADIANS(D296))</f>
        <v>28.386391629719554</v>
      </c>
      <c r="I296" s="11">
        <f>G296*SIN(RADIANS(D296))</f>
        <v>7.6061107132169354</v>
      </c>
      <c r="J296" s="12">
        <v>0.2802</v>
      </c>
      <c r="K296" s="12">
        <v>19</v>
      </c>
      <c r="L296" s="12">
        <f>-(F296*G296*$U$3)/J296</f>
        <v>-5.2440676484726643</v>
      </c>
      <c r="M296" s="11">
        <f>ABS(L296/$U$6)</f>
        <v>1.5288826963477156E-2</v>
      </c>
      <c r="N296" s="12">
        <f>L296*SIN(RADIANS(K296))</f>
        <v>-1.707301426161727</v>
      </c>
      <c r="O296" s="12">
        <f>L296*COS(RADIANS(K296))</f>
        <v>-4.9583633733303323</v>
      </c>
      <c r="P296" s="5">
        <v>4.6728165502586307</v>
      </c>
      <c r="Q296" s="5">
        <v>0.71980912110980222</v>
      </c>
      <c r="R296" s="6">
        <f>P296/Q296</f>
        <v>6.4917440099315202</v>
      </c>
    </row>
    <row r="297" spans="1:18" x14ac:dyDescent="0.35">
      <c r="A297" s="9">
        <v>296</v>
      </c>
      <c r="B297" s="5">
        <v>0.25</v>
      </c>
      <c r="C297" s="5">
        <v>4000000</v>
      </c>
      <c r="D297" s="5">
        <v>5</v>
      </c>
      <c r="E297" s="5">
        <v>0.375</v>
      </c>
      <c r="F297" s="5">
        <v>1.4999999999999999E-2</v>
      </c>
      <c r="G297" s="12">
        <f>(C297*$U$4)/($U$5*$U$3)</f>
        <v>58.775510204081627</v>
      </c>
      <c r="H297" s="11">
        <f>G297*COS(RADIANS(D297))</f>
        <v>58.551851642943404</v>
      </c>
      <c r="I297" s="11">
        <f>G297*SIN(RADIANS(D297))</f>
        <v>5.1226232472092956</v>
      </c>
      <c r="J297" s="11">
        <v>0.1976</v>
      </c>
      <c r="K297" s="12">
        <v>78</v>
      </c>
      <c r="L297" s="12">
        <f>-(F297*G297*$U$3)/J297</f>
        <v>-4.4617037098240102</v>
      </c>
      <c r="M297" s="11">
        <f>ABS(L297/$U$6)</f>
        <v>1.3007882535930059E-2</v>
      </c>
      <c r="N297" s="12">
        <f>L297*SIN(RADIANS(K297))</f>
        <v>-4.3642047789494747</v>
      </c>
      <c r="O297" s="12">
        <f>L297*COS(RADIANS(K297))</f>
        <v>-0.92764036223738</v>
      </c>
      <c r="P297" s="5">
        <v>2.2430635215330632</v>
      </c>
      <c r="Q297" s="5">
        <v>0.3220920265693667</v>
      </c>
      <c r="R297" s="6">
        <f>P297/Q297</f>
        <v>6.9640454792506032</v>
      </c>
    </row>
    <row r="298" spans="1:18" x14ac:dyDescent="0.35">
      <c r="A298" s="9">
        <v>297</v>
      </c>
      <c r="B298" s="5">
        <v>0.75</v>
      </c>
      <c r="C298" s="5">
        <v>2000000</v>
      </c>
      <c r="D298" s="5">
        <v>20</v>
      </c>
      <c r="E298" s="5">
        <v>0.125</v>
      </c>
      <c r="F298" s="5">
        <v>0.1</v>
      </c>
      <c r="G298" s="12">
        <f>(C298*$U$4)/($U$5*$U$3)</f>
        <v>29.387755102040813</v>
      </c>
      <c r="H298" s="11">
        <f>G298*COS(RADIANS(D298))</f>
        <v>27.615456610851183</v>
      </c>
      <c r="I298" s="11">
        <f>G298*SIN(RADIANS(D298))</f>
        <v>10.051204212019652</v>
      </c>
      <c r="J298" s="12">
        <v>0.2802</v>
      </c>
      <c r="K298" s="12">
        <v>19</v>
      </c>
      <c r="L298" s="12">
        <f>-(F298*G298*$U$3)/J298</f>
        <v>-10.488135296945329</v>
      </c>
      <c r="M298" s="11">
        <f>ABS(L298/$U$6)</f>
        <v>3.0577653926954312E-2</v>
      </c>
      <c r="N298" s="12">
        <f>L298*SIN(RADIANS(K298))</f>
        <v>-3.414602852323454</v>
      </c>
      <c r="O298" s="12">
        <f>L298*COS(RADIANS(K298))</f>
        <v>-9.9167267466606646</v>
      </c>
      <c r="P298" s="5">
        <v>3.386030592878317</v>
      </c>
      <c r="Q298" s="5">
        <v>0.90616750064128004</v>
      </c>
      <c r="R298" s="6">
        <f>P298/Q298</f>
        <v>3.7366497810637416</v>
      </c>
    </row>
    <row r="299" spans="1:18" x14ac:dyDescent="0.35">
      <c r="A299" s="9">
        <v>1698</v>
      </c>
      <c r="B299" s="5">
        <v>0.25</v>
      </c>
      <c r="C299" s="5">
        <v>6000000</v>
      </c>
      <c r="D299" s="5">
        <v>0</v>
      </c>
      <c r="E299" s="5">
        <v>0.375</v>
      </c>
      <c r="F299" s="5">
        <v>0.15</v>
      </c>
      <c r="G299" s="12">
        <f>(C299*$U$4)/($U$5*$U$3)</f>
        <v>88.16326530612244</v>
      </c>
      <c r="H299" s="11">
        <f>G299*COS(RADIANS(D299))</f>
        <v>88.16326530612244</v>
      </c>
      <c r="I299" s="11">
        <f>G299*SIN(RADIANS(D299))</f>
        <v>0</v>
      </c>
      <c r="J299" s="11">
        <v>0.1976</v>
      </c>
      <c r="K299" s="12">
        <v>78</v>
      </c>
      <c r="L299" s="12">
        <f>-(F299*G299*$U$3)/J299</f>
        <v>-66.925555647360156</v>
      </c>
      <c r="M299" s="11">
        <f>ABS(L299/$U$6)</f>
        <v>0.1951182380389509</v>
      </c>
      <c r="N299" s="12">
        <f>L299*SIN(RADIANS(K299))</f>
        <v>-65.463071684242124</v>
      </c>
      <c r="O299" s="12">
        <f>L299*COS(RADIANS(K299))</f>
        <v>-13.9146054335607</v>
      </c>
      <c r="P299" s="5">
        <v>2.7205875742813772</v>
      </c>
      <c r="Q299" s="5">
        <v>-4.1068099392437161E-3</v>
      </c>
      <c r="R299" s="6">
        <f>P299/Q299</f>
        <v>-662.45762879944311</v>
      </c>
    </row>
    <row r="300" spans="1:18" x14ac:dyDescent="0.35">
      <c r="A300" s="9">
        <v>299</v>
      </c>
      <c r="B300" s="5">
        <v>0.1</v>
      </c>
      <c r="C300" s="5">
        <v>4000000</v>
      </c>
      <c r="D300" s="5">
        <v>15</v>
      </c>
      <c r="E300" s="5">
        <v>0</v>
      </c>
      <c r="F300" s="5">
        <v>1.4999999999999999E-2</v>
      </c>
      <c r="G300" s="12">
        <f>(C300*$U$4)/($U$5*$U$3)</f>
        <v>58.775510204081627</v>
      </c>
      <c r="H300" s="11">
        <f>G300*COS(RADIANS(D300))</f>
        <v>56.772783259439109</v>
      </c>
      <c r="I300" s="11">
        <f>G300*SIN(RADIANS(D300))</f>
        <v>15.212221426433871</v>
      </c>
      <c r="J300" s="11">
        <v>0.16569999999999999</v>
      </c>
      <c r="K300" s="12">
        <v>0</v>
      </c>
      <c r="L300" s="12">
        <f>-(F300*G300*$U$3)/J300</f>
        <v>-5.3206557215523507</v>
      </c>
      <c r="M300" s="11">
        <f>ABS(L300/$U$6)</f>
        <v>1.5512115806275074E-2</v>
      </c>
      <c r="N300" s="12">
        <f>L300*SIN(RADIANS(K300))</f>
        <v>0</v>
      </c>
      <c r="O300" s="12">
        <f>L300*COS(RADIANS(K300))</f>
        <v>-5.3206557215523507</v>
      </c>
      <c r="P300" s="5">
        <v>1.2168493619587633</v>
      </c>
      <c r="Q300" s="5">
        <v>0.49132881593903133</v>
      </c>
      <c r="R300" s="6">
        <f>P300/Q300</f>
        <v>2.4766496946308991</v>
      </c>
    </row>
    <row r="301" spans="1:18" x14ac:dyDescent="0.35">
      <c r="A301" s="9">
        <v>300</v>
      </c>
      <c r="B301" s="5">
        <v>0.75</v>
      </c>
      <c r="C301" s="5">
        <v>4000000</v>
      </c>
      <c r="D301" s="5">
        <v>10</v>
      </c>
      <c r="E301" s="5">
        <v>0.375</v>
      </c>
      <c r="F301" s="5">
        <v>0.15</v>
      </c>
      <c r="G301" s="12">
        <f>(C301*$U$4)/($U$5*$U$3)</f>
        <v>58.775510204081627</v>
      </c>
      <c r="H301" s="11">
        <f>G301*COS(RADIANS(D301))</f>
        <v>57.882578136227728</v>
      </c>
      <c r="I301" s="11">
        <f>G301*SIN(RADIANS(D301))</f>
        <v>10.206260238382843</v>
      </c>
      <c r="J301" s="11">
        <v>0.29299999999999998</v>
      </c>
      <c r="K301" s="12">
        <v>57</v>
      </c>
      <c r="L301" s="12">
        <f>-(F301*G301*$U$3)/J301</f>
        <v>-30.089851640314826</v>
      </c>
      <c r="M301" s="11">
        <f>ABS(L301/$U$6)</f>
        <v>8.7725514986340597E-2</v>
      </c>
      <c r="N301" s="12">
        <f>L301*SIN(RADIANS(K301))</f>
        <v>-25.235472964576385</v>
      </c>
      <c r="O301" s="12">
        <f>L301*COS(RADIANS(K301))</f>
        <v>-16.388107761126395</v>
      </c>
      <c r="P301" s="5">
        <v>6.0828337369923977</v>
      </c>
      <c r="Q301" s="5">
        <v>-0.17125130824275714</v>
      </c>
      <c r="R301" s="6">
        <f>P301/Q301</f>
        <v>-35.519925654347013</v>
      </c>
    </row>
    <row r="302" spans="1:18" x14ac:dyDescent="0.35">
      <c r="A302" s="9">
        <v>301</v>
      </c>
      <c r="B302" s="5">
        <v>0.25</v>
      </c>
      <c r="C302" s="5">
        <v>4000000</v>
      </c>
      <c r="D302" s="5">
        <v>10</v>
      </c>
      <c r="E302" s="5">
        <v>0.25</v>
      </c>
      <c r="F302" s="5">
        <v>2.5000000000000001E-2</v>
      </c>
      <c r="G302" s="12">
        <f>(C302*$U$4)/($U$5*$U$3)</f>
        <v>58.775510204081627</v>
      </c>
      <c r="H302" s="11">
        <f>G302*COS(RADIANS(D302))</f>
        <v>57.882578136227728</v>
      </c>
      <c r="I302" s="11">
        <f>G302*SIN(RADIANS(D302))</f>
        <v>10.206260238382843</v>
      </c>
      <c r="J302" s="12">
        <v>0.1913</v>
      </c>
      <c r="K302" s="11">
        <v>67</v>
      </c>
      <c r="L302" s="12">
        <f>-(F302*G302*$U$3)/J302</f>
        <v>-7.6810651076949332</v>
      </c>
      <c r="M302" s="11">
        <f>ABS(L302/$U$6)</f>
        <v>2.239377582418348E-2</v>
      </c>
      <c r="N302" s="12">
        <f>L302*SIN(RADIANS(K302))</f>
        <v>-7.0704577113173777</v>
      </c>
      <c r="O302" s="12">
        <f>L302*COS(RADIANS(K302))</f>
        <v>-3.0012312375292258</v>
      </c>
      <c r="P302" s="5">
        <v>2.1222707278344517</v>
      </c>
      <c r="Q302" s="5">
        <v>0.39776418755443854</v>
      </c>
      <c r="R302" s="6">
        <f>P302/Q302</f>
        <v>5.335499761511322</v>
      </c>
    </row>
    <row r="303" spans="1:18" x14ac:dyDescent="0.35">
      <c r="A303" s="9">
        <v>302</v>
      </c>
      <c r="B303" s="5">
        <v>1</v>
      </c>
      <c r="C303" s="5">
        <v>4000000</v>
      </c>
      <c r="D303" s="5">
        <v>0</v>
      </c>
      <c r="E303" s="5">
        <v>0</v>
      </c>
      <c r="F303" s="5">
        <v>0.1</v>
      </c>
      <c r="G303" s="12">
        <f>(C303*$U$4)/($U$5*$U$3)</f>
        <v>58.775510204081627</v>
      </c>
      <c r="H303" s="11">
        <f>G303*COS(RADIANS(D303))</f>
        <v>58.775510204081627</v>
      </c>
      <c r="I303" s="11">
        <f>G303*SIN(RADIANS(D303))</f>
        <v>0</v>
      </c>
      <c r="J303" s="11">
        <v>0.33379999999999999</v>
      </c>
      <c r="K303" s="12">
        <v>0</v>
      </c>
      <c r="L303" s="12">
        <f>-(F303*G303*$U$3)/J303</f>
        <v>-17.608001858622419</v>
      </c>
      <c r="M303" s="11">
        <f>ABS(L303/$U$6)</f>
        <v>5.1335282386654281E-2</v>
      </c>
      <c r="N303" s="12">
        <f>L303*SIN(RADIANS(K303))</f>
        <v>0</v>
      </c>
      <c r="O303" s="12">
        <f>L303*COS(RADIANS(K303))</f>
        <v>-17.608001858622419</v>
      </c>
      <c r="P303" s="5">
        <v>2.1611294907056364</v>
      </c>
      <c r="Q303" s="5">
        <v>1.5575782281618098</v>
      </c>
      <c r="R303" s="6">
        <f>P303/Q303</f>
        <v>1.3874933866121852</v>
      </c>
    </row>
    <row r="304" spans="1:18" x14ac:dyDescent="0.35">
      <c r="A304" s="9">
        <v>303</v>
      </c>
      <c r="B304" s="5">
        <v>0.75</v>
      </c>
      <c r="C304" s="5">
        <v>2000000</v>
      </c>
      <c r="D304" s="5">
        <v>20</v>
      </c>
      <c r="E304" s="5">
        <v>0.375</v>
      </c>
      <c r="F304" s="5">
        <v>0.05</v>
      </c>
      <c r="G304" s="12">
        <f>(C304*$U$4)/($U$5*$U$3)</f>
        <v>29.387755102040813</v>
      </c>
      <c r="H304" s="11">
        <f>G304*COS(RADIANS(D304))</f>
        <v>27.615456610851183</v>
      </c>
      <c r="I304" s="11">
        <f>G304*SIN(RADIANS(D304))</f>
        <v>10.051204212019652</v>
      </c>
      <c r="J304" s="11">
        <v>0.29299999999999998</v>
      </c>
      <c r="K304" s="12">
        <v>57</v>
      </c>
      <c r="L304" s="12">
        <f>-(F304*G304*$U$3)/J304</f>
        <v>-5.0149752733858044</v>
      </c>
      <c r="M304" s="11">
        <f>ABS(L304/$U$6)</f>
        <v>1.46209191643901E-2</v>
      </c>
      <c r="N304" s="12">
        <f>L304*SIN(RADIANS(K304))</f>
        <v>-4.2059121607627308</v>
      </c>
      <c r="O304" s="12">
        <f>L304*COS(RADIANS(K304))</f>
        <v>-2.7313512935210662</v>
      </c>
      <c r="P304" s="5">
        <v>4.6628774406950768</v>
      </c>
      <c r="Q304" s="5">
        <v>0.68889155597001395</v>
      </c>
      <c r="R304" s="6">
        <f>P304/Q304</f>
        <v>6.7686668537101973</v>
      </c>
    </row>
    <row r="305" spans="1:18" x14ac:dyDescent="0.35">
      <c r="A305" s="9">
        <v>304</v>
      </c>
      <c r="B305" s="5">
        <v>0.25</v>
      </c>
      <c r="C305" s="5">
        <v>2000000</v>
      </c>
      <c r="D305" s="5">
        <v>20</v>
      </c>
      <c r="E305" s="5">
        <v>0</v>
      </c>
      <c r="F305" s="5">
        <v>0.1</v>
      </c>
      <c r="G305" s="12">
        <f>(C305*$U$4)/($U$5*$U$3)</f>
        <v>29.387755102040813</v>
      </c>
      <c r="H305" s="11">
        <f>G305*COS(RADIANS(D305))</f>
        <v>27.615456610851183</v>
      </c>
      <c r="I305" s="11">
        <f>G305*SIN(RADIANS(D305))</f>
        <v>10.051204212019652</v>
      </c>
      <c r="J305" s="12">
        <v>0.18990000000000001</v>
      </c>
      <c r="K305" s="12">
        <v>0</v>
      </c>
      <c r="L305" s="12">
        <f>-(F305*G305*$U$3)/J305</f>
        <v>-15.47538446658284</v>
      </c>
      <c r="M305" s="11">
        <f>ABS(L305/$U$6)</f>
        <v>4.511773896962927E-2</v>
      </c>
      <c r="N305" s="12">
        <f>L305*SIN(RADIANS(K305))</f>
        <v>0</v>
      </c>
      <c r="O305" s="12">
        <f>L305*COS(RADIANS(K305))</f>
        <v>-15.47538446658284</v>
      </c>
      <c r="P305" s="5">
        <v>2.4519248386097847</v>
      </c>
      <c r="Q305" s="5">
        <v>0.59939917683960342</v>
      </c>
      <c r="R305" s="6">
        <f>P305/Q305</f>
        <v>4.0906376474152371</v>
      </c>
    </row>
    <row r="306" spans="1:18" x14ac:dyDescent="0.35">
      <c r="A306" s="9">
        <v>305</v>
      </c>
      <c r="B306" s="5">
        <v>0.5</v>
      </c>
      <c r="C306" s="5">
        <v>4000000</v>
      </c>
      <c r="D306" s="5">
        <v>15</v>
      </c>
      <c r="E306" s="5">
        <v>0.375</v>
      </c>
      <c r="F306" s="5">
        <v>0.05</v>
      </c>
      <c r="G306" s="12">
        <f>(C306*$U$4)/($U$5*$U$3)</f>
        <v>58.775510204081627</v>
      </c>
      <c r="H306" s="11">
        <f>G306*COS(RADIANS(D306))</f>
        <v>56.772783259439109</v>
      </c>
      <c r="I306" s="11">
        <f>G306*SIN(RADIANS(D306))</f>
        <v>15.212221426433871</v>
      </c>
      <c r="J306" s="12">
        <v>0.24809999999999999</v>
      </c>
      <c r="K306" s="12">
        <v>67</v>
      </c>
      <c r="L306" s="12">
        <f>-(F306*G306*$U$3)/J306</f>
        <v>-11.845124990745996</v>
      </c>
      <c r="M306" s="11">
        <f>ABS(L306/$U$6)</f>
        <v>3.4533892101300277E-2</v>
      </c>
      <c r="N306" s="12">
        <f>L306*SIN(RADIANS(K306))</f>
        <v>-10.903495043732482</v>
      </c>
      <c r="O306" s="12">
        <f>L306*COS(RADIANS(K306))</f>
        <v>-4.6282590547306803</v>
      </c>
      <c r="P306" s="5">
        <v>3.7413072457130858</v>
      </c>
      <c r="Q306" s="5">
        <v>0.40356685096540601</v>
      </c>
      <c r="R306" s="6">
        <f>P306/Q306</f>
        <v>9.2706009841075687</v>
      </c>
    </row>
    <row r="307" spans="1:18" x14ac:dyDescent="0.35">
      <c r="A307" s="9">
        <v>306</v>
      </c>
      <c r="B307" s="5">
        <v>0.75</v>
      </c>
      <c r="C307" s="5">
        <v>6000000</v>
      </c>
      <c r="D307" s="5">
        <v>10</v>
      </c>
      <c r="E307" s="5">
        <v>0.375</v>
      </c>
      <c r="F307" s="5">
        <v>0</v>
      </c>
      <c r="G307" s="12">
        <f>(C307*$U$4)/($U$5*$U$3)</f>
        <v>88.16326530612244</v>
      </c>
      <c r="H307" s="11">
        <f>G307*COS(RADIANS(D307))</f>
        <v>86.823867204341596</v>
      </c>
      <c r="I307" s="11">
        <f>G307*SIN(RADIANS(D307))</f>
        <v>15.309390357574264</v>
      </c>
      <c r="J307" s="11">
        <v>0.29299999999999998</v>
      </c>
      <c r="K307" s="12">
        <v>57</v>
      </c>
      <c r="L307" s="12">
        <f>-(F307*G307*$U$3)/J307</f>
        <v>0</v>
      </c>
      <c r="M307" s="11">
        <f>ABS(L307/$U$6)</f>
        <v>0</v>
      </c>
      <c r="N307" s="12">
        <f>L307*SIN(RADIANS(K307))</f>
        <v>0</v>
      </c>
      <c r="O307" s="12">
        <f>L307*COS(RADIANS(K307))</f>
        <v>0</v>
      </c>
      <c r="P307" s="5">
        <v>4.9061771465603758</v>
      </c>
      <c r="Q307" s="5">
        <v>0.98334870594685919</v>
      </c>
      <c r="R307" s="6">
        <f>P307/Q307</f>
        <v>4.9892546935690065</v>
      </c>
    </row>
    <row r="308" spans="1:18" x14ac:dyDescent="0.35">
      <c r="A308" s="9">
        <v>307</v>
      </c>
      <c r="B308" s="5">
        <v>1</v>
      </c>
      <c r="C308" s="5">
        <v>6000000</v>
      </c>
      <c r="D308" s="5">
        <v>15</v>
      </c>
      <c r="E308" s="5">
        <v>0.25</v>
      </c>
      <c r="F308" s="5">
        <v>1.4999999999999999E-2</v>
      </c>
      <c r="G308" s="12">
        <f>(C308*$U$4)/($U$5*$U$3)</f>
        <v>88.16326530612244</v>
      </c>
      <c r="H308" s="11">
        <f>G308*COS(RADIANS(D308))</f>
        <v>85.159174889158663</v>
      </c>
      <c r="I308" s="11">
        <f>G308*SIN(RADIANS(D308))</f>
        <v>22.818332139650806</v>
      </c>
      <c r="J308" s="13">
        <v>0.33379999999999999</v>
      </c>
      <c r="K308" s="12">
        <v>30</v>
      </c>
      <c r="L308" s="12">
        <f>-(F308*G308*$U$3)/J308</f>
        <v>-3.9618004181900441</v>
      </c>
      <c r="M308" s="11">
        <f>ABS(L308/$U$6)</f>
        <v>1.1550438536997214E-2</v>
      </c>
      <c r="N308" s="12">
        <f>L308*SIN(RADIANS(K308))</f>
        <v>-1.9809002090950218</v>
      </c>
      <c r="O308" s="12">
        <f>L308*COS(RADIANS(K308))</f>
        <v>-3.4310198068763911</v>
      </c>
      <c r="P308" s="5">
        <v>3.5344630713499861</v>
      </c>
      <c r="Q308" s="5">
        <v>1.1788636844351952</v>
      </c>
      <c r="R308" s="6">
        <f>P308/Q308</f>
        <v>2.9981948871750861</v>
      </c>
    </row>
    <row r="309" spans="1:18" x14ac:dyDescent="0.35">
      <c r="A309" s="9">
        <v>308</v>
      </c>
      <c r="B309" s="5">
        <v>0.1</v>
      </c>
      <c r="C309" s="5">
        <v>4000000</v>
      </c>
      <c r="D309" s="5">
        <v>30</v>
      </c>
      <c r="E309" s="5">
        <v>0.375</v>
      </c>
      <c r="F309" s="5">
        <v>3.5000000000000003E-2</v>
      </c>
      <c r="G309" s="12">
        <f>(C309*$U$4)/($U$5*$U$3)</f>
        <v>58.775510204081627</v>
      </c>
      <c r="H309" s="11">
        <f>G309*COS(RADIANS(D309))</f>
        <v>50.901084957126187</v>
      </c>
      <c r="I309" s="11">
        <f>G309*SIN(RADIANS(D309))</f>
        <v>29.38775510204081</v>
      </c>
      <c r="J309" s="12">
        <v>0.16789999999999999</v>
      </c>
      <c r="K309" s="11">
        <v>85</v>
      </c>
      <c r="L309" s="12">
        <f>-(F309*G309*$U$3)/J309</f>
        <v>-12.252190929975324</v>
      </c>
      <c r="M309" s="11">
        <f>ABS(L309/$U$6)</f>
        <v>3.5720673265234183E-2</v>
      </c>
      <c r="N309" s="12">
        <f>L309*SIN(RADIANS(K309))</f>
        <v>-12.205567644449191</v>
      </c>
      <c r="O309" s="12">
        <f>L309*COS(RADIANS(K309))</f>
        <v>-1.0678488007881197</v>
      </c>
      <c r="P309" s="5">
        <v>1.5615312485381521</v>
      </c>
      <c r="Q309" s="5">
        <v>1.1405964232801409</v>
      </c>
      <c r="R309" s="6">
        <f>P309/Q309</f>
        <v>1.3690479968782312</v>
      </c>
    </row>
    <row r="310" spans="1:18" x14ac:dyDescent="0.35">
      <c r="A310" s="9">
        <v>309</v>
      </c>
      <c r="B310" s="5">
        <v>0.1</v>
      </c>
      <c r="C310" s="5">
        <v>4000000</v>
      </c>
      <c r="D310" s="5">
        <v>20</v>
      </c>
      <c r="E310" s="5">
        <v>0</v>
      </c>
      <c r="F310" s="5">
        <v>1.4999999999999999E-2</v>
      </c>
      <c r="G310" s="12">
        <f>(C310*$U$4)/($U$5*$U$3)</f>
        <v>58.775510204081627</v>
      </c>
      <c r="H310" s="11">
        <f>G310*COS(RADIANS(D310))</f>
        <v>55.230913221702366</v>
      </c>
      <c r="I310" s="11">
        <f>G310*SIN(RADIANS(D310))</f>
        <v>20.102408424039304</v>
      </c>
      <c r="J310" s="11">
        <v>0.16569999999999999</v>
      </c>
      <c r="K310" s="12">
        <v>0</v>
      </c>
      <c r="L310" s="12">
        <f>-(F310*G310*$U$3)/J310</f>
        <v>-5.3206557215523507</v>
      </c>
      <c r="M310" s="11">
        <f>ABS(L310/$U$6)</f>
        <v>1.5512115806275074E-2</v>
      </c>
      <c r="N310" s="12">
        <f>L310*SIN(RADIANS(K310))</f>
        <v>0</v>
      </c>
      <c r="O310" s="12">
        <f>L310*COS(RADIANS(K310))</f>
        <v>-5.3206557215523507</v>
      </c>
      <c r="P310" s="5">
        <v>1.1446300794712141</v>
      </c>
      <c r="Q310" s="5">
        <v>0.60474369451060639</v>
      </c>
      <c r="R310" s="6">
        <f>P310/Q310</f>
        <v>1.892752400498388</v>
      </c>
    </row>
    <row r="311" spans="1:18" x14ac:dyDescent="0.35">
      <c r="A311" s="9">
        <v>310</v>
      </c>
      <c r="B311" s="5">
        <v>0.25</v>
      </c>
      <c r="C311" s="5">
        <v>2000000</v>
      </c>
      <c r="D311" s="5">
        <v>10</v>
      </c>
      <c r="E311" s="5">
        <v>0.25</v>
      </c>
      <c r="F311" s="5">
        <v>0.1</v>
      </c>
      <c r="G311" s="12">
        <f>(C311*$U$4)/($U$5*$U$3)</f>
        <v>29.387755102040813</v>
      </c>
      <c r="H311" s="11">
        <f>G311*COS(RADIANS(D311))</f>
        <v>28.941289068113864</v>
      </c>
      <c r="I311" s="11">
        <f>G311*SIN(RADIANS(D311))</f>
        <v>5.1031301191914213</v>
      </c>
      <c r="J311" s="12">
        <v>0.1913</v>
      </c>
      <c r="K311" s="11">
        <v>67</v>
      </c>
      <c r="L311" s="12">
        <f>-(F311*G311*$U$3)/J311</f>
        <v>-15.362130215389866</v>
      </c>
      <c r="M311" s="11">
        <f>ABS(L311/$U$6)</f>
        <v>4.4787551648366959E-2</v>
      </c>
      <c r="N311" s="12">
        <f>L311*SIN(RADIANS(K311))</f>
        <v>-14.140915422634755</v>
      </c>
      <c r="O311" s="12">
        <f>L311*COS(RADIANS(K311))</f>
        <v>-6.0024624750584517</v>
      </c>
      <c r="P311" s="5">
        <v>2.4270180887127348</v>
      </c>
      <c r="Q311" s="5">
        <v>0.38977942508914032</v>
      </c>
      <c r="R311" s="6">
        <f>P311/Q311</f>
        <v>6.2266449496601561</v>
      </c>
    </row>
    <row r="312" spans="1:18" x14ac:dyDescent="0.35">
      <c r="A312" s="9">
        <v>311</v>
      </c>
      <c r="B312" s="5">
        <v>0.1</v>
      </c>
      <c r="C312" s="5">
        <v>6000000</v>
      </c>
      <c r="D312" s="5">
        <v>15</v>
      </c>
      <c r="E312" s="5">
        <v>0.25</v>
      </c>
      <c r="F312" s="5">
        <v>2.5000000000000001E-2</v>
      </c>
      <c r="G312" s="12">
        <f>(C312*$U$4)/($U$5*$U$3)</f>
        <v>88.16326530612244</v>
      </c>
      <c r="H312" s="11">
        <f>G312*COS(RADIANS(D312))</f>
        <v>85.159174889158663</v>
      </c>
      <c r="I312" s="11">
        <f>G312*SIN(RADIANS(D312))</f>
        <v>22.818332139650806</v>
      </c>
      <c r="J312" s="11">
        <v>0.1661</v>
      </c>
      <c r="K312" s="12">
        <v>80</v>
      </c>
      <c r="L312" s="12">
        <f>-(F312*G312*$U$3)/J312</f>
        <v>-13.269606457875142</v>
      </c>
      <c r="M312" s="11">
        <f>ABS(L312/$U$6)</f>
        <v>3.8686899294096626E-2</v>
      </c>
      <c r="N312" s="12">
        <f>L312*SIN(RADIANS(K312))</f>
        <v>-13.068011319136303</v>
      </c>
      <c r="O312" s="12">
        <f>L312*COS(RADIANS(K312))</f>
        <v>-2.3042429797673498</v>
      </c>
      <c r="P312" s="5">
        <v>1.5454473838971334</v>
      </c>
      <c r="Q312" s="5">
        <v>0.62549881774873661</v>
      </c>
      <c r="R312" s="6">
        <f>P312/Q312</f>
        <v>2.4707438927853271</v>
      </c>
    </row>
    <row r="313" spans="1:18" x14ac:dyDescent="0.35">
      <c r="A313" s="9">
        <v>312</v>
      </c>
      <c r="B313" s="5">
        <v>1</v>
      </c>
      <c r="C313" s="5">
        <v>2000000</v>
      </c>
      <c r="D313" s="5">
        <v>5</v>
      </c>
      <c r="E313" s="5">
        <v>0.125</v>
      </c>
      <c r="F313" s="5">
        <v>7.4999999999999997E-2</v>
      </c>
      <c r="G313" s="12">
        <f>(C313*$U$4)/($U$5*$U$3)</f>
        <v>29.387755102040813</v>
      </c>
      <c r="H313" s="11">
        <f>G313*COS(RADIANS(D313))</f>
        <v>29.275925821471702</v>
      </c>
      <c r="I313" s="11">
        <f>G313*SIN(RADIANS(D313))</f>
        <v>2.5613116236046478</v>
      </c>
      <c r="J313" s="11">
        <v>0.33379999999999999</v>
      </c>
      <c r="K313" s="12">
        <v>14</v>
      </c>
      <c r="L313" s="12">
        <f>-(F313*G313*$U$3)/J313</f>
        <v>-6.6030006969834067</v>
      </c>
      <c r="M313" s="11">
        <f>ABS(L313/$U$6)</f>
        <v>1.9250730894995356E-2</v>
      </c>
      <c r="N313" s="12">
        <f>L313*SIN(RADIANS(K313))</f>
        <v>-1.597410445260153</v>
      </c>
      <c r="O313" s="12">
        <f>L313*COS(RADIANS(K313))</f>
        <v>-6.4068633568804252</v>
      </c>
      <c r="P313" s="5">
        <v>3.0319915418648464</v>
      </c>
      <c r="Q313" s="5">
        <v>0.66310546833398987</v>
      </c>
      <c r="R313" s="6">
        <f>P313/Q313</f>
        <v>4.5724122129207156</v>
      </c>
    </row>
    <row r="314" spans="1:18" x14ac:dyDescent="0.35">
      <c r="A314" s="9">
        <v>313</v>
      </c>
      <c r="B314" s="5">
        <v>0.1</v>
      </c>
      <c r="C314" s="5">
        <v>2000000</v>
      </c>
      <c r="D314" s="5">
        <v>0</v>
      </c>
      <c r="E314" s="5">
        <v>0.125</v>
      </c>
      <c r="F314" s="5">
        <v>0</v>
      </c>
      <c r="G314" s="12">
        <f>(C314*$U$4)/($U$5*$U$3)</f>
        <v>29.387755102040813</v>
      </c>
      <c r="H314" s="11">
        <f>G314*COS(RADIANS(D314))</f>
        <v>29.387755102040813</v>
      </c>
      <c r="I314" s="11">
        <f>G314*SIN(RADIANS(D314))</f>
        <v>0</v>
      </c>
      <c r="J314" s="12">
        <v>0.1658</v>
      </c>
      <c r="K314" s="12">
        <v>69</v>
      </c>
      <c r="L314" s="12">
        <f>-(F314*G314*$U$3)/J314</f>
        <v>0</v>
      </c>
      <c r="M314" s="11">
        <f>ABS(L314/$U$6)</f>
        <v>0</v>
      </c>
      <c r="N314" s="12">
        <f>L314*SIN(RADIANS(K314))</f>
        <v>0</v>
      </c>
      <c r="O314" s="12">
        <f>L314*COS(RADIANS(K314))</f>
        <v>0</v>
      </c>
      <c r="P314" s="5">
        <v>1.2048863247340222</v>
      </c>
      <c r="Q314" s="5">
        <v>0.23976196975725955</v>
      </c>
      <c r="R314" s="6">
        <f>P314/Q314</f>
        <v>5.025343785563142</v>
      </c>
    </row>
    <row r="315" spans="1:18" x14ac:dyDescent="0.35">
      <c r="A315" s="9">
        <v>314</v>
      </c>
      <c r="B315" s="5">
        <v>0.5</v>
      </c>
      <c r="C315" s="5">
        <v>4000000</v>
      </c>
      <c r="D315" s="5">
        <v>30</v>
      </c>
      <c r="E315" s="5">
        <v>0</v>
      </c>
      <c r="F315" s="5">
        <v>3.5000000000000003E-2</v>
      </c>
      <c r="G315" s="12">
        <f>(C315*$U$4)/($U$5*$U$3)</f>
        <v>58.775510204081627</v>
      </c>
      <c r="H315" s="11">
        <f>G315*COS(RADIANS(D315))</f>
        <v>50.901084957126187</v>
      </c>
      <c r="I315" s="11">
        <f>G315*SIN(RADIANS(D315))</f>
        <v>29.38775510204081</v>
      </c>
      <c r="J315" s="12">
        <v>0.23230000000000001</v>
      </c>
      <c r="K315" s="12">
        <v>0</v>
      </c>
      <c r="L315" s="12">
        <f>-(F315*G315*$U$3)/J315</f>
        <v>-8.8555439394871147</v>
      </c>
      <c r="M315" s="11">
        <f>ABS(L315/$U$6)</f>
        <v>2.5817912360020744E-2</v>
      </c>
      <c r="N315" s="12">
        <f>L315*SIN(RADIANS(K315))</f>
        <v>0</v>
      </c>
      <c r="O315" s="12">
        <f>L315*COS(RADIANS(K315))</f>
        <v>-8.8555439394871147</v>
      </c>
      <c r="P315" s="5">
        <v>2.4505794243734202</v>
      </c>
      <c r="Q315" s="5">
        <v>1.0698360335078032</v>
      </c>
      <c r="R315" s="6">
        <f>P315/Q315</f>
        <v>2.2906121570222342</v>
      </c>
    </row>
    <row r="316" spans="1:18" x14ac:dyDescent="0.35">
      <c r="A316" s="9">
        <v>315</v>
      </c>
      <c r="B316" s="5">
        <v>0.75</v>
      </c>
      <c r="C316" s="5">
        <v>2000000</v>
      </c>
      <c r="D316" s="5">
        <v>0</v>
      </c>
      <c r="E316" s="5">
        <v>0</v>
      </c>
      <c r="F316" s="5">
        <v>3.5000000000000003E-2</v>
      </c>
      <c r="G316" s="12">
        <f>(C316*$U$4)/($U$5*$U$3)</f>
        <v>29.387755102040813</v>
      </c>
      <c r="H316" s="11">
        <f>G316*COS(RADIANS(D316))</f>
        <v>29.387755102040813</v>
      </c>
      <c r="I316" s="11">
        <f>G316*SIN(RADIANS(D316))</f>
        <v>0</v>
      </c>
      <c r="J316" s="11">
        <v>0.27929999999999999</v>
      </c>
      <c r="K316" s="12">
        <v>0</v>
      </c>
      <c r="L316" s="12">
        <f>-(F316*G316*$U$3)/J316</f>
        <v>-3.6826760779499765</v>
      </c>
      <c r="M316" s="11">
        <f>ABS(L316/$U$6)</f>
        <v>1.0736664950291477E-2</v>
      </c>
      <c r="N316" s="12">
        <f>L316*SIN(RADIANS(K316))</f>
        <v>0</v>
      </c>
      <c r="O316" s="12">
        <f>L316*COS(RADIANS(K316))</f>
        <v>-3.6826760779499765</v>
      </c>
      <c r="P316" s="5">
        <v>4.6454308364274848</v>
      </c>
      <c r="Q316" s="5">
        <v>0.41668882931868734</v>
      </c>
      <c r="R316" s="6">
        <f>P316/Q316</f>
        <v>11.148441017780723</v>
      </c>
    </row>
    <row r="317" spans="1:18" x14ac:dyDescent="0.35">
      <c r="A317" s="9">
        <v>316</v>
      </c>
      <c r="B317" s="5">
        <v>0.5</v>
      </c>
      <c r="C317" s="5">
        <v>2000000</v>
      </c>
      <c r="D317" s="5">
        <v>0</v>
      </c>
      <c r="E317" s="5">
        <v>0.375</v>
      </c>
      <c r="F317" s="5">
        <v>0.1</v>
      </c>
      <c r="G317" s="12">
        <f>(C317*$U$4)/($U$5*$U$3)</f>
        <v>29.387755102040813</v>
      </c>
      <c r="H317" s="11">
        <f>G317*COS(RADIANS(D317))</f>
        <v>29.387755102040813</v>
      </c>
      <c r="I317" s="11">
        <f>G317*SIN(RADIANS(D317))</f>
        <v>0</v>
      </c>
      <c r="J317" s="12">
        <v>0.24809999999999999</v>
      </c>
      <c r="K317" s="12">
        <v>67</v>
      </c>
      <c r="L317" s="12">
        <f>-(F317*G317*$U$3)/J317</f>
        <v>-11.845124990745996</v>
      </c>
      <c r="M317" s="11">
        <f>ABS(L317/$U$6)</f>
        <v>3.4533892101300277E-2</v>
      </c>
      <c r="N317" s="12">
        <f>L317*SIN(RADIANS(K317))</f>
        <v>-10.903495043732482</v>
      </c>
      <c r="O317" s="12">
        <f>L317*COS(RADIANS(K317))</f>
        <v>-4.6282590547306803</v>
      </c>
      <c r="P317" s="5">
        <v>3.8108759952780904</v>
      </c>
      <c r="Q317" s="5">
        <v>-0.36907846496680846</v>
      </c>
      <c r="R317" s="6">
        <f>P317/Q317</f>
        <v>-10.325381611253873</v>
      </c>
    </row>
    <row r="318" spans="1:18" x14ac:dyDescent="0.35">
      <c r="A318" s="9">
        <v>317</v>
      </c>
      <c r="B318" s="5">
        <v>0.75</v>
      </c>
      <c r="C318" s="5">
        <v>4000000</v>
      </c>
      <c r="D318" s="5">
        <v>10</v>
      </c>
      <c r="E318" s="5">
        <v>0.25</v>
      </c>
      <c r="F318" s="5">
        <v>0.1</v>
      </c>
      <c r="G318" s="12">
        <f>(C318*$U$4)/($U$5*$U$3)</f>
        <v>58.775510204081627</v>
      </c>
      <c r="H318" s="11">
        <f>G318*COS(RADIANS(D318))</f>
        <v>57.882578136227728</v>
      </c>
      <c r="I318" s="11">
        <f>G318*SIN(RADIANS(D318))</f>
        <v>10.206260238382843</v>
      </c>
      <c r="J318" s="12">
        <v>0.28370000000000001</v>
      </c>
      <c r="K318" s="11">
        <v>38</v>
      </c>
      <c r="L318" s="12">
        <f>-(F318*G318*$U$3)/J318</f>
        <v>-20.717486853747488</v>
      </c>
      <c r="M318" s="11">
        <f>ABS(L318/$U$6)</f>
        <v>6.0400836308301717E-2</v>
      </c>
      <c r="N318" s="12">
        <f>L318*SIN(RADIANS(K318))</f>
        <v>-12.754958521418109</v>
      </c>
      <c r="O318" s="12">
        <f>L318*COS(RADIANS(K318))</f>
        <v>-16.325602428458911</v>
      </c>
      <c r="P318" s="5">
        <v>4.5909066124043107</v>
      </c>
      <c r="Q318" s="5">
        <v>0.15282692044306476</v>
      </c>
      <c r="R318" s="6">
        <f>P318/Q318</f>
        <v>30.03990788464942</v>
      </c>
    </row>
    <row r="319" spans="1:18" x14ac:dyDescent="0.35">
      <c r="A319" s="9">
        <v>318</v>
      </c>
      <c r="B319" s="5">
        <v>1</v>
      </c>
      <c r="C319" s="5">
        <v>2000000</v>
      </c>
      <c r="D319" s="5">
        <v>0</v>
      </c>
      <c r="E319" s="5">
        <v>0.125</v>
      </c>
      <c r="F319" s="5">
        <v>7.4999999999999997E-2</v>
      </c>
      <c r="G319" s="12">
        <f>(C319*$U$4)/($U$5*$U$3)</f>
        <v>29.387755102040813</v>
      </c>
      <c r="H319" s="11">
        <f>G319*COS(RADIANS(D319))</f>
        <v>29.387755102040813</v>
      </c>
      <c r="I319" s="11">
        <f>G319*SIN(RADIANS(D319))</f>
        <v>0</v>
      </c>
      <c r="J319" s="11">
        <v>0.33379999999999999</v>
      </c>
      <c r="K319" s="12">
        <v>14</v>
      </c>
      <c r="L319" s="12">
        <f>-(F319*G319*$U$3)/J319</f>
        <v>-6.6030006969834067</v>
      </c>
      <c r="M319" s="11">
        <f>ABS(L319/$U$6)</f>
        <v>1.9250730894995356E-2</v>
      </c>
      <c r="N319" s="12">
        <f>L319*SIN(RADIANS(K319))</f>
        <v>-1.597410445260153</v>
      </c>
      <c r="O319" s="12">
        <f>L319*COS(RADIANS(K319))</f>
        <v>-6.4068633568804252</v>
      </c>
      <c r="P319" s="5">
        <v>2.99570435363322</v>
      </c>
      <c r="Q319" s="5">
        <v>0.5171830465331787</v>
      </c>
      <c r="R319" s="6">
        <f>P319/Q319</f>
        <v>5.7923483256349106</v>
      </c>
    </row>
    <row r="320" spans="1:18" x14ac:dyDescent="0.35">
      <c r="A320" s="9">
        <v>319</v>
      </c>
      <c r="B320" s="5">
        <v>0.1</v>
      </c>
      <c r="C320" s="5">
        <v>2000000</v>
      </c>
      <c r="D320" s="5">
        <v>0</v>
      </c>
      <c r="E320" s="5">
        <v>0.25</v>
      </c>
      <c r="F320" s="5">
        <v>3.5000000000000003E-2</v>
      </c>
      <c r="G320" s="12">
        <f>(C320*$U$4)/($U$5*$U$3)</f>
        <v>29.387755102040813</v>
      </c>
      <c r="H320" s="11">
        <f>G320*COS(RADIANS(D320))</f>
        <v>29.387755102040813</v>
      </c>
      <c r="I320" s="11">
        <f>G320*SIN(RADIANS(D320))</f>
        <v>0</v>
      </c>
      <c r="J320" s="11">
        <v>0.1661</v>
      </c>
      <c r="K320" s="12">
        <v>80</v>
      </c>
      <c r="L320" s="12">
        <f>-(F320*G320*$U$3)/J320</f>
        <v>-6.1924830136750657</v>
      </c>
      <c r="M320" s="11">
        <f>ABS(L320/$U$6)</f>
        <v>1.8053886337245091E-2</v>
      </c>
      <c r="N320" s="12">
        <f>L320*SIN(RADIANS(K320))</f>
        <v>-6.0984052822636077</v>
      </c>
      <c r="O320" s="12">
        <f>L320*COS(RADIANS(K320))</f>
        <v>-1.0753133905580965</v>
      </c>
      <c r="P320" s="5">
        <v>1.3995981296175584</v>
      </c>
      <c r="Q320" s="5">
        <v>0.22649138764272564</v>
      </c>
      <c r="R320" s="6">
        <f>P320/Q320</f>
        <v>6.1794761566180467</v>
      </c>
    </row>
    <row r="321" spans="1:18" x14ac:dyDescent="0.35">
      <c r="A321" s="9">
        <v>124</v>
      </c>
      <c r="B321" s="5">
        <v>0.5</v>
      </c>
      <c r="C321" s="5">
        <v>6000000</v>
      </c>
      <c r="D321" s="5">
        <v>15</v>
      </c>
      <c r="E321" s="5">
        <v>0</v>
      </c>
      <c r="F321" s="5">
        <v>0.15</v>
      </c>
      <c r="G321" s="12">
        <f>(C321*$U$4)/($U$5*$U$3)</f>
        <v>88.16326530612244</v>
      </c>
      <c r="H321" s="11">
        <f>G321*COS(RADIANS(D321))</f>
        <v>85.159174889158663</v>
      </c>
      <c r="I321" s="11">
        <f>G321*SIN(RADIANS(D321))</f>
        <v>22.818332139650806</v>
      </c>
      <c r="J321" s="12">
        <v>0.23230000000000001</v>
      </c>
      <c r="K321" s="12">
        <v>0</v>
      </c>
      <c r="L321" s="12">
        <f>-(F321*G321*$U$3)/J321</f>
        <v>-56.928496753845742</v>
      </c>
      <c r="M321" s="11">
        <f>ABS(L321/$U$6)</f>
        <v>0.1659722937429905</v>
      </c>
      <c r="N321" s="12">
        <f>L321*SIN(RADIANS(K321))</f>
        <v>0</v>
      </c>
      <c r="O321" s="12">
        <f>L321*COS(RADIANS(K321))</f>
        <v>-56.928496753845742</v>
      </c>
      <c r="P321" s="5">
        <v>4.7131174153232536</v>
      </c>
      <c r="Q321" s="5">
        <v>0.66295781908345364</v>
      </c>
      <c r="R321" s="6">
        <f>P321/Q321</f>
        <v>7.1092266802723429</v>
      </c>
    </row>
    <row r="322" spans="1:18" x14ac:dyDescent="0.35">
      <c r="A322" s="9">
        <v>321</v>
      </c>
      <c r="B322" s="5">
        <v>1</v>
      </c>
      <c r="C322" s="5">
        <v>2000000</v>
      </c>
      <c r="D322" s="5">
        <v>15</v>
      </c>
      <c r="E322" s="5">
        <v>0.125</v>
      </c>
      <c r="F322" s="5">
        <v>0.15</v>
      </c>
      <c r="G322" s="12">
        <f>(C322*$U$4)/($U$5*$U$3)</f>
        <v>29.387755102040813</v>
      </c>
      <c r="H322" s="11">
        <f>G322*COS(RADIANS(D322))</f>
        <v>28.386391629719554</v>
      </c>
      <c r="I322" s="11">
        <f>G322*SIN(RADIANS(D322))</f>
        <v>7.6061107132169354</v>
      </c>
      <c r="J322" s="11">
        <v>0.33379999999999999</v>
      </c>
      <c r="K322" s="12">
        <v>14</v>
      </c>
      <c r="L322" s="12">
        <f>-(F322*G322*$U$3)/J322</f>
        <v>-13.206001393966813</v>
      </c>
      <c r="M322" s="11">
        <f>ABS(L322/$U$6)</f>
        <v>3.8501461789990712E-2</v>
      </c>
      <c r="N322" s="12">
        <f>L322*SIN(RADIANS(K322))</f>
        <v>-3.1948208905203059</v>
      </c>
      <c r="O322" s="12">
        <f>L322*COS(RADIANS(K322))</f>
        <v>-12.81372671376085</v>
      </c>
      <c r="P322" s="5">
        <v>4.1651501034739837</v>
      </c>
      <c r="Q322" s="5">
        <v>0.59241926333280825</v>
      </c>
      <c r="R322" s="6">
        <f>P322/Q322</f>
        <v>7.0307472448513089</v>
      </c>
    </row>
    <row r="323" spans="1:18" x14ac:dyDescent="0.35">
      <c r="A323" s="9">
        <v>322</v>
      </c>
      <c r="B323" s="5">
        <v>0.25</v>
      </c>
      <c r="C323" s="5">
        <v>2000000</v>
      </c>
      <c r="D323" s="5">
        <v>5</v>
      </c>
      <c r="E323" s="5">
        <v>0.25</v>
      </c>
      <c r="F323" s="5">
        <v>0.05</v>
      </c>
      <c r="G323" s="12">
        <f>(C323*$U$4)/($U$5*$U$3)</f>
        <v>29.387755102040813</v>
      </c>
      <c r="H323" s="11">
        <f>G323*COS(RADIANS(D323))</f>
        <v>29.275925821471702</v>
      </c>
      <c r="I323" s="11">
        <f>G323*SIN(RADIANS(D323))</f>
        <v>2.5613116236046478</v>
      </c>
      <c r="J323" s="12">
        <v>0.1913</v>
      </c>
      <c r="K323" s="11">
        <v>67</v>
      </c>
      <c r="L323" s="12">
        <f>-(F323*G323*$U$3)/J323</f>
        <v>-7.6810651076949332</v>
      </c>
      <c r="M323" s="11">
        <f>ABS(L323/$U$6)</f>
        <v>2.239377582418348E-2</v>
      </c>
      <c r="N323" s="12">
        <f>L323*SIN(RADIANS(K323))</f>
        <v>-7.0704577113173777</v>
      </c>
      <c r="O323" s="12">
        <f>L323*COS(RADIANS(K323))</f>
        <v>-3.0012312375292258</v>
      </c>
      <c r="P323" s="5">
        <v>2.0705539005475222</v>
      </c>
      <c r="Q323" s="5">
        <v>0.25167311961621497</v>
      </c>
      <c r="R323" s="6">
        <f>P323/Q323</f>
        <v>8.2271555409055264</v>
      </c>
    </row>
    <row r="324" spans="1:18" x14ac:dyDescent="0.35">
      <c r="A324" s="9">
        <v>323</v>
      </c>
      <c r="B324" s="5">
        <v>0.1</v>
      </c>
      <c r="C324" s="5">
        <v>6000000</v>
      </c>
      <c r="D324" s="5">
        <v>0</v>
      </c>
      <c r="E324" s="5">
        <v>0.125</v>
      </c>
      <c r="F324" s="5">
        <v>1.4999999999999999E-2</v>
      </c>
      <c r="G324" s="12">
        <f>(C324*$U$4)/($U$5*$U$3)</f>
        <v>88.16326530612244</v>
      </c>
      <c r="H324" s="11">
        <f>G324*COS(RADIANS(D324))</f>
        <v>88.16326530612244</v>
      </c>
      <c r="I324" s="11">
        <f>G324*SIN(RADIANS(D324))</f>
        <v>0</v>
      </c>
      <c r="J324" s="12">
        <v>0.1658</v>
      </c>
      <c r="K324" s="12">
        <v>69</v>
      </c>
      <c r="L324" s="12">
        <f>-(F324*G324*$U$3)/J324</f>
        <v>-7.9761699613500401</v>
      </c>
      <c r="M324" s="11">
        <f>ABS(L324/$U$6)</f>
        <v>2.3254139829008862E-2</v>
      </c>
      <c r="N324" s="12">
        <f>L324*SIN(RADIANS(K324))</f>
        <v>-7.4463961543313397</v>
      </c>
      <c r="O324" s="12">
        <f>L324*COS(RADIANS(K324))</f>
        <v>-2.8584036742738315</v>
      </c>
      <c r="P324" s="5">
        <v>1.1162075338920125</v>
      </c>
      <c r="Q324" s="5">
        <v>0.2337036217480952</v>
      </c>
      <c r="R324" s="6">
        <f>P324/Q324</f>
        <v>4.7761670338817082</v>
      </c>
    </row>
    <row r="325" spans="1:18" x14ac:dyDescent="0.35">
      <c r="A325" s="9">
        <v>169</v>
      </c>
      <c r="B325" s="5">
        <v>0.5</v>
      </c>
      <c r="C325" s="5">
        <v>6000000</v>
      </c>
      <c r="D325" s="5">
        <v>5</v>
      </c>
      <c r="E325" s="5">
        <v>0</v>
      </c>
      <c r="F325" s="5">
        <v>0.15</v>
      </c>
      <c r="G325" s="12">
        <f>(C325*$U$4)/($U$5*$U$3)</f>
        <v>88.16326530612244</v>
      </c>
      <c r="H325" s="11">
        <f>G325*COS(RADIANS(D325))</f>
        <v>87.827777464415107</v>
      </c>
      <c r="I325" s="11">
        <f>G325*SIN(RADIANS(D325))</f>
        <v>7.6839348708139434</v>
      </c>
      <c r="J325" s="19">
        <v>0.23230000000000001</v>
      </c>
      <c r="K325" s="12">
        <v>0</v>
      </c>
      <c r="L325" s="12">
        <f>-(F325*G325*$U$3)/J325</f>
        <v>-56.928496753845742</v>
      </c>
      <c r="M325" s="11">
        <f>ABS(L325/$U$6)</f>
        <v>0.1659722937429905</v>
      </c>
      <c r="N325" s="12">
        <f>L325*SIN(RADIANS(K325))</f>
        <v>0</v>
      </c>
      <c r="O325" s="12">
        <f>L325*COS(RADIANS(K325))</f>
        <v>-56.928496753845742</v>
      </c>
      <c r="P325" s="5">
        <v>4.6953256174454596</v>
      </c>
      <c r="Q325" s="5">
        <v>0.15189036522211344</v>
      </c>
      <c r="R325" s="6">
        <f>P325/Q325</f>
        <v>30.91259679690253</v>
      </c>
    </row>
    <row r="326" spans="1:18" x14ac:dyDescent="0.35">
      <c r="A326" s="9">
        <v>325</v>
      </c>
      <c r="B326" s="5">
        <v>0.5</v>
      </c>
      <c r="C326" s="5">
        <v>6000000</v>
      </c>
      <c r="D326" s="5">
        <v>0</v>
      </c>
      <c r="E326" s="5">
        <v>0.125</v>
      </c>
      <c r="F326" s="5">
        <v>0.05</v>
      </c>
      <c r="G326" s="12">
        <f>(C326*$U$4)/($U$5*$U$3)</f>
        <v>88.16326530612244</v>
      </c>
      <c r="H326" s="11">
        <f>G326*COS(RADIANS(D326))</f>
        <v>88.16326530612244</v>
      </c>
      <c r="I326" s="11">
        <f>G326*SIN(RADIANS(D326))</f>
        <v>0</v>
      </c>
      <c r="J326" s="12">
        <v>0.23300000000000001</v>
      </c>
      <c r="K326" s="11">
        <v>27</v>
      </c>
      <c r="L326" s="12">
        <f>-(F326*G326*$U$3)/J326</f>
        <v>-18.919155645090651</v>
      </c>
      <c r="M326" s="11">
        <f>ABS(L326/$U$6)</f>
        <v>5.5157888178106858E-2</v>
      </c>
      <c r="N326" s="12">
        <f>L326*SIN(RADIANS(K326))</f>
        <v>-8.5891169259649711</v>
      </c>
      <c r="O326" s="12">
        <f>L326*COS(RADIANS(K326))</f>
        <v>-16.857091111910961</v>
      </c>
      <c r="P326" s="5">
        <v>4.6976391241015154</v>
      </c>
      <c r="Q326" s="5">
        <v>2.7117390877234443E-2</v>
      </c>
      <c r="R326" s="6">
        <f>P326/Q326</f>
        <v>173.23344806174813</v>
      </c>
    </row>
    <row r="327" spans="1:18" x14ac:dyDescent="0.35">
      <c r="A327" s="9">
        <v>450</v>
      </c>
      <c r="B327" s="5">
        <v>0.5</v>
      </c>
      <c r="C327" s="5">
        <v>6000000</v>
      </c>
      <c r="D327" s="5">
        <v>0</v>
      </c>
      <c r="E327" s="5">
        <v>0</v>
      </c>
      <c r="F327" s="5">
        <v>0.15</v>
      </c>
      <c r="G327" s="12">
        <f>(C327*$U$4)/($U$5*$U$3)</f>
        <v>88.16326530612244</v>
      </c>
      <c r="H327" s="11">
        <f>G327*COS(RADIANS(D327))</f>
        <v>88.16326530612244</v>
      </c>
      <c r="I327" s="11">
        <f>G327*SIN(RADIANS(D327))</f>
        <v>0</v>
      </c>
      <c r="J327" s="12">
        <v>0.23230000000000001</v>
      </c>
      <c r="K327" s="19">
        <v>0</v>
      </c>
      <c r="L327" s="12">
        <f>-(F327*G327*$U$3)/J327</f>
        <v>-56.928496753845742</v>
      </c>
      <c r="M327" s="11">
        <f>ABS(L327/$U$6)</f>
        <v>0.1659722937429905</v>
      </c>
      <c r="N327" s="12">
        <f>L327*SIN(RADIANS(K327))</f>
        <v>0</v>
      </c>
      <c r="O327" s="12">
        <f>L327*COS(RADIANS(K327))</f>
        <v>-56.928496753845742</v>
      </c>
      <c r="P327" s="5">
        <v>4.7734352520713852</v>
      </c>
      <c r="Q327" s="5">
        <v>-9.1978934875743074E-2</v>
      </c>
      <c r="R327" s="6">
        <f>P327/Q327</f>
        <v>-51.897048585308724</v>
      </c>
    </row>
    <row r="328" spans="1:18" x14ac:dyDescent="0.35">
      <c r="A328" s="9">
        <v>327</v>
      </c>
      <c r="B328" s="5">
        <v>1</v>
      </c>
      <c r="C328" s="5">
        <v>2000000</v>
      </c>
      <c r="D328" s="5">
        <v>20</v>
      </c>
      <c r="E328" s="5">
        <v>0.375</v>
      </c>
      <c r="F328" s="5">
        <v>1.4999999999999999E-2</v>
      </c>
      <c r="G328" s="12">
        <f>(C328*$U$4)/($U$5*$U$3)</f>
        <v>29.387755102040813</v>
      </c>
      <c r="H328" s="11">
        <f>G328*COS(RADIANS(D328))</f>
        <v>27.615456610851183</v>
      </c>
      <c r="I328" s="11">
        <f>G328*SIN(RADIANS(D328))</f>
        <v>10.051204212019652</v>
      </c>
      <c r="J328" s="12">
        <v>0.33379999999999999</v>
      </c>
      <c r="K328" s="11">
        <v>49</v>
      </c>
      <c r="L328" s="12">
        <f>-(F328*G328*$U$3)/J328</f>
        <v>-1.3206001393966813</v>
      </c>
      <c r="M328" s="11">
        <f>ABS(L328/$U$6)</f>
        <v>3.8501461789990708E-3</v>
      </c>
      <c r="N328" s="12">
        <f>L328*SIN(RADIANS(K328))</f>
        <v>-0.99666957684620361</v>
      </c>
      <c r="O328" s="12">
        <f>L328*COS(RADIANS(K328))</f>
        <v>-0.86639164513731526</v>
      </c>
      <c r="P328" s="5">
        <v>5.2523068971857292</v>
      </c>
      <c r="Q328" s="5">
        <v>0.74475126335523401</v>
      </c>
      <c r="R328" s="6">
        <f>P328/Q328</f>
        <v>7.0524310002821249</v>
      </c>
    </row>
    <row r="329" spans="1:18" x14ac:dyDescent="0.35">
      <c r="A329" s="9">
        <v>328</v>
      </c>
      <c r="B329" s="5">
        <v>0.75</v>
      </c>
      <c r="C329" s="5">
        <v>4000000</v>
      </c>
      <c r="D329" s="5">
        <v>15</v>
      </c>
      <c r="E329" s="5">
        <v>0.125</v>
      </c>
      <c r="F329" s="5">
        <v>0</v>
      </c>
      <c r="G329" s="12">
        <f>(C329*$U$4)/($U$5*$U$3)</f>
        <v>58.775510204081627</v>
      </c>
      <c r="H329" s="11">
        <f>G329*COS(RADIANS(D329))</f>
        <v>56.772783259439109</v>
      </c>
      <c r="I329" s="11">
        <f>G329*SIN(RADIANS(D329))</f>
        <v>15.212221426433871</v>
      </c>
      <c r="J329" s="12">
        <v>0.2802</v>
      </c>
      <c r="K329" s="12">
        <v>19</v>
      </c>
      <c r="L329" s="12">
        <f>-(F329*G329*$U$3)/J329</f>
        <v>0</v>
      </c>
      <c r="M329" s="11">
        <f>ABS(L329/$U$6)</f>
        <v>0</v>
      </c>
      <c r="N329" s="12">
        <f>L329*SIN(RADIANS(K329))</f>
        <v>0</v>
      </c>
      <c r="O329" s="12">
        <f>L329*COS(RADIANS(K329))</f>
        <v>0</v>
      </c>
      <c r="P329" s="5">
        <v>5.0284751098019518</v>
      </c>
      <c r="Q329" s="5">
        <v>1.6561975126282489</v>
      </c>
      <c r="R329" s="6">
        <f>P329/Q329</f>
        <v>3.0361566609420736</v>
      </c>
    </row>
    <row r="330" spans="1:18" x14ac:dyDescent="0.35">
      <c r="A330" s="9">
        <v>329</v>
      </c>
      <c r="B330" s="5">
        <v>0.5</v>
      </c>
      <c r="C330" s="5">
        <v>4000000</v>
      </c>
      <c r="D330" s="5">
        <v>0</v>
      </c>
      <c r="E330" s="5">
        <v>0.125</v>
      </c>
      <c r="F330" s="5">
        <v>0.1</v>
      </c>
      <c r="G330" s="12">
        <f>(C330*$U$4)/($U$5*$U$3)</f>
        <v>58.775510204081627</v>
      </c>
      <c r="H330" s="11">
        <f>G330*COS(RADIANS(D330))</f>
        <v>58.775510204081627</v>
      </c>
      <c r="I330" s="11">
        <f>G330*SIN(RADIANS(D330))</f>
        <v>0</v>
      </c>
      <c r="J330" s="12">
        <v>0.23300000000000001</v>
      </c>
      <c r="K330" s="11">
        <v>27</v>
      </c>
      <c r="L330" s="12">
        <f>-(F330*G330*$U$3)/J330</f>
        <v>-25.225540860120869</v>
      </c>
      <c r="M330" s="11">
        <f>ABS(L330/$U$6)</f>
        <v>7.3543850904142477E-2</v>
      </c>
      <c r="N330" s="12">
        <f>L330*SIN(RADIANS(K330))</f>
        <v>-11.452155901286629</v>
      </c>
      <c r="O330" s="12">
        <f>L330*COS(RADIANS(K330))</f>
        <v>-22.476121482547949</v>
      </c>
      <c r="P330" s="5">
        <v>4.1627029351155134</v>
      </c>
      <c r="Q330" s="5">
        <v>-6.7146976161724589E-2</v>
      </c>
      <c r="R330" s="6">
        <f>P330/Q330</f>
        <v>-61.993900143612947</v>
      </c>
    </row>
    <row r="331" spans="1:18" x14ac:dyDescent="0.35">
      <c r="A331" s="9">
        <v>330</v>
      </c>
      <c r="B331" s="5">
        <v>1</v>
      </c>
      <c r="C331" s="5">
        <v>4000000</v>
      </c>
      <c r="D331" s="5">
        <v>10</v>
      </c>
      <c r="E331" s="5">
        <v>0.125</v>
      </c>
      <c r="F331" s="5">
        <v>0.15</v>
      </c>
      <c r="G331" s="12">
        <f>(C331*$U$4)/($U$5*$U$3)</f>
        <v>58.775510204081627</v>
      </c>
      <c r="H331" s="11">
        <f>G331*COS(RADIANS(D331))</f>
        <v>57.882578136227728</v>
      </c>
      <c r="I331" s="11">
        <f>G331*SIN(RADIANS(D331))</f>
        <v>10.206260238382843</v>
      </c>
      <c r="J331" s="11">
        <v>0.33379999999999999</v>
      </c>
      <c r="K331" s="12">
        <v>14</v>
      </c>
      <c r="L331" s="12">
        <f>-(F331*G331*$U$3)/J331</f>
        <v>-26.412002787933627</v>
      </c>
      <c r="M331" s="11">
        <f>ABS(L331/$U$6)</f>
        <v>7.7002923579981425E-2</v>
      </c>
      <c r="N331" s="12">
        <f>L331*SIN(RADIANS(K331))</f>
        <v>-6.3896417810406119</v>
      </c>
      <c r="O331" s="12">
        <f>L331*COS(RADIANS(K331))</f>
        <v>-25.627453427521701</v>
      </c>
      <c r="P331" s="5">
        <v>4.2087132759519763</v>
      </c>
      <c r="Q331" s="5">
        <v>0.36430137573904464</v>
      </c>
      <c r="R331" s="6">
        <f>P331/Q331</f>
        <v>11.552833879405249</v>
      </c>
    </row>
    <row r="332" spans="1:18" x14ac:dyDescent="0.35">
      <c r="A332" s="9">
        <v>1371</v>
      </c>
      <c r="B332" s="5">
        <v>0.5</v>
      </c>
      <c r="C332" s="5">
        <v>6000000</v>
      </c>
      <c r="D332" s="5">
        <v>20</v>
      </c>
      <c r="E332" s="5">
        <v>0</v>
      </c>
      <c r="F332" s="5">
        <v>0.15</v>
      </c>
      <c r="G332" s="12">
        <f>(C332*$U$4)/($U$5*$U$3)</f>
        <v>88.16326530612244</v>
      </c>
      <c r="H332" s="11">
        <f>G332*COS(RADIANS(D332))</f>
        <v>82.846369832553549</v>
      </c>
      <c r="I332" s="11">
        <f>G332*SIN(RADIANS(D332))</f>
        <v>30.153612636058952</v>
      </c>
      <c r="J332" s="19">
        <v>0.23230000000000001</v>
      </c>
      <c r="K332" s="12">
        <v>0</v>
      </c>
      <c r="L332" s="12">
        <f>-(F332*G332*$U$3)/J332</f>
        <v>-56.928496753845742</v>
      </c>
      <c r="M332" s="11">
        <f>ABS(L332/$U$6)</f>
        <v>0.1659722937429905</v>
      </c>
      <c r="N332" s="12">
        <f>L332*SIN(RADIANS(K332))</f>
        <v>0</v>
      </c>
      <c r="O332" s="12">
        <f>L332*COS(RADIANS(K332))</f>
        <v>-56.928496753845742</v>
      </c>
      <c r="P332" s="5">
        <v>4.6579462633579958</v>
      </c>
      <c r="Q332" s="5">
        <v>0.90528621657885999</v>
      </c>
      <c r="R332" s="6">
        <f>P332/Q332</f>
        <v>5.145274696615509</v>
      </c>
    </row>
    <row r="333" spans="1:18" x14ac:dyDescent="0.35">
      <c r="A333" s="9">
        <v>332</v>
      </c>
      <c r="B333" s="5">
        <v>1</v>
      </c>
      <c r="C333" s="5">
        <v>2000000</v>
      </c>
      <c r="D333" s="5">
        <v>20</v>
      </c>
      <c r="E333" s="5">
        <v>0.125</v>
      </c>
      <c r="F333" s="5">
        <v>3.5000000000000003E-2</v>
      </c>
      <c r="G333" s="12">
        <f>(C333*$U$4)/($U$5*$U$3)</f>
        <v>29.387755102040813</v>
      </c>
      <c r="H333" s="11">
        <f>G333*COS(RADIANS(D333))</f>
        <v>27.615456610851183</v>
      </c>
      <c r="I333" s="11">
        <f>G333*SIN(RADIANS(D333))</f>
        <v>10.051204212019652</v>
      </c>
      <c r="J333" s="11">
        <v>0.33379999999999999</v>
      </c>
      <c r="K333" s="12">
        <v>14</v>
      </c>
      <c r="L333" s="12">
        <f>-(F333*G333*$U$3)/J333</f>
        <v>-3.0814003252589233</v>
      </c>
      <c r="M333" s="11">
        <f>ABS(L333/$U$6)</f>
        <v>8.983674417664499E-3</v>
      </c>
      <c r="N333" s="12">
        <f>L333*SIN(RADIANS(K333))</f>
        <v>-0.74545820778807137</v>
      </c>
      <c r="O333" s="12">
        <f>L333*COS(RADIANS(K333))</f>
        <v>-2.9898695665441988</v>
      </c>
      <c r="P333" s="5">
        <v>4.4346487057405852</v>
      </c>
      <c r="Q333" s="5">
        <v>0.86870531896639358</v>
      </c>
      <c r="R333" s="6">
        <f>P333/Q333</f>
        <v>5.1048941556119818</v>
      </c>
    </row>
    <row r="334" spans="1:18" x14ac:dyDescent="0.35">
      <c r="A334" s="9">
        <v>333</v>
      </c>
      <c r="B334" s="5">
        <v>0.25</v>
      </c>
      <c r="C334" s="5">
        <v>2000000</v>
      </c>
      <c r="D334" s="5">
        <v>10</v>
      </c>
      <c r="E334" s="5">
        <v>0</v>
      </c>
      <c r="F334" s="5">
        <v>3.5000000000000003E-2</v>
      </c>
      <c r="G334" s="12">
        <f>(C334*$U$4)/($U$5*$U$3)</f>
        <v>29.387755102040813</v>
      </c>
      <c r="H334" s="11">
        <f>G334*COS(RADIANS(D334))</f>
        <v>28.941289068113864</v>
      </c>
      <c r="I334" s="11">
        <f>G334*SIN(RADIANS(D334))</f>
        <v>5.1031301191914213</v>
      </c>
      <c r="J334" s="12">
        <v>0.18990000000000001</v>
      </c>
      <c r="K334" s="12">
        <v>0</v>
      </c>
      <c r="L334" s="12">
        <f>-(F334*G334*$U$3)/J334</f>
        <v>-5.4163845633039935</v>
      </c>
      <c r="M334" s="11">
        <f>ABS(L334/$U$6)</f>
        <v>1.5791208639370245E-2</v>
      </c>
      <c r="N334" s="12">
        <f>L334*SIN(RADIANS(K334))</f>
        <v>0</v>
      </c>
      <c r="O334" s="12">
        <f>L334*COS(RADIANS(K334))</f>
        <v>-5.4163845633039935</v>
      </c>
      <c r="P334" s="5">
        <v>2.141926734755133</v>
      </c>
      <c r="Q334" s="5">
        <v>0.41969058078685068</v>
      </c>
      <c r="R334" s="6">
        <f>P334/Q334</f>
        <v>5.1035854336768134</v>
      </c>
    </row>
    <row r="335" spans="1:18" x14ac:dyDescent="0.35">
      <c r="A335" s="9">
        <v>334</v>
      </c>
      <c r="B335" s="5">
        <v>1</v>
      </c>
      <c r="C335" s="5">
        <v>6000000</v>
      </c>
      <c r="D335" s="5">
        <v>10</v>
      </c>
      <c r="E335" s="5">
        <v>0.125</v>
      </c>
      <c r="F335" s="5">
        <v>3.5000000000000003E-2</v>
      </c>
      <c r="G335" s="12">
        <f>(C335*$U$4)/($U$5*$U$3)</f>
        <v>88.16326530612244</v>
      </c>
      <c r="H335" s="11">
        <f>G335*COS(RADIANS(D335))</f>
        <v>86.823867204341596</v>
      </c>
      <c r="I335" s="11">
        <f>G335*SIN(RADIANS(D335))</f>
        <v>15.309390357574264</v>
      </c>
      <c r="J335" s="11">
        <v>0.33379999999999999</v>
      </c>
      <c r="K335" s="12">
        <v>14</v>
      </c>
      <c r="L335" s="12">
        <f>-(F335*G335*$U$3)/J335</f>
        <v>-9.2442009757767707</v>
      </c>
      <c r="M335" s="11">
        <f>ABS(L335/$U$6)</f>
        <v>2.6951023252993502E-2</v>
      </c>
      <c r="N335" s="12">
        <f>L335*SIN(RADIANS(K335))</f>
        <v>-2.2363746233642146</v>
      </c>
      <c r="O335" s="12">
        <f>L335*COS(RADIANS(K335))</f>
        <v>-8.9696086996325963</v>
      </c>
      <c r="P335" s="5">
        <v>4.547935398529332</v>
      </c>
      <c r="Q335" s="5">
        <v>0.48305720418493364</v>
      </c>
      <c r="R335" s="6">
        <f>P335/Q335</f>
        <v>9.4149002625954008</v>
      </c>
    </row>
    <row r="336" spans="1:18" x14ac:dyDescent="0.35">
      <c r="A336" s="9">
        <v>335</v>
      </c>
      <c r="B336" s="5">
        <v>0.75</v>
      </c>
      <c r="C336" s="5">
        <v>4000000</v>
      </c>
      <c r="D336" s="5">
        <v>10</v>
      </c>
      <c r="E336" s="5">
        <v>0.125</v>
      </c>
      <c r="F336" s="5">
        <v>0</v>
      </c>
      <c r="G336" s="12">
        <f>(C336*$U$4)/($U$5*$U$3)</f>
        <v>58.775510204081627</v>
      </c>
      <c r="H336" s="11">
        <f>G336*COS(RADIANS(D336))</f>
        <v>57.882578136227728</v>
      </c>
      <c r="I336" s="11">
        <f>G336*SIN(RADIANS(D336))</f>
        <v>10.206260238382843</v>
      </c>
      <c r="J336" s="12">
        <v>0.2802</v>
      </c>
      <c r="K336" s="12">
        <v>19</v>
      </c>
      <c r="L336" s="12">
        <f>-(F336*G336*$U$3)/J336</f>
        <v>0</v>
      </c>
      <c r="M336" s="11">
        <f>ABS(L336/$U$6)</f>
        <v>0</v>
      </c>
      <c r="N336" s="12">
        <f>L336*SIN(RADIANS(K336))</f>
        <v>0</v>
      </c>
      <c r="O336" s="12">
        <f>L336*COS(RADIANS(K336))</f>
        <v>0</v>
      </c>
      <c r="P336" s="5">
        <v>5.1426007218836753</v>
      </c>
      <c r="Q336" s="5">
        <v>1.365749636941384</v>
      </c>
      <c r="R336" s="6">
        <f>P336/Q336</f>
        <v>3.7654051539055167</v>
      </c>
    </row>
    <row r="337" spans="1:18" x14ac:dyDescent="0.35">
      <c r="A337" s="9">
        <v>336</v>
      </c>
      <c r="B337" s="5">
        <v>1</v>
      </c>
      <c r="C337" s="5">
        <v>6000000</v>
      </c>
      <c r="D337" s="5">
        <v>5</v>
      </c>
      <c r="E337" s="5">
        <v>0.125</v>
      </c>
      <c r="F337" s="5">
        <v>0</v>
      </c>
      <c r="G337" s="12">
        <f>(C337*$U$4)/($U$5*$U$3)</f>
        <v>88.16326530612244</v>
      </c>
      <c r="H337" s="11">
        <f>G337*COS(RADIANS(D337))</f>
        <v>87.827777464415107</v>
      </c>
      <c r="I337" s="11">
        <f>G337*SIN(RADIANS(D337))</f>
        <v>7.6839348708139434</v>
      </c>
      <c r="J337" s="11">
        <v>0.33379999999999999</v>
      </c>
      <c r="K337" s="12">
        <v>14</v>
      </c>
      <c r="L337" s="12">
        <f>-(F337*G337*$U$3)/J337</f>
        <v>0</v>
      </c>
      <c r="M337" s="11">
        <f>ABS(L337/$U$6)</f>
        <v>0</v>
      </c>
      <c r="N337" s="12">
        <f>L337*SIN(RADIANS(K337))</f>
        <v>0</v>
      </c>
      <c r="O337" s="12">
        <f>L337*COS(RADIANS(K337))</f>
        <v>0</v>
      </c>
      <c r="P337" s="5">
        <v>6.2675612705168495</v>
      </c>
      <c r="Q337" s="5">
        <v>1.4630131433404643</v>
      </c>
      <c r="R337" s="6">
        <f>P337/Q337</f>
        <v>4.2840088614694674</v>
      </c>
    </row>
    <row r="338" spans="1:18" x14ac:dyDescent="0.35">
      <c r="A338" s="9">
        <v>337</v>
      </c>
      <c r="B338" s="5">
        <v>0.75</v>
      </c>
      <c r="C338" s="5">
        <v>6000000</v>
      </c>
      <c r="D338" s="5">
        <v>10</v>
      </c>
      <c r="E338" s="5">
        <v>0.125</v>
      </c>
      <c r="F338" s="5">
        <v>2.5000000000000001E-2</v>
      </c>
      <c r="G338" s="12">
        <f>(C338*$U$4)/($U$5*$U$3)</f>
        <v>88.16326530612244</v>
      </c>
      <c r="H338" s="11">
        <f>G338*COS(RADIANS(D338))</f>
        <v>86.823867204341596</v>
      </c>
      <c r="I338" s="11">
        <f>G338*SIN(RADIANS(D338))</f>
        <v>15.309390357574264</v>
      </c>
      <c r="J338" s="12">
        <v>0.2802</v>
      </c>
      <c r="K338" s="12">
        <v>19</v>
      </c>
      <c r="L338" s="12">
        <f>-(F338*G338*$U$3)/J338</f>
        <v>-7.8661014727089968</v>
      </c>
      <c r="M338" s="11">
        <f>ABS(L338/$U$6)</f>
        <v>2.2933240445215733E-2</v>
      </c>
      <c r="N338" s="12">
        <f>L338*SIN(RADIANS(K338))</f>
        <v>-2.5609521392425907</v>
      </c>
      <c r="O338" s="12">
        <f>L338*COS(RADIANS(K338))</f>
        <v>-7.4375450599954993</v>
      </c>
      <c r="P338" s="5">
        <v>4.1207117623319478</v>
      </c>
      <c r="Q338" s="5">
        <v>0.62695388516945338</v>
      </c>
      <c r="R338" s="6">
        <f>P338/Q338</f>
        <v>6.5725914773112857</v>
      </c>
    </row>
    <row r="339" spans="1:18" x14ac:dyDescent="0.35">
      <c r="A339" s="9">
        <v>338</v>
      </c>
      <c r="B339" s="5">
        <v>1</v>
      </c>
      <c r="C339" s="5">
        <v>6000000</v>
      </c>
      <c r="D339" s="5">
        <v>0</v>
      </c>
      <c r="E339" s="5">
        <v>0.25</v>
      </c>
      <c r="F339" s="5">
        <v>1.4999999999999999E-2</v>
      </c>
      <c r="G339" s="12">
        <f>(C339*$U$4)/($U$5*$U$3)</f>
        <v>88.16326530612244</v>
      </c>
      <c r="H339" s="11">
        <f>G339*COS(RADIANS(D339))</f>
        <v>88.16326530612244</v>
      </c>
      <c r="I339" s="11">
        <f>G339*SIN(RADIANS(D339))</f>
        <v>0</v>
      </c>
      <c r="J339" s="13">
        <v>0.33379999999999999</v>
      </c>
      <c r="K339" s="12">
        <v>30</v>
      </c>
      <c r="L339" s="12">
        <f>-(F339*G339*$U$3)/J339</f>
        <v>-3.9618004181900441</v>
      </c>
      <c r="M339" s="11">
        <f>ABS(L339/$U$6)</f>
        <v>1.1550438536997214E-2</v>
      </c>
      <c r="N339" s="12">
        <f>L339*SIN(RADIANS(K339))</f>
        <v>-1.9809002090950218</v>
      </c>
      <c r="O339" s="12">
        <f>L339*COS(RADIANS(K339))</f>
        <v>-3.4310198068763911</v>
      </c>
      <c r="P339" s="5">
        <v>3.4913279534746482</v>
      </c>
      <c r="Q339" s="5">
        <v>0.48184400912720238</v>
      </c>
      <c r="R339" s="6">
        <f>P339/Q339</f>
        <v>7.2457639554318289</v>
      </c>
    </row>
    <row r="340" spans="1:18" x14ac:dyDescent="0.35">
      <c r="A340" s="9">
        <v>1418</v>
      </c>
      <c r="B340" s="5">
        <v>0.5</v>
      </c>
      <c r="C340" s="5">
        <v>6000000</v>
      </c>
      <c r="D340" s="5">
        <v>30</v>
      </c>
      <c r="E340" s="5">
        <v>0</v>
      </c>
      <c r="F340" s="5">
        <v>0.15</v>
      </c>
      <c r="G340" s="12">
        <f>(C340*$U$4)/($U$5*$U$3)</f>
        <v>88.16326530612244</v>
      </c>
      <c r="H340" s="11">
        <f>G340*COS(RADIANS(D340))</f>
        <v>76.351627435689281</v>
      </c>
      <c r="I340" s="11">
        <f>G340*SIN(RADIANS(D340))</f>
        <v>44.081632653061213</v>
      </c>
      <c r="J340" s="12">
        <v>0.23230000000000001</v>
      </c>
      <c r="K340" s="19">
        <v>0</v>
      </c>
      <c r="L340" s="12">
        <f>-(F340*G340*$U$3)/J340</f>
        <v>-56.928496753845742</v>
      </c>
      <c r="M340" s="11">
        <f>ABS(L340/$U$6)</f>
        <v>0.1659722937429905</v>
      </c>
      <c r="N340" s="12">
        <f>L340*SIN(RADIANS(K340))</f>
        <v>0</v>
      </c>
      <c r="O340" s="12">
        <f>L340*COS(RADIANS(K340))</f>
        <v>-56.928496753845742</v>
      </c>
      <c r="P340" s="5">
        <v>4.9318712444882049</v>
      </c>
      <c r="Q340" s="5">
        <v>1.4330142132125867</v>
      </c>
      <c r="R340" s="6">
        <f>P340/Q340</f>
        <v>3.4416066491285839</v>
      </c>
    </row>
    <row r="341" spans="1:18" x14ac:dyDescent="0.35">
      <c r="A341" s="9">
        <v>340</v>
      </c>
      <c r="B341" s="5">
        <v>0.5</v>
      </c>
      <c r="C341" s="5">
        <v>2000000</v>
      </c>
      <c r="D341" s="5">
        <v>15</v>
      </c>
      <c r="E341" s="5">
        <v>0.375</v>
      </c>
      <c r="F341" s="5">
        <v>2.5000000000000001E-2</v>
      </c>
      <c r="G341" s="12">
        <f>(C341*$U$4)/($U$5*$U$3)</f>
        <v>29.387755102040813</v>
      </c>
      <c r="H341" s="11">
        <f>G341*COS(RADIANS(D341))</f>
        <v>28.386391629719554</v>
      </c>
      <c r="I341" s="11">
        <f>G341*SIN(RADIANS(D341))</f>
        <v>7.6061107132169354</v>
      </c>
      <c r="J341" s="12">
        <v>0.24809999999999999</v>
      </c>
      <c r="K341" s="12">
        <v>67</v>
      </c>
      <c r="L341" s="12">
        <f>-(F341*G341*$U$3)/J341</f>
        <v>-2.9612812476864989</v>
      </c>
      <c r="M341" s="11">
        <f>ABS(L341/$U$6)</f>
        <v>8.6334730253250693E-3</v>
      </c>
      <c r="N341" s="12">
        <f>L341*SIN(RADIANS(K341))</f>
        <v>-2.7258737609331205</v>
      </c>
      <c r="O341" s="12">
        <f>L341*COS(RADIANS(K341))</f>
        <v>-1.1570647636826701</v>
      </c>
      <c r="P341" s="5">
        <v>3.1694107930468625</v>
      </c>
      <c r="Q341" s="5">
        <v>0.47611933336027662</v>
      </c>
      <c r="R341" s="6">
        <f>P341/Q341</f>
        <v>6.6567571845451372</v>
      </c>
    </row>
    <row r="342" spans="1:18" x14ac:dyDescent="0.35">
      <c r="A342" s="9">
        <v>341</v>
      </c>
      <c r="B342" s="5">
        <v>1</v>
      </c>
      <c r="C342" s="5">
        <v>2000000</v>
      </c>
      <c r="D342" s="5">
        <v>30</v>
      </c>
      <c r="E342" s="5">
        <v>0</v>
      </c>
      <c r="F342" s="5">
        <v>1.4999999999999999E-2</v>
      </c>
      <c r="G342" s="12">
        <f>(C342*$U$4)/($U$5*$U$3)</f>
        <v>29.387755102040813</v>
      </c>
      <c r="H342" s="11">
        <f>G342*COS(RADIANS(D342))</f>
        <v>25.450542478563094</v>
      </c>
      <c r="I342" s="11">
        <f>G342*SIN(RADIANS(D342))</f>
        <v>14.693877551020405</v>
      </c>
      <c r="J342" s="11">
        <v>0.33379999999999999</v>
      </c>
      <c r="K342" s="12">
        <v>0</v>
      </c>
      <c r="L342" s="12">
        <f>-(F342*G342*$U$3)/J342</f>
        <v>-1.3206001393966813</v>
      </c>
      <c r="M342" s="11">
        <f>ABS(L342/$U$6)</f>
        <v>3.8501461789990708E-3</v>
      </c>
      <c r="N342" s="12">
        <f>L342*SIN(RADIANS(K342))</f>
        <v>0</v>
      </c>
      <c r="O342" s="12">
        <f>L342*COS(RADIANS(K342))</f>
        <v>-1.3206001393966813</v>
      </c>
      <c r="P342" s="5">
        <v>0.25426970323749837</v>
      </c>
      <c r="Q342" s="5">
        <v>1.8546762017940852</v>
      </c>
      <c r="R342" s="6">
        <f>P342/Q342</f>
        <v>0.13709654709082669</v>
      </c>
    </row>
    <row r="343" spans="1:18" x14ac:dyDescent="0.35">
      <c r="A343" s="9">
        <v>342</v>
      </c>
      <c r="B343" s="5">
        <v>0.25</v>
      </c>
      <c r="C343" s="5">
        <v>6000000</v>
      </c>
      <c r="D343" s="5">
        <v>10</v>
      </c>
      <c r="E343" s="5">
        <v>0.375</v>
      </c>
      <c r="F343" s="5">
        <v>7.4999999999999997E-2</v>
      </c>
      <c r="G343" s="12">
        <f>(C343*$U$4)/($U$5*$U$3)</f>
        <v>88.16326530612244</v>
      </c>
      <c r="H343" s="11">
        <f>G343*COS(RADIANS(D343))</f>
        <v>86.823867204341596</v>
      </c>
      <c r="I343" s="11">
        <f>G343*SIN(RADIANS(D343))</f>
        <v>15.309390357574264</v>
      </c>
      <c r="J343" s="11">
        <v>0.1976</v>
      </c>
      <c r="K343" s="12">
        <v>78</v>
      </c>
      <c r="L343" s="12">
        <f>-(F343*G343*$U$3)/J343</f>
        <v>-33.462777823680078</v>
      </c>
      <c r="M343" s="11">
        <f>ABS(L343/$U$6)</f>
        <v>9.7559119019475449E-2</v>
      </c>
      <c r="N343" s="12">
        <f>L343*SIN(RADIANS(K343))</f>
        <v>-32.731535842121062</v>
      </c>
      <c r="O343" s="12">
        <f>L343*COS(RADIANS(K343))</f>
        <v>-6.9573027167803501</v>
      </c>
      <c r="P343" s="5">
        <v>2.524891028375992</v>
      </c>
      <c r="Q343" s="5">
        <v>0.28846032710579517</v>
      </c>
      <c r="R343" s="6">
        <f>P343/Q343</f>
        <v>8.7529923220601766</v>
      </c>
    </row>
    <row r="344" spans="1:18" x14ac:dyDescent="0.35">
      <c r="A344" s="9">
        <v>343</v>
      </c>
      <c r="B344" s="5">
        <v>1</v>
      </c>
      <c r="C344" s="5">
        <v>6000000</v>
      </c>
      <c r="D344" s="5">
        <v>20</v>
      </c>
      <c r="E344" s="5">
        <v>0.25</v>
      </c>
      <c r="F344" s="5">
        <v>1.4999999999999999E-2</v>
      </c>
      <c r="G344" s="12">
        <f>(C344*$U$4)/($U$5*$U$3)</f>
        <v>88.16326530612244</v>
      </c>
      <c r="H344" s="11">
        <f>G344*COS(RADIANS(D344))</f>
        <v>82.846369832553549</v>
      </c>
      <c r="I344" s="11">
        <f>G344*SIN(RADIANS(D344))</f>
        <v>30.153612636058952</v>
      </c>
      <c r="J344" s="13">
        <v>0.33379999999999999</v>
      </c>
      <c r="K344" s="12">
        <v>30</v>
      </c>
      <c r="L344" s="12">
        <f>-(F344*G344*$U$3)/J344</f>
        <v>-3.9618004181900441</v>
      </c>
      <c r="M344" s="11">
        <f>ABS(L344/$U$6)</f>
        <v>1.1550438536997214E-2</v>
      </c>
      <c r="N344" s="12">
        <f>L344*SIN(RADIANS(K344))</f>
        <v>-1.9809002090950218</v>
      </c>
      <c r="O344" s="12">
        <f>L344*COS(RADIANS(K344))</f>
        <v>-3.4310198068763911</v>
      </c>
      <c r="P344" s="5">
        <v>3.4393618720892549</v>
      </c>
      <c r="Q344" s="5">
        <v>1.3752067938931807</v>
      </c>
      <c r="R344" s="6">
        <f>P344/Q344</f>
        <v>2.5009779528157332</v>
      </c>
    </row>
    <row r="345" spans="1:18" x14ac:dyDescent="0.35">
      <c r="A345" s="9">
        <v>344</v>
      </c>
      <c r="B345" s="5">
        <v>0.75</v>
      </c>
      <c r="C345" s="5">
        <v>2000000</v>
      </c>
      <c r="D345" s="5">
        <v>10</v>
      </c>
      <c r="E345" s="5">
        <v>0.25</v>
      </c>
      <c r="F345" s="5">
        <v>0</v>
      </c>
      <c r="G345" s="12">
        <f>(C345*$U$4)/($U$5*$U$3)</f>
        <v>29.387755102040813</v>
      </c>
      <c r="H345" s="11">
        <f>G345*COS(RADIANS(D345))</f>
        <v>28.941289068113864</v>
      </c>
      <c r="I345" s="11">
        <f>G345*SIN(RADIANS(D345))</f>
        <v>5.1031301191914213</v>
      </c>
      <c r="J345" s="12">
        <v>0.28370000000000001</v>
      </c>
      <c r="K345" s="11">
        <v>38</v>
      </c>
      <c r="L345" s="12">
        <f>-(F345*G345*$U$3)/J345</f>
        <v>0</v>
      </c>
      <c r="M345" s="11">
        <f>ABS(L345/$U$6)</f>
        <v>0</v>
      </c>
      <c r="N345" s="12">
        <f>L345*SIN(RADIANS(K345))</f>
        <v>0</v>
      </c>
      <c r="O345" s="12">
        <f>L345*COS(RADIANS(K345))</f>
        <v>0</v>
      </c>
      <c r="P345" s="5">
        <v>5.9389348963649207</v>
      </c>
      <c r="Q345" s="5">
        <v>1.2831588366243292</v>
      </c>
      <c r="R345" s="6">
        <f>P345/Q345</f>
        <v>4.6283708040298244</v>
      </c>
    </row>
    <row r="346" spans="1:18" x14ac:dyDescent="0.35">
      <c r="A346" s="9">
        <v>345</v>
      </c>
      <c r="B346" s="5">
        <v>1</v>
      </c>
      <c r="C346" s="5">
        <v>2000000</v>
      </c>
      <c r="D346" s="5">
        <v>20</v>
      </c>
      <c r="E346" s="5">
        <v>0.25</v>
      </c>
      <c r="F346" s="5">
        <v>0.05</v>
      </c>
      <c r="G346" s="12">
        <f>(C346*$U$4)/($U$5*$U$3)</f>
        <v>29.387755102040813</v>
      </c>
      <c r="H346" s="11">
        <f>G346*COS(RADIANS(D346))</f>
        <v>27.615456610851183</v>
      </c>
      <c r="I346" s="11">
        <f>G346*SIN(RADIANS(D346))</f>
        <v>10.051204212019652</v>
      </c>
      <c r="J346" s="13">
        <v>0.33379999999999999</v>
      </c>
      <c r="K346" s="12">
        <v>30</v>
      </c>
      <c r="L346" s="12">
        <f>-(F346*G346*$U$3)/J346</f>
        <v>-4.4020004646556048</v>
      </c>
      <c r="M346" s="11">
        <f>ABS(L346/$U$6)</f>
        <v>1.283382059666357E-2</v>
      </c>
      <c r="N346" s="12">
        <f>L346*SIN(RADIANS(K346))</f>
        <v>-2.201000232327802</v>
      </c>
      <c r="O346" s="12">
        <f>L346*COS(RADIANS(K346))</f>
        <v>-3.8122442298626571</v>
      </c>
      <c r="P346" s="5">
        <v>3.6406390570590506</v>
      </c>
      <c r="Q346" s="5">
        <v>1.2252210824050351</v>
      </c>
      <c r="R346" s="6">
        <f>P346/Q346</f>
        <v>2.9714139834361122</v>
      </c>
    </row>
    <row r="347" spans="1:18" x14ac:dyDescent="0.35">
      <c r="A347" s="9">
        <v>346</v>
      </c>
      <c r="B347" s="5">
        <v>0.25</v>
      </c>
      <c r="C347" s="5">
        <v>2000000</v>
      </c>
      <c r="D347" s="5">
        <v>5</v>
      </c>
      <c r="E347" s="5">
        <v>0.25</v>
      </c>
      <c r="F347" s="5">
        <v>3.5000000000000003E-2</v>
      </c>
      <c r="G347" s="12">
        <f>(C347*$U$4)/($U$5*$U$3)</f>
        <v>29.387755102040813</v>
      </c>
      <c r="H347" s="11">
        <f>G347*COS(RADIANS(D347))</f>
        <v>29.275925821471702</v>
      </c>
      <c r="I347" s="11">
        <f>G347*SIN(RADIANS(D347))</f>
        <v>2.5613116236046478</v>
      </c>
      <c r="J347" s="12">
        <v>0.1913</v>
      </c>
      <c r="K347" s="11">
        <v>67</v>
      </c>
      <c r="L347" s="12">
        <f>-(F347*G347*$U$3)/J347</f>
        <v>-5.3767455753864528</v>
      </c>
      <c r="M347" s="11">
        <f>ABS(L347/$U$6)</f>
        <v>1.5675643076928435E-2</v>
      </c>
      <c r="N347" s="12">
        <f>L347*SIN(RADIANS(K347))</f>
        <v>-4.9493203979221638</v>
      </c>
      <c r="O347" s="12">
        <f>L347*COS(RADIANS(K347))</f>
        <v>-2.1008618662704581</v>
      </c>
      <c r="P347" s="5">
        <v>2.0522712080163918</v>
      </c>
      <c r="Q347" s="5">
        <v>0.25521167170579012</v>
      </c>
      <c r="R347" s="6">
        <f>P347/Q347</f>
        <v>8.0414472986261583</v>
      </c>
    </row>
    <row r="348" spans="1:18" x14ac:dyDescent="0.35">
      <c r="A348" s="9">
        <v>347</v>
      </c>
      <c r="B348" s="5">
        <v>1</v>
      </c>
      <c r="C348" s="5">
        <v>2000000</v>
      </c>
      <c r="D348" s="5">
        <v>10</v>
      </c>
      <c r="E348" s="5">
        <v>0</v>
      </c>
      <c r="F348" s="5">
        <v>3.5000000000000003E-2</v>
      </c>
      <c r="G348" s="12">
        <f>(C348*$U$4)/($U$5*$U$3)</f>
        <v>29.387755102040813</v>
      </c>
      <c r="H348" s="11">
        <f>G348*COS(RADIANS(D348))</f>
        <v>28.941289068113864</v>
      </c>
      <c r="I348" s="11">
        <f>G348*SIN(RADIANS(D348))</f>
        <v>5.1031301191914213</v>
      </c>
      <c r="J348" s="11">
        <v>0.33379999999999999</v>
      </c>
      <c r="K348" s="12">
        <v>0</v>
      </c>
      <c r="L348" s="12">
        <f>-(F348*G348*$U$3)/J348</f>
        <v>-3.0814003252589233</v>
      </c>
      <c r="M348" s="11">
        <f>ABS(L348/$U$6)</f>
        <v>8.983674417664499E-3</v>
      </c>
      <c r="N348" s="12">
        <f>L348*SIN(RADIANS(K348))</f>
        <v>0</v>
      </c>
      <c r="O348" s="12">
        <f>L348*COS(RADIANS(K348))</f>
        <v>-3.0814003252589233</v>
      </c>
      <c r="P348" s="5">
        <v>0.80835337289246201</v>
      </c>
      <c r="Q348" s="5">
        <v>2.2477397471533802</v>
      </c>
      <c r="R348" s="6">
        <f>P348/Q348</f>
        <v>0.3596294339307699</v>
      </c>
    </row>
    <row r="349" spans="1:18" x14ac:dyDescent="0.35">
      <c r="A349" s="9">
        <v>348</v>
      </c>
      <c r="B349" s="5">
        <v>0.5</v>
      </c>
      <c r="C349" s="5">
        <v>2000000</v>
      </c>
      <c r="D349" s="5">
        <v>5</v>
      </c>
      <c r="E349" s="5">
        <v>0</v>
      </c>
      <c r="F349" s="5">
        <v>0.15</v>
      </c>
      <c r="G349" s="12">
        <f>(C349*$U$4)/($U$5*$U$3)</f>
        <v>29.387755102040813</v>
      </c>
      <c r="H349" s="11">
        <f>G349*COS(RADIANS(D349))</f>
        <v>29.275925821471702</v>
      </c>
      <c r="I349" s="11">
        <f>G349*SIN(RADIANS(D349))</f>
        <v>2.5613116236046478</v>
      </c>
      <c r="J349" s="12">
        <v>0.23230000000000001</v>
      </c>
      <c r="K349" s="12">
        <v>0</v>
      </c>
      <c r="L349" s="12">
        <f>-(F349*G349*$U$3)/J349</f>
        <v>-18.976165584615249</v>
      </c>
      <c r="M349" s="11">
        <f>ABS(L349/$U$6)</f>
        <v>5.532409791433017E-2</v>
      </c>
      <c r="N349" s="12">
        <f>L349*SIN(RADIANS(K349))</f>
        <v>0</v>
      </c>
      <c r="O349" s="12">
        <f>L349*COS(RADIANS(K349))</f>
        <v>-18.976165584615249</v>
      </c>
      <c r="P349" s="5">
        <v>4.7336825275056267</v>
      </c>
      <c r="Q349" s="5">
        <v>0.1520263310485748</v>
      </c>
      <c r="R349" s="6">
        <f>P349/Q349</f>
        <v>31.137254282569913</v>
      </c>
    </row>
    <row r="350" spans="1:18" x14ac:dyDescent="0.35">
      <c r="A350" s="9">
        <v>349</v>
      </c>
      <c r="B350" s="5">
        <v>1</v>
      </c>
      <c r="C350" s="5">
        <v>2000000</v>
      </c>
      <c r="D350" s="5">
        <v>30</v>
      </c>
      <c r="E350" s="5">
        <v>0.375</v>
      </c>
      <c r="F350" s="5">
        <v>0.1</v>
      </c>
      <c r="G350" s="12">
        <f>(C350*$U$4)/($U$5*$U$3)</f>
        <v>29.387755102040813</v>
      </c>
      <c r="H350" s="11">
        <f>G350*COS(RADIANS(D350))</f>
        <v>25.450542478563094</v>
      </c>
      <c r="I350" s="11">
        <f>G350*SIN(RADIANS(D350))</f>
        <v>14.693877551020405</v>
      </c>
      <c r="J350" s="12">
        <v>0.33379999999999999</v>
      </c>
      <c r="K350" s="11">
        <v>49</v>
      </c>
      <c r="L350" s="12">
        <f>-(F350*G350*$U$3)/J350</f>
        <v>-8.8040009293112096</v>
      </c>
      <c r="M350" s="11">
        <f>ABS(L350/$U$6)</f>
        <v>2.566764119332714E-2</v>
      </c>
      <c r="N350" s="12">
        <f>L350*SIN(RADIANS(K350))</f>
        <v>-6.6444638456413578</v>
      </c>
      <c r="O350" s="12">
        <f>L350*COS(RADIANS(K350))</f>
        <v>-5.7759443009154356</v>
      </c>
      <c r="P350" s="5">
        <v>7.509493230309829</v>
      </c>
      <c r="Q350" s="5">
        <v>1.6509205901481676</v>
      </c>
      <c r="R350" s="6">
        <f>P350/Q350</f>
        <v>4.5486701632547106</v>
      </c>
    </row>
    <row r="351" spans="1:18" x14ac:dyDescent="0.35">
      <c r="A351" s="9">
        <v>350</v>
      </c>
      <c r="B351" s="5">
        <v>1</v>
      </c>
      <c r="C351" s="5">
        <v>4000000</v>
      </c>
      <c r="D351" s="5">
        <v>10</v>
      </c>
      <c r="E351" s="5">
        <v>0.25</v>
      </c>
      <c r="F351" s="5">
        <v>7.4999999999999997E-2</v>
      </c>
      <c r="G351" s="12">
        <f>(C351*$U$4)/($U$5*$U$3)</f>
        <v>58.775510204081627</v>
      </c>
      <c r="H351" s="11">
        <f>G351*COS(RADIANS(D351))</f>
        <v>57.882578136227728</v>
      </c>
      <c r="I351" s="11">
        <f>G351*SIN(RADIANS(D351))</f>
        <v>10.206260238382843</v>
      </c>
      <c r="J351" s="13">
        <v>0.33379999999999999</v>
      </c>
      <c r="K351" s="12">
        <v>30</v>
      </c>
      <c r="L351" s="12">
        <f>-(F351*G351*$U$3)/J351</f>
        <v>-13.206001393966813</v>
      </c>
      <c r="M351" s="11">
        <f>ABS(L351/$U$6)</f>
        <v>3.8501461789990712E-2</v>
      </c>
      <c r="N351" s="12">
        <f>L351*SIN(RADIANS(K351))</f>
        <v>-6.6030006969834059</v>
      </c>
      <c r="O351" s="12">
        <f>L351*COS(RADIANS(K351))</f>
        <v>-11.43673268958797</v>
      </c>
      <c r="P351" s="5">
        <v>4.7074809398396509</v>
      </c>
      <c r="Q351" s="5">
        <v>8.0082467736254381E-2</v>
      </c>
      <c r="R351" s="6">
        <f>P351/Q351</f>
        <v>58.782915573273634</v>
      </c>
    </row>
    <row r="352" spans="1:18" x14ac:dyDescent="0.35">
      <c r="A352" s="9">
        <v>351</v>
      </c>
      <c r="B352" s="5">
        <v>0.25</v>
      </c>
      <c r="C352" s="5">
        <v>2000000</v>
      </c>
      <c r="D352" s="5">
        <v>20</v>
      </c>
      <c r="E352" s="5">
        <v>0.25</v>
      </c>
      <c r="F352" s="5">
        <v>0.05</v>
      </c>
      <c r="G352" s="12">
        <f>(C352*$U$4)/($U$5*$U$3)</f>
        <v>29.387755102040813</v>
      </c>
      <c r="H352" s="11">
        <f>G352*COS(RADIANS(D352))</f>
        <v>27.615456610851183</v>
      </c>
      <c r="I352" s="11">
        <f>G352*SIN(RADIANS(D352))</f>
        <v>10.051204212019652</v>
      </c>
      <c r="J352" s="12">
        <v>0.1913</v>
      </c>
      <c r="K352" s="11">
        <v>67</v>
      </c>
      <c r="L352" s="12">
        <f>-(F352*G352*$U$3)/J352</f>
        <v>-7.6810651076949332</v>
      </c>
      <c r="M352" s="11">
        <f>ABS(L352/$U$6)</f>
        <v>2.239377582418348E-2</v>
      </c>
      <c r="N352" s="12">
        <f>L352*SIN(RADIANS(K352))</f>
        <v>-7.0704577113173777</v>
      </c>
      <c r="O352" s="12">
        <f>L352*COS(RADIANS(K352))</f>
        <v>-3.0012312375292258</v>
      </c>
      <c r="P352" s="5">
        <v>2.1941581474966823</v>
      </c>
      <c r="Q352" s="5">
        <v>0.64119666635276074</v>
      </c>
      <c r="R352" s="6">
        <f>P352/Q352</f>
        <v>3.4219737291795966</v>
      </c>
    </row>
    <row r="353" spans="1:18" x14ac:dyDescent="0.35">
      <c r="A353" s="9">
        <v>352</v>
      </c>
      <c r="B353" s="5">
        <v>1</v>
      </c>
      <c r="C353" s="5">
        <v>2000000</v>
      </c>
      <c r="D353" s="5">
        <v>20</v>
      </c>
      <c r="E353" s="5">
        <v>0.125</v>
      </c>
      <c r="F353" s="5">
        <v>0.15</v>
      </c>
      <c r="G353" s="12">
        <f>(C353*$U$4)/($U$5*$U$3)</f>
        <v>29.387755102040813</v>
      </c>
      <c r="H353" s="11">
        <f>G353*COS(RADIANS(D353))</f>
        <v>27.615456610851183</v>
      </c>
      <c r="I353" s="11">
        <f>G353*SIN(RADIANS(D353))</f>
        <v>10.051204212019652</v>
      </c>
      <c r="J353" s="11">
        <v>0.33379999999999999</v>
      </c>
      <c r="K353" s="12">
        <v>14</v>
      </c>
      <c r="L353" s="12">
        <f>-(F353*G353*$U$3)/J353</f>
        <v>-13.206001393966813</v>
      </c>
      <c r="M353" s="11">
        <f>ABS(L353/$U$6)</f>
        <v>3.8501461789990712E-2</v>
      </c>
      <c r="N353" s="12">
        <f>L353*SIN(RADIANS(K353))</f>
        <v>-3.1948208905203059</v>
      </c>
      <c r="O353" s="12">
        <f>L353*COS(RADIANS(K353))</f>
        <v>-12.81372671376085</v>
      </c>
      <c r="P353" s="5">
        <v>4.1471135639483139</v>
      </c>
      <c r="Q353" s="5">
        <v>0.72824275991352638</v>
      </c>
      <c r="R353" s="6">
        <f>P353/Q353</f>
        <v>5.6946856079156269</v>
      </c>
    </row>
    <row r="354" spans="1:18" x14ac:dyDescent="0.35">
      <c r="A354" s="9">
        <v>1644</v>
      </c>
      <c r="B354" s="5">
        <v>0.5</v>
      </c>
      <c r="C354" s="5">
        <v>6000000</v>
      </c>
      <c r="D354" s="5">
        <v>10</v>
      </c>
      <c r="E354" s="5">
        <v>0</v>
      </c>
      <c r="F354" s="5">
        <v>0.15</v>
      </c>
      <c r="G354" s="12">
        <f>(C354*$U$4)/($U$5*$U$3)</f>
        <v>88.16326530612244</v>
      </c>
      <c r="H354" s="11">
        <f>G354*COS(RADIANS(D354))</f>
        <v>86.823867204341596</v>
      </c>
      <c r="I354" s="11">
        <f>G354*SIN(RADIANS(D354))</f>
        <v>15.309390357574264</v>
      </c>
      <c r="J354" s="12">
        <v>0.23230000000000001</v>
      </c>
      <c r="K354" s="12">
        <v>0</v>
      </c>
      <c r="L354" s="12">
        <f>-(F354*G354*$U$3)/J354</f>
        <v>-56.928496753845742</v>
      </c>
      <c r="M354" s="11">
        <f>ABS(L354/$U$6)</f>
        <v>0.1659722937429905</v>
      </c>
      <c r="N354" s="12">
        <f>L354*SIN(RADIANS(K354))</f>
        <v>0</v>
      </c>
      <c r="O354" s="12">
        <f>L354*COS(RADIANS(K354))</f>
        <v>-56.928496753845742</v>
      </c>
      <c r="P354" s="5">
        <v>4.6144353336100004</v>
      </c>
      <c r="Q354" s="5">
        <v>0.41973008304746029</v>
      </c>
      <c r="R354" s="6">
        <f>P354/Q354</f>
        <v>10.99381607366997</v>
      </c>
    </row>
    <row r="355" spans="1:18" x14ac:dyDescent="0.35">
      <c r="A355" s="9">
        <v>354</v>
      </c>
      <c r="B355" s="5">
        <v>1</v>
      </c>
      <c r="C355" s="5">
        <v>2000000</v>
      </c>
      <c r="D355" s="5">
        <v>15</v>
      </c>
      <c r="E355" s="5">
        <v>0.375</v>
      </c>
      <c r="F355" s="5">
        <v>0.15</v>
      </c>
      <c r="G355" s="12">
        <f>(C355*$U$4)/($U$5*$U$3)</f>
        <v>29.387755102040813</v>
      </c>
      <c r="H355" s="11">
        <f>G355*COS(RADIANS(D355))</f>
        <v>28.386391629719554</v>
      </c>
      <c r="I355" s="11">
        <f>G355*SIN(RADIANS(D355))</f>
        <v>7.6061107132169354</v>
      </c>
      <c r="J355" s="12">
        <v>0.33379999999999999</v>
      </c>
      <c r="K355" s="11">
        <v>49</v>
      </c>
      <c r="L355" s="12">
        <f>-(F355*G355*$U$3)/J355</f>
        <v>-13.206001393966813</v>
      </c>
      <c r="M355" s="11">
        <f>ABS(L355/$U$6)</f>
        <v>3.8501461789990712E-2</v>
      </c>
      <c r="N355" s="12">
        <f>L355*SIN(RADIANS(K355))</f>
        <v>-9.9666957684620368</v>
      </c>
      <c r="O355" s="12">
        <f>L355*COS(RADIANS(K355))</f>
        <v>-8.6639164513731526</v>
      </c>
      <c r="P355" s="5">
        <v>8.2598253108515571</v>
      </c>
      <c r="Q355" s="5">
        <v>0.15907698363661732</v>
      </c>
      <c r="R355" s="6">
        <f>P355/Q355</f>
        <v>51.923446887323678</v>
      </c>
    </row>
    <row r="356" spans="1:18" x14ac:dyDescent="0.35">
      <c r="A356" s="9">
        <v>355</v>
      </c>
      <c r="B356" s="5">
        <v>1</v>
      </c>
      <c r="C356" s="5">
        <v>2000000</v>
      </c>
      <c r="D356" s="5">
        <v>15</v>
      </c>
      <c r="E356" s="5">
        <v>0</v>
      </c>
      <c r="F356" s="5">
        <v>0</v>
      </c>
      <c r="G356" s="12">
        <f>(C356*$U$4)/($U$5*$U$3)</f>
        <v>29.387755102040813</v>
      </c>
      <c r="H356" s="11">
        <f>G356*COS(RADIANS(D356))</f>
        <v>28.386391629719554</v>
      </c>
      <c r="I356" s="11">
        <f>G356*SIN(RADIANS(D356))</f>
        <v>7.6061107132169354</v>
      </c>
      <c r="J356" s="11">
        <v>0.33379999999999999</v>
      </c>
      <c r="K356" s="12">
        <v>0</v>
      </c>
      <c r="L356" s="12">
        <f>-(F356*G356*$U$3)/J356</f>
        <v>0</v>
      </c>
      <c r="M356" s="11">
        <f>ABS(L356/$U$6)</f>
        <v>0</v>
      </c>
      <c r="N356" s="12">
        <f>L356*SIN(RADIANS(K356))</f>
        <v>0</v>
      </c>
      <c r="O356" s="12">
        <f>L356*COS(RADIANS(K356))</f>
        <v>0</v>
      </c>
      <c r="P356" s="5">
        <v>5.6461166949399573</v>
      </c>
      <c r="Q356" s="5">
        <v>2.2583165997943353</v>
      </c>
      <c r="R356" s="6">
        <f>P356/Q356</f>
        <v>2.5001439990540515</v>
      </c>
    </row>
    <row r="357" spans="1:18" x14ac:dyDescent="0.35">
      <c r="A357" s="9">
        <v>356</v>
      </c>
      <c r="B357" s="5">
        <v>0.5</v>
      </c>
      <c r="C357" s="5">
        <v>4000000</v>
      </c>
      <c r="D357" s="5">
        <v>30</v>
      </c>
      <c r="E357" s="5">
        <v>0.125</v>
      </c>
      <c r="F357" s="5">
        <v>7.4999999999999997E-2</v>
      </c>
      <c r="G357" s="12">
        <f>(C357*$U$4)/($U$5*$U$3)</f>
        <v>58.775510204081627</v>
      </c>
      <c r="H357" s="11">
        <f>G357*COS(RADIANS(D357))</f>
        <v>50.901084957126187</v>
      </c>
      <c r="I357" s="11">
        <f>G357*SIN(RADIANS(D357))</f>
        <v>29.38775510204081</v>
      </c>
      <c r="J357" s="12">
        <v>0.23300000000000001</v>
      </c>
      <c r="K357" s="11">
        <v>27</v>
      </c>
      <c r="L357" s="12">
        <f>-(F357*G357*$U$3)/J357</f>
        <v>-18.919155645090651</v>
      </c>
      <c r="M357" s="11">
        <f>ABS(L357/$U$6)</f>
        <v>5.5157888178106858E-2</v>
      </c>
      <c r="N357" s="12">
        <f>L357*SIN(RADIANS(K357))</f>
        <v>-8.5891169259649711</v>
      </c>
      <c r="O357" s="12">
        <f>L357*COS(RADIANS(K357))</f>
        <v>-16.857091111910961</v>
      </c>
      <c r="P357" s="5">
        <v>4.0129344040205783</v>
      </c>
      <c r="Q357" s="5">
        <v>1.2811937183216069</v>
      </c>
      <c r="R357" s="6">
        <f>P357/Q357</f>
        <v>3.132183952070585</v>
      </c>
    </row>
    <row r="358" spans="1:18" x14ac:dyDescent="0.35">
      <c r="A358" s="9">
        <v>357</v>
      </c>
      <c r="B358" s="5">
        <v>1</v>
      </c>
      <c r="C358" s="5">
        <v>2000000</v>
      </c>
      <c r="D358" s="5">
        <v>5</v>
      </c>
      <c r="E358" s="5">
        <v>0.25</v>
      </c>
      <c r="F358" s="5">
        <v>1.4999999999999999E-2</v>
      </c>
      <c r="G358" s="12">
        <f>(C358*$U$4)/($U$5*$U$3)</f>
        <v>29.387755102040813</v>
      </c>
      <c r="H358" s="11">
        <f>G358*COS(RADIANS(D358))</f>
        <v>29.275925821471702</v>
      </c>
      <c r="I358" s="11">
        <f>G358*SIN(RADIANS(D358))</f>
        <v>2.5613116236046478</v>
      </c>
      <c r="J358" s="13">
        <v>0.33379999999999999</v>
      </c>
      <c r="K358" s="12">
        <v>30</v>
      </c>
      <c r="L358" s="12">
        <f>-(F358*G358*$U$3)/J358</f>
        <v>-1.3206001393966813</v>
      </c>
      <c r="M358" s="11">
        <f>ABS(L358/$U$6)</f>
        <v>3.8501461789990708E-3</v>
      </c>
      <c r="N358" s="12">
        <f>L358*SIN(RADIANS(K358))</f>
        <v>-0.66030006969834054</v>
      </c>
      <c r="O358" s="12">
        <f>L358*COS(RADIANS(K358))</f>
        <v>-1.143673268958797</v>
      </c>
      <c r="P358" s="5">
        <v>3.5484425675664579</v>
      </c>
      <c r="Q358" s="5">
        <v>0.64804500482744576</v>
      </c>
      <c r="R358" s="6">
        <f>P358/Q358</f>
        <v>5.475611325036442</v>
      </c>
    </row>
    <row r="359" spans="1:18" x14ac:dyDescent="0.35">
      <c r="A359" s="9">
        <v>358</v>
      </c>
      <c r="B359" s="5">
        <v>0.5</v>
      </c>
      <c r="C359" s="5">
        <v>6000000</v>
      </c>
      <c r="D359" s="5">
        <v>20</v>
      </c>
      <c r="E359" s="5">
        <v>0.375</v>
      </c>
      <c r="F359" s="5">
        <v>2.5000000000000001E-2</v>
      </c>
      <c r="G359" s="12">
        <f>(C359*$U$4)/($U$5*$U$3)</f>
        <v>88.16326530612244</v>
      </c>
      <c r="H359" s="11">
        <f>G359*COS(RADIANS(D359))</f>
        <v>82.846369832553549</v>
      </c>
      <c r="I359" s="11">
        <f>G359*SIN(RADIANS(D359))</f>
        <v>30.153612636058952</v>
      </c>
      <c r="J359" s="12">
        <v>0.24809999999999999</v>
      </c>
      <c r="K359" s="12">
        <v>67</v>
      </c>
      <c r="L359" s="12">
        <f>-(F359*G359*$U$3)/J359</f>
        <v>-8.8838437430594972</v>
      </c>
      <c r="M359" s="11">
        <f>ABS(L359/$U$6)</f>
        <v>2.590041907597521E-2</v>
      </c>
      <c r="N359" s="12">
        <f>L359*SIN(RADIANS(K359))</f>
        <v>-8.1776212827993611</v>
      </c>
      <c r="O359" s="12">
        <f>L359*COS(RADIANS(K359))</f>
        <v>-3.4711942910480107</v>
      </c>
      <c r="P359" s="5">
        <v>3.2249823177624051</v>
      </c>
      <c r="Q359" s="5">
        <v>0.67894232914061381</v>
      </c>
      <c r="R359" s="6">
        <f>P359/Q359</f>
        <v>4.7500092118935893</v>
      </c>
    </row>
    <row r="360" spans="1:18" x14ac:dyDescent="0.35">
      <c r="A360" s="9">
        <v>359</v>
      </c>
      <c r="B360" s="5">
        <v>0.1</v>
      </c>
      <c r="C360" s="5">
        <v>6000000</v>
      </c>
      <c r="D360" s="5">
        <v>30</v>
      </c>
      <c r="E360" s="5">
        <v>0.375</v>
      </c>
      <c r="F360" s="5">
        <v>0.05</v>
      </c>
      <c r="G360" s="12">
        <f>(C360*$U$4)/($U$5*$U$3)</f>
        <v>88.16326530612244</v>
      </c>
      <c r="H360" s="11">
        <f>G360*COS(RADIANS(D360))</f>
        <v>76.351627435689281</v>
      </c>
      <c r="I360" s="11">
        <f>G360*SIN(RADIANS(D360))</f>
        <v>44.081632653061213</v>
      </c>
      <c r="J360" s="12">
        <v>0.16789999999999999</v>
      </c>
      <c r="K360" s="11">
        <v>85</v>
      </c>
      <c r="L360" s="12">
        <f>-(F360*G360*$U$3)/J360</f>
        <v>-26.254694849947125</v>
      </c>
      <c r="M360" s="11">
        <f>ABS(L360/$U$6)</f>
        <v>7.6544299854073253E-2</v>
      </c>
      <c r="N360" s="12">
        <f>L360*SIN(RADIANS(K360))</f>
        <v>-26.154787809533982</v>
      </c>
      <c r="O360" s="12">
        <f>L360*COS(RADIANS(K360))</f>
        <v>-2.2882474302602565</v>
      </c>
      <c r="P360" s="5">
        <v>1.5202448469183725</v>
      </c>
      <c r="Q360" s="5">
        <v>1.1221841519006712</v>
      </c>
      <c r="R360" s="6">
        <f>P360/Q360</f>
        <v>1.3547195835402737</v>
      </c>
    </row>
    <row r="361" spans="1:18" x14ac:dyDescent="0.35">
      <c r="A361" s="9">
        <v>360</v>
      </c>
      <c r="B361" s="5">
        <v>0.5</v>
      </c>
      <c r="C361" s="5">
        <v>6000000</v>
      </c>
      <c r="D361" s="5">
        <v>10</v>
      </c>
      <c r="E361" s="5">
        <v>0.25</v>
      </c>
      <c r="F361" s="5">
        <v>0</v>
      </c>
      <c r="G361" s="12">
        <f>(C361*$U$4)/($U$5*$U$3)</f>
        <v>88.16326530612244</v>
      </c>
      <c r="H361" s="11">
        <f>G361*COS(RADIANS(D361))</f>
        <v>86.823867204341596</v>
      </c>
      <c r="I361" s="11">
        <f>G361*SIN(RADIANS(D361))</f>
        <v>15.309390357574264</v>
      </c>
      <c r="J361" s="11">
        <v>0.23580000000000001</v>
      </c>
      <c r="K361" s="11">
        <v>49</v>
      </c>
      <c r="L361" s="12">
        <f>-(F361*G361*$U$3)/J361</f>
        <v>0</v>
      </c>
      <c r="M361" s="11">
        <f>ABS(L361/$U$6)</f>
        <v>0</v>
      </c>
      <c r="N361" s="12">
        <f>L361*SIN(RADIANS(K361))</f>
        <v>0</v>
      </c>
      <c r="O361" s="12">
        <f>L361*COS(RADIANS(K361))</f>
        <v>0</v>
      </c>
      <c r="P361" s="5">
        <v>4.136261263042214</v>
      </c>
      <c r="Q361" s="5">
        <v>0.88573131693843932</v>
      </c>
      <c r="R361" s="6">
        <f>P361/Q361</f>
        <v>4.6698825975120117</v>
      </c>
    </row>
    <row r="362" spans="1:18" x14ac:dyDescent="0.35">
      <c r="A362" s="9">
        <v>361</v>
      </c>
      <c r="B362" s="5">
        <v>0.5</v>
      </c>
      <c r="C362" s="5">
        <v>4000000</v>
      </c>
      <c r="D362" s="5">
        <v>0</v>
      </c>
      <c r="E362" s="5">
        <v>0</v>
      </c>
      <c r="F362" s="5">
        <v>3.5000000000000003E-2</v>
      </c>
      <c r="G362" s="12">
        <f>(C362*$U$4)/($U$5*$U$3)</f>
        <v>58.775510204081627</v>
      </c>
      <c r="H362" s="11">
        <f>G362*COS(RADIANS(D362))</f>
        <v>58.775510204081627</v>
      </c>
      <c r="I362" s="11">
        <f>G362*SIN(RADIANS(D362))</f>
        <v>0</v>
      </c>
      <c r="J362" s="12">
        <v>0.23230000000000001</v>
      </c>
      <c r="K362" s="12">
        <v>0</v>
      </c>
      <c r="L362" s="12">
        <f>-(F362*G362*$U$3)/J362</f>
        <v>-8.8555439394871147</v>
      </c>
      <c r="M362" s="11">
        <f>ABS(L362/$U$6)</f>
        <v>2.5817912360020744E-2</v>
      </c>
      <c r="N362" s="12">
        <f>L362*SIN(RADIANS(K362))</f>
        <v>0</v>
      </c>
      <c r="O362" s="12">
        <f>L362*COS(RADIANS(K362))</f>
        <v>-8.8555439394871147</v>
      </c>
      <c r="P362" s="5">
        <v>3.7909069259249564</v>
      </c>
      <c r="Q362" s="5">
        <v>0.24148802039366951</v>
      </c>
      <c r="R362" s="6">
        <f>P362/Q362</f>
        <v>15.69811587235295</v>
      </c>
    </row>
    <row r="363" spans="1:18" x14ac:dyDescent="0.35">
      <c r="A363" s="9">
        <v>362</v>
      </c>
      <c r="B363" s="5">
        <v>1</v>
      </c>
      <c r="C363" s="5">
        <v>6000000</v>
      </c>
      <c r="D363" s="5">
        <v>30</v>
      </c>
      <c r="E363" s="5">
        <v>0.375</v>
      </c>
      <c r="F363" s="5">
        <v>1.4999999999999999E-2</v>
      </c>
      <c r="G363" s="12">
        <f>(C363*$U$4)/($U$5*$U$3)</f>
        <v>88.16326530612244</v>
      </c>
      <c r="H363" s="11">
        <f>G363*COS(RADIANS(D363))</f>
        <v>76.351627435689281</v>
      </c>
      <c r="I363" s="11">
        <f>G363*SIN(RADIANS(D363))</f>
        <v>44.081632653061213</v>
      </c>
      <c r="J363" s="12">
        <v>0.33379999999999999</v>
      </c>
      <c r="K363" s="11">
        <v>49</v>
      </c>
      <c r="L363" s="12">
        <f>-(F363*G363*$U$3)/J363</f>
        <v>-3.9618004181900441</v>
      </c>
      <c r="M363" s="11">
        <f>ABS(L363/$U$6)</f>
        <v>1.1550438536997214E-2</v>
      </c>
      <c r="N363" s="12">
        <f>L363*SIN(RADIANS(K363))</f>
        <v>-2.9900087305386109</v>
      </c>
      <c r="O363" s="12">
        <f>L363*COS(RADIANS(K363))</f>
        <v>-2.5991749354119462</v>
      </c>
      <c r="P363" s="5">
        <v>5.2707766569019965</v>
      </c>
      <c r="Q363" s="5">
        <v>1.5175327754886203</v>
      </c>
      <c r="R363" s="6">
        <f>P363/Q363</f>
        <v>3.4732539171715051</v>
      </c>
    </row>
    <row r="364" spans="1:18" x14ac:dyDescent="0.35">
      <c r="A364" s="9">
        <v>363</v>
      </c>
      <c r="B364" s="5">
        <v>0.25</v>
      </c>
      <c r="C364" s="5">
        <v>2000000</v>
      </c>
      <c r="D364" s="5">
        <v>0</v>
      </c>
      <c r="E364" s="5">
        <v>0.125</v>
      </c>
      <c r="F364" s="5">
        <v>0.15</v>
      </c>
      <c r="G364" s="12">
        <f>(C364*$U$4)/($U$5*$U$3)</f>
        <v>29.387755102040813</v>
      </c>
      <c r="H364" s="11">
        <f>G364*COS(RADIANS(D364))</f>
        <v>29.387755102040813</v>
      </c>
      <c r="I364" s="11">
        <f>G364*SIN(RADIANS(D364))</f>
        <v>0</v>
      </c>
      <c r="J364" s="11">
        <v>0.19020000000000001</v>
      </c>
      <c r="K364" s="12">
        <v>46</v>
      </c>
      <c r="L364" s="12">
        <f>-(F364*G364*$U$3)/J364</f>
        <v>-23.176463014227771</v>
      </c>
      <c r="M364" s="11">
        <f>ABS(L364/$U$6)</f>
        <v>6.7569863015241316E-2</v>
      </c>
      <c r="N364" s="12">
        <f>L364*SIN(RADIANS(K364))</f>
        <v>-16.671752277210736</v>
      </c>
      <c r="O364" s="12">
        <f>L364*COS(RADIANS(K364))</f>
        <v>-16.099724030466682</v>
      </c>
      <c r="P364" s="5">
        <v>2.5087214820593227</v>
      </c>
      <c r="Q364" s="5">
        <v>4.856331355325829E-2</v>
      </c>
      <c r="R364" s="6">
        <f>P364/Q364</f>
        <v>51.658778993901734</v>
      </c>
    </row>
    <row r="365" spans="1:18" x14ac:dyDescent="0.35">
      <c r="A365" s="9">
        <v>364</v>
      </c>
      <c r="B365" s="5">
        <v>0.1</v>
      </c>
      <c r="C365" s="5">
        <v>2000000</v>
      </c>
      <c r="D365" s="5">
        <v>5</v>
      </c>
      <c r="E365" s="5">
        <v>0.375</v>
      </c>
      <c r="F365" s="5">
        <v>1.4999999999999999E-2</v>
      </c>
      <c r="G365" s="12">
        <f>(C365*$U$4)/($U$5*$U$3)</f>
        <v>29.387755102040813</v>
      </c>
      <c r="H365" s="11">
        <f>G365*COS(RADIANS(D365))</f>
        <v>29.275925821471702</v>
      </c>
      <c r="I365" s="11">
        <f>G365*SIN(RADIANS(D365))</f>
        <v>2.5613116236046478</v>
      </c>
      <c r="J365" s="12">
        <v>0.16789999999999999</v>
      </c>
      <c r="K365" s="11">
        <v>85</v>
      </c>
      <c r="L365" s="12">
        <f>-(F365*G365*$U$3)/J365</f>
        <v>-2.6254694849947122</v>
      </c>
      <c r="M365" s="11">
        <f>ABS(L365/$U$6)</f>
        <v>7.6544299854073242E-3</v>
      </c>
      <c r="N365" s="12">
        <f>L365*SIN(RADIANS(K365))</f>
        <v>-2.6154787809533979</v>
      </c>
      <c r="O365" s="12">
        <f>L365*COS(RADIANS(K365))</f>
        <v>-0.22882474302602562</v>
      </c>
      <c r="P365" s="5">
        <v>1.5975708642685074</v>
      </c>
      <c r="Q365" s="5">
        <v>0.32707647894680408</v>
      </c>
      <c r="R365" s="6">
        <f>P365/Q365</f>
        <v>4.8843954460214709</v>
      </c>
    </row>
    <row r="366" spans="1:18" x14ac:dyDescent="0.35">
      <c r="A366" s="9">
        <v>365</v>
      </c>
      <c r="B366" s="5">
        <v>0.1</v>
      </c>
      <c r="C366" s="5">
        <v>2000000</v>
      </c>
      <c r="D366" s="5">
        <v>20</v>
      </c>
      <c r="E366" s="5">
        <v>0.125</v>
      </c>
      <c r="F366" s="5">
        <v>7.4999999999999997E-2</v>
      </c>
      <c r="G366" s="12">
        <f>(C366*$U$4)/($U$5*$U$3)</f>
        <v>29.387755102040813</v>
      </c>
      <c r="H366" s="11">
        <f>G366*COS(RADIANS(D366))</f>
        <v>27.615456610851183</v>
      </c>
      <c r="I366" s="11">
        <f>G366*SIN(RADIANS(D366))</f>
        <v>10.051204212019652</v>
      </c>
      <c r="J366" s="12">
        <v>0.1658</v>
      </c>
      <c r="K366" s="12">
        <v>69</v>
      </c>
      <c r="L366" s="12">
        <f>-(F366*G366*$U$3)/J366</f>
        <v>-13.293616602250067</v>
      </c>
      <c r="M366" s="11">
        <f>ABS(L366/$U$6)</f>
        <v>3.8756899715014774E-2</v>
      </c>
      <c r="N366" s="12">
        <f>L366*SIN(RADIANS(K366))</f>
        <v>-12.410660257218899</v>
      </c>
      <c r="O366" s="12">
        <f>L366*COS(RADIANS(K366))</f>
        <v>-4.7640061237897191</v>
      </c>
      <c r="P366" s="5">
        <v>1.65087215902467</v>
      </c>
      <c r="Q366" s="5">
        <v>0.74769198808047888</v>
      </c>
      <c r="R366" s="6">
        <f>P366/Q366</f>
        <v>2.2079575351113379</v>
      </c>
    </row>
    <row r="367" spans="1:18" x14ac:dyDescent="0.35">
      <c r="A367" s="9">
        <v>366</v>
      </c>
      <c r="B367" s="5">
        <v>1</v>
      </c>
      <c r="C367" s="5">
        <v>4000000</v>
      </c>
      <c r="D367" s="5">
        <v>5</v>
      </c>
      <c r="E367" s="5">
        <v>0.125</v>
      </c>
      <c r="F367" s="5">
        <v>0.1</v>
      </c>
      <c r="G367" s="12">
        <f>(C367*$U$4)/($U$5*$U$3)</f>
        <v>58.775510204081627</v>
      </c>
      <c r="H367" s="11">
        <f>G367*COS(RADIANS(D367))</f>
        <v>58.551851642943404</v>
      </c>
      <c r="I367" s="11">
        <f>G367*SIN(RADIANS(D367))</f>
        <v>5.1226232472092956</v>
      </c>
      <c r="J367" s="11">
        <v>0.33379999999999999</v>
      </c>
      <c r="K367" s="12">
        <v>14</v>
      </c>
      <c r="L367" s="12">
        <f>-(F367*G367*$U$3)/J367</f>
        <v>-17.608001858622419</v>
      </c>
      <c r="M367" s="11">
        <f>ABS(L367/$U$6)</f>
        <v>5.1335282386654281E-2</v>
      </c>
      <c r="N367" s="12">
        <f>L367*SIN(RADIANS(K367))</f>
        <v>-4.2597611873604082</v>
      </c>
      <c r="O367" s="12">
        <f>L367*COS(RADIANS(K367))</f>
        <v>-17.084968951681137</v>
      </c>
      <c r="P367" s="5">
        <v>3.0339057992856708</v>
      </c>
      <c r="Q367" s="5">
        <v>0.75886299579274741</v>
      </c>
      <c r="R367" s="6">
        <f>P367/Q367</f>
        <v>3.9979624992997538</v>
      </c>
    </row>
    <row r="368" spans="1:18" x14ac:dyDescent="0.35">
      <c r="A368" s="9">
        <v>367</v>
      </c>
      <c r="B368" s="5">
        <v>1</v>
      </c>
      <c r="C368" s="5">
        <v>4000000</v>
      </c>
      <c r="D368" s="5">
        <v>5</v>
      </c>
      <c r="E368" s="5">
        <v>0.375</v>
      </c>
      <c r="F368" s="5">
        <v>7.4999999999999997E-2</v>
      </c>
      <c r="G368" s="12">
        <f>(C368*$U$4)/($U$5*$U$3)</f>
        <v>58.775510204081627</v>
      </c>
      <c r="H368" s="11">
        <f>G368*COS(RADIANS(D368))</f>
        <v>58.551851642943404</v>
      </c>
      <c r="I368" s="11">
        <f>G368*SIN(RADIANS(D368))</f>
        <v>5.1226232472092956</v>
      </c>
      <c r="J368" s="12">
        <v>0.33379999999999999</v>
      </c>
      <c r="K368" s="11">
        <v>49</v>
      </c>
      <c r="L368" s="12">
        <f>-(F368*G368*$U$3)/J368</f>
        <v>-13.206001393966813</v>
      </c>
      <c r="M368" s="11">
        <f>ABS(L368/$U$6)</f>
        <v>3.8501461789990712E-2</v>
      </c>
      <c r="N368" s="12">
        <f>L368*SIN(RADIANS(K368))</f>
        <v>-9.9666957684620368</v>
      </c>
      <c r="O368" s="12">
        <f>L368*COS(RADIANS(K368))</f>
        <v>-8.6639164513731526</v>
      </c>
      <c r="P368" s="5">
        <v>5.6215961608388483</v>
      </c>
      <c r="Q368" s="5">
        <v>-0.43578633912632236</v>
      </c>
      <c r="R368" s="6">
        <f>P368/Q368</f>
        <v>-12.899890740286155</v>
      </c>
    </row>
    <row r="369" spans="1:18" x14ac:dyDescent="0.35">
      <c r="A369" s="9">
        <v>368</v>
      </c>
      <c r="B369" s="5">
        <v>0.25</v>
      </c>
      <c r="C369" s="5">
        <v>6000000</v>
      </c>
      <c r="D369" s="5">
        <v>10</v>
      </c>
      <c r="E369" s="5">
        <v>0</v>
      </c>
      <c r="F369" s="5">
        <v>0.05</v>
      </c>
      <c r="G369" s="12">
        <f>(C369*$U$4)/($U$5*$U$3)</f>
        <v>88.16326530612244</v>
      </c>
      <c r="H369" s="11">
        <f>G369*COS(RADIANS(D369))</f>
        <v>86.823867204341596</v>
      </c>
      <c r="I369" s="11">
        <f>G369*SIN(RADIANS(D369))</f>
        <v>15.309390357574264</v>
      </c>
      <c r="J369" s="12">
        <v>0.18990000000000001</v>
      </c>
      <c r="K369" s="12">
        <v>0</v>
      </c>
      <c r="L369" s="12">
        <f>-(F369*G369*$U$3)/J369</f>
        <v>-23.213076699874257</v>
      </c>
      <c r="M369" s="11">
        <f>ABS(L369/$U$6)</f>
        <v>6.7676608454443898E-2</v>
      </c>
      <c r="N369" s="12">
        <f>L369*SIN(RADIANS(K369))</f>
        <v>0</v>
      </c>
      <c r="O369" s="12">
        <f>L369*COS(RADIANS(K369))</f>
        <v>-23.213076699874257</v>
      </c>
      <c r="P369" s="5">
        <v>2.2408002829663718</v>
      </c>
      <c r="Q369" s="5">
        <v>0.40621513100624584</v>
      </c>
      <c r="R369" s="6">
        <f>P369/Q369</f>
        <v>5.5162895518333555</v>
      </c>
    </row>
    <row r="370" spans="1:18" x14ac:dyDescent="0.35">
      <c r="A370" s="9">
        <v>369</v>
      </c>
      <c r="B370" s="5">
        <v>1</v>
      </c>
      <c r="C370" s="5">
        <v>6000000</v>
      </c>
      <c r="D370" s="5">
        <v>5</v>
      </c>
      <c r="E370" s="5">
        <v>0.25</v>
      </c>
      <c r="F370" s="5">
        <v>0.1</v>
      </c>
      <c r="G370" s="12">
        <f>(C370*$U$4)/($U$5*$U$3)</f>
        <v>88.16326530612244</v>
      </c>
      <c r="H370" s="11">
        <f>G370*COS(RADIANS(D370))</f>
        <v>87.827777464415107</v>
      </c>
      <c r="I370" s="11">
        <f>G370*SIN(RADIANS(D370))</f>
        <v>7.6839348708139434</v>
      </c>
      <c r="J370" s="13">
        <v>0.33379999999999999</v>
      </c>
      <c r="K370" s="12">
        <v>30</v>
      </c>
      <c r="L370" s="12">
        <f>-(F370*G370*$U$3)/J370</f>
        <v>-26.412002787933627</v>
      </c>
      <c r="M370" s="11">
        <f>ABS(L370/$U$6)</f>
        <v>7.7002923579981425E-2</v>
      </c>
      <c r="N370" s="12">
        <f>L370*SIN(RADIANS(K370))</f>
        <v>-13.206001393966812</v>
      </c>
      <c r="O370" s="12">
        <f>L370*COS(RADIANS(K370))</f>
        <v>-22.87346537917594</v>
      </c>
      <c r="P370" s="5">
        <v>9.4713533562372199</v>
      </c>
      <c r="Q370" s="5">
        <v>-1.2501693511096914</v>
      </c>
      <c r="R370" s="6">
        <f>P370/Q370</f>
        <v>-7.5760562741600852</v>
      </c>
    </row>
    <row r="371" spans="1:18" x14ac:dyDescent="0.35">
      <c r="A371" s="9">
        <v>507</v>
      </c>
      <c r="B371" s="5">
        <v>0.5</v>
      </c>
      <c r="C371" s="5">
        <v>6000000</v>
      </c>
      <c r="D371" s="5">
        <v>20</v>
      </c>
      <c r="E371" s="5">
        <v>0.125</v>
      </c>
      <c r="F371" s="5">
        <v>0.15</v>
      </c>
      <c r="G371" s="12">
        <f>(C371*$U$4)/($U$5*$U$3)</f>
        <v>88.16326530612244</v>
      </c>
      <c r="H371" s="11">
        <f>G371*COS(RADIANS(D371))</f>
        <v>82.846369832553549</v>
      </c>
      <c r="I371" s="11">
        <f>G371*SIN(RADIANS(D371))</f>
        <v>30.153612636058952</v>
      </c>
      <c r="J371" s="19">
        <v>0.23300000000000001</v>
      </c>
      <c r="K371" s="20">
        <v>27</v>
      </c>
      <c r="L371" s="12">
        <f>-(F371*G371*$U$3)/J371</f>
        <v>-56.757466935271957</v>
      </c>
      <c r="M371" s="11">
        <f>ABS(L371/$U$6)</f>
        <v>0.16547366453432058</v>
      </c>
      <c r="N371" s="12">
        <f>L371*SIN(RADIANS(K371))</f>
        <v>-25.767350777894915</v>
      </c>
      <c r="O371" s="12">
        <f>L371*COS(RADIANS(K371))</f>
        <v>-50.571273335732883</v>
      </c>
      <c r="P371" s="5">
        <v>5.2793959410351796</v>
      </c>
      <c r="Q371" s="5">
        <v>0.92896750832876773</v>
      </c>
      <c r="R371" s="6">
        <f>P371/Q371</f>
        <v>5.6830792182741945</v>
      </c>
    </row>
    <row r="372" spans="1:18" x14ac:dyDescent="0.35">
      <c r="A372" s="9">
        <v>371</v>
      </c>
      <c r="B372" s="5">
        <v>0.25</v>
      </c>
      <c r="C372" s="5">
        <v>2000000</v>
      </c>
      <c r="D372" s="5">
        <v>10</v>
      </c>
      <c r="E372" s="5">
        <v>0</v>
      </c>
      <c r="F372" s="5">
        <v>2.5000000000000001E-2</v>
      </c>
      <c r="G372" s="12">
        <f>(C372*$U$4)/($U$5*$U$3)</f>
        <v>29.387755102040813</v>
      </c>
      <c r="H372" s="11">
        <f>G372*COS(RADIANS(D372))</f>
        <v>28.941289068113864</v>
      </c>
      <c r="I372" s="11">
        <f>G372*SIN(RADIANS(D372))</f>
        <v>5.1031301191914213</v>
      </c>
      <c r="J372" s="12">
        <v>0.18990000000000001</v>
      </c>
      <c r="K372" s="12">
        <v>0</v>
      </c>
      <c r="L372" s="12">
        <f>-(F372*G372*$U$3)/J372</f>
        <v>-3.86884611664571</v>
      </c>
      <c r="M372" s="11">
        <f>ABS(L372/$U$6)</f>
        <v>1.1279434742407318E-2</v>
      </c>
      <c r="N372" s="12">
        <f>L372*SIN(RADIANS(K372))</f>
        <v>0</v>
      </c>
      <c r="O372" s="12">
        <f>L372*COS(RADIANS(K372))</f>
        <v>-3.86884611664571</v>
      </c>
      <c r="P372" s="5">
        <v>2.0452025629596942</v>
      </c>
      <c r="Q372" s="5">
        <v>0.43429806317316955</v>
      </c>
      <c r="R372" s="6">
        <f>P372/Q372</f>
        <v>4.7092141006030728</v>
      </c>
    </row>
    <row r="373" spans="1:18" x14ac:dyDescent="0.35">
      <c r="A373" s="9">
        <v>372</v>
      </c>
      <c r="B373" s="5">
        <v>0.25</v>
      </c>
      <c r="C373" s="5">
        <v>4000000</v>
      </c>
      <c r="D373" s="5">
        <v>30</v>
      </c>
      <c r="E373" s="5">
        <v>0.125</v>
      </c>
      <c r="F373" s="5">
        <v>7.4999999999999997E-2</v>
      </c>
      <c r="G373" s="12">
        <f>(C373*$U$4)/($U$5*$U$3)</f>
        <v>58.775510204081627</v>
      </c>
      <c r="H373" s="11">
        <f>G373*COS(RADIANS(D373))</f>
        <v>50.901084957126187</v>
      </c>
      <c r="I373" s="11">
        <f>G373*SIN(RADIANS(D373))</f>
        <v>29.38775510204081</v>
      </c>
      <c r="J373" s="11">
        <v>0.19020000000000001</v>
      </c>
      <c r="K373" s="12">
        <v>46</v>
      </c>
      <c r="L373" s="12">
        <f>-(F373*G373*$U$3)/J373</f>
        <v>-23.176463014227771</v>
      </c>
      <c r="M373" s="11">
        <f>ABS(L373/$U$6)</f>
        <v>6.7569863015241316E-2</v>
      </c>
      <c r="N373" s="12">
        <f>L373*SIN(RADIANS(K373))</f>
        <v>-16.671752277210736</v>
      </c>
      <c r="O373" s="12">
        <f>L373*COS(RADIANS(K373))</f>
        <v>-16.099724030466682</v>
      </c>
      <c r="P373" s="5">
        <v>2.6845758640842714</v>
      </c>
      <c r="Q373" s="5">
        <v>1.0032312483456221</v>
      </c>
      <c r="R373" s="6">
        <f>P373/Q373</f>
        <v>2.6759292720509551</v>
      </c>
    </row>
    <row r="374" spans="1:18" x14ac:dyDescent="0.35">
      <c r="A374" s="9">
        <v>373</v>
      </c>
      <c r="B374" s="5">
        <v>0.1</v>
      </c>
      <c r="C374" s="5">
        <v>6000000</v>
      </c>
      <c r="D374" s="5">
        <v>5</v>
      </c>
      <c r="E374" s="5">
        <v>0.375</v>
      </c>
      <c r="F374" s="5">
        <v>2.5000000000000001E-2</v>
      </c>
      <c r="G374" s="12">
        <f>(C374*$U$4)/($U$5*$U$3)</f>
        <v>88.16326530612244</v>
      </c>
      <c r="H374" s="11">
        <f>G374*COS(RADIANS(D374))</f>
        <v>87.827777464415107</v>
      </c>
      <c r="I374" s="11">
        <f>G374*SIN(RADIANS(D374))</f>
        <v>7.6839348708139434</v>
      </c>
      <c r="J374" s="12">
        <v>0.16789999999999999</v>
      </c>
      <c r="K374" s="11">
        <v>85</v>
      </c>
      <c r="L374" s="12">
        <f>-(F374*G374*$U$3)/J374</f>
        <v>-13.127347424973562</v>
      </c>
      <c r="M374" s="11">
        <f>ABS(L374/$U$6)</f>
        <v>3.8272149927036626E-2</v>
      </c>
      <c r="N374" s="12">
        <f>L374*SIN(RADIANS(K374))</f>
        <v>-13.077393904766991</v>
      </c>
      <c r="O374" s="12">
        <f>L374*COS(RADIANS(K374))</f>
        <v>-1.1441237151301282</v>
      </c>
      <c r="P374" s="5">
        <v>1.7385146530864894</v>
      </c>
      <c r="Q374" s="5">
        <v>0.34143833816807417</v>
      </c>
      <c r="R374" s="6">
        <f>P374/Q374</f>
        <v>5.0917382693876041</v>
      </c>
    </row>
    <row r="375" spans="1:18" x14ac:dyDescent="0.35">
      <c r="A375" s="9">
        <v>374</v>
      </c>
      <c r="B375" s="5">
        <v>1</v>
      </c>
      <c r="C375" s="5">
        <v>2000000</v>
      </c>
      <c r="D375" s="5">
        <v>10</v>
      </c>
      <c r="E375" s="5">
        <v>0.25</v>
      </c>
      <c r="F375" s="5">
        <v>0</v>
      </c>
      <c r="G375" s="12">
        <f>(C375*$U$4)/($U$5*$U$3)</f>
        <v>29.387755102040813</v>
      </c>
      <c r="H375" s="11">
        <f>G375*COS(RADIANS(D375))</f>
        <v>28.941289068113864</v>
      </c>
      <c r="I375" s="11">
        <f>G375*SIN(RADIANS(D375))</f>
        <v>5.1031301191914213</v>
      </c>
      <c r="J375" s="13">
        <v>0.33379999999999999</v>
      </c>
      <c r="K375" s="12">
        <v>30</v>
      </c>
      <c r="L375" s="12">
        <f>-(F375*G375*$U$3)/J375</f>
        <v>0</v>
      </c>
      <c r="M375" s="11">
        <f>ABS(L375/$U$6)</f>
        <v>0</v>
      </c>
      <c r="N375" s="12">
        <f>L375*SIN(RADIANS(K375))</f>
        <v>0</v>
      </c>
      <c r="O375" s="12">
        <f>L375*COS(RADIANS(K375))</f>
        <v>0</v>
      </c>
      <c r="P375" s="5">
        <v>6.5560654371758531</v>
      </c>
      <c r="Q375" s="5">
        <v>1.597960137993456</v>
      </c>
      <c r="R375" s="6">
        <f>P375/Q375</f>
        <v>4.1027715781497811</v>
      </c>
    </row>
    <row r="376" spans="1:18" x14ac:dyDescent="0.35">
      <c r="A376" s="9">
        <v>375</v>
      </c>
      <c r="B376" s="5">
        <v>1</v>
      </c>
      <c r="C376" s="5">
        <v>4000000</v>
      </c>
      <c r="D376" s="5">
        <v>0</v>
      </c>
      <c r="E376" s="5">
        <v>0</v>
      </c>
      <c r="F376" s="5">
        <v>1.4999999999999999E-2</v>
      </c>
      <c r="G376" s="12">
        <f>(C376*$U$4)/($U$5*$U$3)</f>
        <v>58.775510204081627</v>
      </c>
      <c r="H376" s="11">
        <f>G376*COS(RADIANS(D376))</f>
        <v>58.775510204081627</v>
      </c>
      <c r="I376" s="11">
        <f>G376*SIN(RADIANS(D376))</f>
        <v>0</v>
      </c>
      <c r="J376" s="11">
        <v>0.33379999999999999</v>
      </c>
      <c r="K376" s="12">
        <v>0</v>
      </c>
      <c r="L376" s="12">
        <f>-(F376*G376*$U$3)/J376</f>
        <v>-2.6412002787933626</v>
      </c>
      <c r="M376" s="11">
        <f>ABS(L376/$U$6)</f>
        <v>7.7002923579981416E-3</v>
      </c>
      <c r="N376" s="12">
        <f>L376*SIN(RADIANS(K376))</f>
        <v>0</v>
      </c>
      <c r="O376" s="12">
        <f>L376*COS(RADIANS(K376))</f>
        <v>-2.6412002787933626</v>
      </c>
      <c r="P376" s="5">
        <v>1.1971328611483125</v>
      </c>
      <c r="Q376" s="5">
        <v>2.3801996001956924</v>
      </c>
      <c r="R376" s="6">
        <f>P376/Q376</f>
        <v>0.50295481986043866</v>
      </c>
    </row>
    <row r="377" spans="1:18" x14ac:dyDescent="0.35">
      <c r="A377" s="9">
        <v>376</v>
      </c>
      <c r="B377" s="5">
        <v>0.25</v>
      </c>
      <c r="C377" s="5">
        <v>4000000</v>
      </c>
      <c r="D377" s="5">
        <v>15</v>
      </c>
      <c r="E377" s="5">
        <v>0.25</v>
      </c>
      <c r="F377" s="5">
        <v>3.5000000000000003E-2</v>
      </c>
      <c r="G377" s="12">
        <f>(C377*$U$4)/($U$5*$U$3)</f>
        <v>58.775510204081627</v>
      </c>
      <c r="H377" s="11">
        <f>G377*COS(RADIANS(D377))</f>
        <v>56.772783259439109</v>
      </c>
      <c r="I377" s="11">
        <f>G377*SIN(RADIANS(D377))</f>
        <v>15.212221426433871</v>
      </c>
      <c r="J377" s="12">
        <v>0.1913</v>
      </c>
      <c r="K377" s="11">
        <v>67</v>
      </c>
      <c r="L377" s="12">
        <f>-(F377*G377*$U$3)/J377</f>
        <v>-10.753491150772906</v>
      </c>
      <c r="M377" s="11">
        <f>ABS(L377/$U$6)</f>
        <v>3.1351286153856871E-2</v>
      </c>
      <c r="N377" s="12">
        <f>L377*SIN(RADIANS(K377))</f>
        <v>-9.8986407958443277</v>
      </c>
      <c r="O377" s="12">
        <f>L377*COS(RADIANS(K377))</f>
        <v>-4.2017237325409162</v>
      </c>
      <c r="P377" s="5">
        <v>2.1950863622255352</v>
      </c>
      <c r="Q377" s="5">
        <v>0.51815584898736655</v>
      </c>
      <c r="R377" s="6">
        <f>P377/Q377</f>
        <v>4.2363438847894868</v>
      </c>
    </row>
    <row r="378" spans="1:18" x14ac:dyDescent="0.35">
      <c r="A378" s="9">
        <v>377</v>
      </c>
      <c r="B378" s="5">
        <v>0.25</v>
      </c>
      <c r="C378" s="5">
        <v>4000000</v>
      </c>
      <c r="D378" s="5">
        <v>15</v>
      </c>
      <c r="E378" s="5">
        <v>0.125</v>
      </c>
      <c r="F378" s="5">
        <v>0</v>
      </c>
      <c r="G378" s="12">
        <f>(C378*$U$4)/($U$5*$U$3)</f>
        <v>58.775510204081627</v>
      </c>
      <c r="H378" s="11">
        <f>G378*COS(RADIANS(D378))</f>
        <v>56.772783259439109</v>
      </c>
      <c r="I378" s="11">
        <f>G378*SIN(RADIANS(D378))</f>
        <v>15.212221426433871</v>
      </c>
      <c r="J378" s="11">
        <v>0.19020000000000001</v>
      </c>
      <c r="K378" s="12">
        <v>46</v>
      </c>
      <c r="L378" s="12">
        <f>-(F378*G378*$U$3)/J378</f>
        <v>0</v>
      </c>
      <c r="M378" s="11">
        <f>ABS(L378/$U$6)</f>
        <v>0</v>
      </c>
      <c r="N378" s="12">
        <f>L378*SIN(RADIANS(K378))</f>
        <v>0</v>
      </c>
      <c r="O378" s="12">
        <f>L378*COS(RADIANS(K378))</f>
        <v>0</v>
      </c>
      <c r="P378" s="5">
        <v>2.3689297528068489</v>
      </c>
      <c r="Q378" s="5">
        <v>0.69187515972466773</v>
      </c>
      <c r="R378" s="6">
        <f>P378/Q378</f>
        <v>3.4239265848907863</v>
      </c>
    </row>
    <row r="379" spans="1:18" x14ac:dyDescent="0.35">
      <c r="A379" s="9">
        <v>378</v>
      </c>
      <c r="B379" s="5">
        <v>0.25</v>
      </c>
      <c r="C379" s="5">
        <v>4000000</v>
      </c>
      <c r="D379" s="5">
        <v>5</v>
      </c>
      <c r="E379" s="5">
        <v>0.125</v>
      </c>
      <c r="F379" s="5">
        <v>0</v>
      </c>
      <c r="G379" s="12">
        <f>(C379*$U$4)/($U$5*$U$3)</f>
        <v>58.775510204081627</v>
      </c>
      <c r="H379" s="11">
        <f>G379*COS(RADIANS(D379))</f>
        <v>58.551851642943404</v>
      </c>
      <c r="I379" s="11">
        <f>G379*SIN(RADIANS(D379))</f>
        <v>5.1226232472092956</v>
      </c>
      <c r="J379" s="11">
        <v>0.19020000000000001</v>
      </c>
      <c r="K379" s="12">
        <v>46</v>
      </c>
      <c r="L379" s="12">
        <f>-(F379*G379*$U$3)/J379</f>
        <v>0</v>
      </c>
      <c r="M379" s="11">
        <f>ABS(L379/$U$6)</f>
        <v>0</v>
      </c>
      <c r="N379" s="12">
        <f>L379*SIN(RADIANS(K379))</f>
        <v>0</v>
      </c>
      <c r="O379" s="12">
        <f>L379*COS(RADIANS(K379))</f>
        <v>0</v>
      </c>
      <c r="P379" s="5">
        <v>2.3491213555498618</v>
      </c>
      <c r="Q379" s="5">
        <v>0.40277328656270939</v>
      </c>
      <c r="R379" s="6">
        <f>P379/Q379</f>
        <v>5.8323663309386768</v>
      </c>
    </row>
    <row r="380" spans="1:18" x14ac:dyDescent="0.35">
      <c r="A380" s="9">
        <v>379</v>
      </c>
      <c r="B380" s="5">
        <v>0.25</v>
      </c>
      <c r="C380" s="5">
        <v>4000000</v>
      </c>
      <c r="D380" s="5">
        <v>0</v>
      </c>
      <c r="E380" s="5">
        <v>0.375</v>
      </c>
      <c r="F380" s="5">
        <v>7.4999999999999997E-2</v>
      </c>
      <c r="G380" s="12">
        <f>(C380*$U$4)/($U$5*$U$3)</f>
        <v>58.775510204081627</v>
      </c>
      <c r="H380" s="11">
        <f>G380*COS(RADIANS(D380))</f>
        <v>58.775510204081627</v>
      </c>
      <c r="I380" s="11">
        <f>G380*SIN(RADIANS(D380))</f>
        <v>0</v>
      </c>
      <c r="J380" s="11">
        <v>0.1976</v>
      </c>
      <c r="K380" s="12">
        <v>78</v>
      </c>
      <c r="L380" s="12">
        <f>-(F380*G380*$U$3)/J380</f>
        <v>-22.308518549120052</v>
      </c>
      <c r="M380" s="11">
        <f>ABS(L380/$U$6)</f>
        <v>6.5039412679650299E-2</v>
      </c>
      <c r="N380" s="12">
        <f>L380*SIN(RADIANS(K380))</f>
        <v>-21.821023894747377</v>
      </c>
      <c r="O380" s="12">
        <f>L380*COS(RADIANS(K380))</f>
        <v>-4.6382018111869003</v>
      </c>
      <c r="P380" s="5">
        <v>2.3150881590898287</v>
      </c>
      <c r="Q380" s="5">
        <v>-1.2535322220308289E-2</v>
      </c>
      <c r="R380" s="6">
        <f>P380/Q380</f>
        <v>-184.68517349631338</v>
      </c>
    </row>
    <row r="381" spans="1:18" x14ac:dyDescent="0.35">
      <c r="A381" s="9">
        <v>380</v>
      </c>
      <c r="B381" s="5">
        <v>0.75</v>
      </c>
      <c r="C381" s="5">
        <v>4000000</v>
      </c>
      <c r="D381" s="5">
        <v>0</v>
      </c>
      <c r="E381" s="5">
        <v>0.375</v>
      </c>
      <c r="F381" s="5">
        <v>0.1</v>
      </c>
      <c r="G381" s="12">
        <f>(C381*$U$4)/($U$5*$U$3)</f>
        <v>58.775510204081627</v>
      </c>
      <c r="H381" s="11">
        <f>G381*COS(RADIANS(D381))</f>
        <v>58.775510204081627</v>
      </c>
      <c r="I381" s="11">
        <f>G381*SIN(RADIANS(D381))</f>
        <v>0</v>
      </c>
      <c r="J381" s="11">
        <v>0.29299999999999998</v>
      </c>
      <c r="K381" s="12">
        <v>57</v>
      </c>
      <c r="L381" s="12">
        <f>-(F381*G381*$U$3)/J381</f>
        <v>-20.059901093543218</v>
      </c>
      <c r="M381" s="11">
        <f>ABS(L381/$U$6)</f>
        <v>5.84836766575604E-2</v>
      </c>
      <c r="N381" s="12">
        <f>L381*SIN(RADIANS(K381))</f>
        <v>-16.823648643050923</v>
      </c>
      <c r="O381" s="12">
        <f>L381*COS(RADIANS(K381))</f>
        <v>-10.925405174084265</v>
      </c>
      <c r="P381" s="5">
        <v>5.0680683274044398</v>
      </c>
      <c r="Q381" s="5">
        <v>-0.68693013398695757</v>
      </c>
      <c r="R381" s="6">
        <f>P381/Q381</f>
        <v>-7.3778512204571083</v>
      </c>
    </row>
    <row r="382" spans="1:18" x14ac:dyDescent="0.35">
      <c r="A382" s="9">
        <v>381</v>
      </c>
      <c r="B382" s="5">
        <v>0.25</v>
      </c>
      <c r="C382" s="5">
        <v>6000000</v>
      </c>
      <c r="D382" s="5">
        <v>20</v>
      </c>
      <c r="E382" s="5">
        <v>0</v>
      </c>
      <c r="F382" s="5">
        <v>0</v>
      </c>
      <c r="G382" s="12">
        <f>(C382*$U$4)/($U$5*$U$3)</f>
        <v>88.16326530612244</v>
      </c>
      <c r="H382" s="11">
        <f>G382*COS(RADIANS(D382))</f>
        <v>82.846369832553549</v>
      </c>
      <c r="I382" s="11">
        <f>G382*SIN(RADIANS(D382))</f>
        <v>30.153612636058952</v>
      </c>
      <c r="J382" s="12">
        <v>0.18990000000000001</v>
      </c>
      <c r="K382" s="12">
        <v>0</v>
      </c>
      <c r="L382" s="12">
        <f>-(F382*G382*$U$3)/J382</f>
        <v>0</v>
      </c>
      <c r="M382" s="11">
        <f>ABS(L382/$U$6)</f>
        <v>0</v>
      </c>
      <c r="N382" s="12">
        <f>L382*SIN(RADIANS(K382))</f>
        <v>0</v>
      </c>
      <c r="O382" s="12">
        <f>L382*COS(RADIANS(K382))</f>
        <v>0</v>
      </c>
      <c r="P382" s="5">
        <v>2.2715405500003039</v>
      </c>
      <c r="Q382" s="5">
        <v>0.78864920318251142</v>
      </c>
      <c r="R382" s="6">
        <f>P382/Q382</f>
        <v>2.8802927091458908</v>
      </c>
    </row>
    <row r="383" spans="1:18" x14ac:dyDescent="0.35">
      <c r="A383" s="9">
        <v>382</v>
      </c>
      <c r="B383" s="5">
        <v>1</v>
      </c>
      <c r="C383" s="5">
        <v>2000000</v>
      </c>
      <c r="D383" s="5">
        <v>0</v>
      </c>
      <c r="E383" s="5">
        <v>0.25</v>
      </c>
      <c r="F383" s="5">
        <v>1.4999999999999999E-2</v>
      </c>
      <c r="G383" s="12">
        <f>(C383*$U$4)/($U$5*$U$3)</f>
        <v>29.387755102040813</v>
      </c>
      <c r="H383" s="11">
        <f>G383*COS(RADIANS(D383))</f>
        <v>29.387755102040813</v>
      </c>
      <c r="I383" s="11">
        <f>G383*SIN(RADIANS(D383))</f>
        <v>0</v>
      </c>
      <c r="J383" s="13">
        <v>0.33379999999999999</v>
      </c>
      <c r="K383" s="12">
        <v>30</v>
      </c>
      <c r="L383" s="12">
        <f>-(F383*G383*$U$3)/J383</f>
        <v>-1.3206001393966813</v>
      </c>
      <c r="M383" s="11">
        <f>ABS(L383/$U$6)</f>
        <v>3.8501461789990708E-3</v>
      </c>
      <c r="N383" s="12">
        <f>L383*SIN(RADIANS(K383))</f>
        <v>-0.66030006969834054</v>
      </c>
      <c r="O383" s="12">
        <f>L383*COS(RADIANS(K383))</f>
        <v>-1.143673268958797</v>
      </c>
      <c r="P383" s="5">
        <v>3.4989644854397044</v>
      </c>
      <c r="Q383" s="5">
        <v>0.44033426836049633</v>
      </c>
      <c r="R383" s="6">
        <f>P383/Q383</f>
        <v>7.9461553116623316</v>
      </c>
    </row>
    <row r="384" spans="1:18" x14ac:dyDescent="0.35">
      <c r="A384" s="9">
        <v>383</v>
      </c>
      <c r="B384" s="5">
        <v>1</v>
      </c>
      <c r="C384" s="5">
        <v>2000000</v>
      </c>
      <c r="D384" s="5">
        <v>20</v>
      </c>
      <c r="E384" s="5">
        <v>0.25</v>
      </c>
      <c r="F384" s="5">
        <v>0.15</v>
      </c>
      <c r="G384" s="12">
        <f>(C384*$U$4)/($U$5*$U$3)</f>
        <v>29.387755102040813</v>
      </c>
      <c r="H384" s="11">
        <f>G384*COS(RADIANS(D384))</f>
        <v>27.615456610851183</v>
      </c>
      <c r="I384" s="11">
        <f>G384*SIN(RADIANS(D384))</f>
        <v>10.051204212019652</v>
      </c>
      <c r="J384" s="13">
        <v>0.33379999999999999</v>
      </c>
      <c r="K384" s="12">
        <v>30</v>
      </c>
      <c r="L384" s="12">
        <f>-(F384*G384*$U$3)/J384</f>
        <v>-13.206001393966813</v>
      </c>
      <c r="M384" s="11">
        <f>ABS(L384/$U$6)</f>
        <v>3.8501461789990712E-2</v>
      </c>
      <c r="N384" s="12">
        <f>L384*SIN(RADIANS(K384))</f>
        <v>-6.6030006969834059</v>
      </c>
      <c r="O384" s="12">
        <f>L384*COS(RADIANS(K384))</f>
        <v>-11.43673268958797</v>
      </c>
      <c r="P384" s="5">
        <v>5.4365954282588964</v>
      </c>
      <c r="Q384" s="5">
        <v>0.5715849892367264</v>
      </c>
      <c r="R384" s="6">
        <f>P384/Q384</f>
        <v>9.5114384223398272</v>
      </c>
    </row>
    <row r="385" spans="1:18" x14ac:dyDescent="0.35">
      <c r="A385" s="9">
        <v>384</v>
      </c>
      <c r="B385" s="5">
        <v>0.1</v>
      </c>
      <c r="C385" s="5">
        <v>6000000</v>
      </c>
      <c r="D385" s="5">
        <v>20</v>
      </c>
      <c r="E385" s="5">
        <v>0.375</v>
      </c>
      <c r="F385" s="5">
        <v>1.4999999999999999E-2</v>
      </c>
      <c r="G385" s="12">
        <f>(C385*$U$4)/($U$5*$U$3)</f>
        <v>88.16326530612244</v>
      </c>
      <c r="H385" s="11">
        <f>G385*COS(RADIANS(D385))</f>
        <v>82.846369832553549</v>
      </c>
      <c r="I385" s="11">
        <f>G385*SIN(RADIANS(D385))</f>
        <v>30.153612636058952</v>
      </c>
      <c r="J385" s="12">
        <v>0.16789999999999999</v>
      </c>
      <c r="K385" s="11">
        <v>85</v>
      </c>
      <c r="L385" s="12">
        <f>-(F385*G385*$U$3)/J385</f>
        <v>-7.8764084549841371</v>
      </c>
      <c r="M385" s="11">
        <f>ABS(L385/$U$6)</f>
        <v>2.2963289956221974E-2</v>
      </c>
      <c r="N385" s="12">
        <f>L385*SIN(RADIANS(K385))</f>
        <v>-7.8464363428601942</v>
      </c>
      <c r="O385" s="12">
        <f>L385*COS(RADIANS(K385))</f>
        <v>-0.68647422907807698</v>
      </c>
      <c r="P385" s="5">
        <v>1.6879078995765116</v>
      </c>
      <c r="Q385" s="5">
        <v>0.82648478696492722</v>
      </c>
      <c r="R385" s="6">
        <f>P385/Q385</f>
        <v>2.0422734044203765</v>
      </c>
    </row>
    <row r="386" spans="1:18" x14ac:dyDescent="0.35">
      <c r="A386" s="9">
        <v>385</v>
      </c>
      <c r="B386" s="5">
        <v>0.5</v>
      </c>
      <c r="C386" s="5">
        <v>2000000</v>
      </c>
      <c r="D386" s="5">
        <v>30</v>
      </c>
      <c r="E386" s="5">
        <v>0</v>
      </c>
      <c r="F386" s="5">
        <v>0.05</v>
      </c>
      <c r="G386" s="12">
        <f>(C386*$U$4)/($U$5*$U$3)</f>
        <v>29.387755102040813</v>
      </c>
      <c r="H386" s="11">
        <f>G386*COS(RADIANS(D386))</f>
        <v>25.450542478563094</v>
      </c>
      <c r="I386" s="11">
        <f>G386*SIN(RADIANS(D386))</f>
        <v>14.693877551020405</v>
      </c>
      <c r="J386" s="12">
        <v>0.23230000000000001</v>
      </c>
      <c r="K386" s="12">
        <v>0</v>
      </c>
      <c r="L386" s="12">
        <f>-(F386*G386*$U$3)/J386</f>
        <v>-6.3253885282050826</v>
      </c>
      <c r="M386" s="11">
        <f>ABS(L386/$U$6)</f>
        <v>1.8441365971443389E-2</v>
      </c>
      <c r="N386" s="12">
        <f>L386*SIN(RADIANS(K386))</f>
        <v>0</v>
      </c>
      <c r="O386" s="12">
        <f>L386*COS(RADIANS(K386))</f>
        <v>-6.3253885282050826</v>
      </c>
      <c r="P386" s="5">
        <v>3.9567621693222548</v>
      </c>
      <c r="Q386" s="5">
        <v>1.3957518489875165</v>
      </c>
      <c r="R386" s="6">
        <f>P386/Q386</f>
        <v>2.8348607757120328</v>
      </c>
    </row>
    <row r="387" spans="1:18" x14ac:dyDescent="0.35">
      <c r="A387" s="9">
        <v>386</v>
      </c>
      <c r="B387" s="5">
        <v>0.5</v>
      </c>
      <c r="C387" s="5">
        <v>6000000</v>
      </c>
      <c r="D387" s="5">
        <v>20</v>
      </c>
      <c r="E387" s="5">
        <v>0</v>
      </c>
      <c r="F387" s="5">
        <v>0</v>
      </c>
      <c r="G387" s="12">
        <f>(C387*$U$4)/($U$5*$U$3)</f>
        <v>88.16326530612244</v>
      </c>
      <c r="H387" s="11">
        <f>G387*COS(RADIANS(D387))</f>
        <v>82.846369832553549</v>
      </c>
      <c r="I387" s="11">
        <f>G387*SIN(RADIANS(D387))</f>
        <v>30.153612636058952</v>
      </c>
      <c r="J387" s="12">
        <v>0.23230000000000001</v>
      </c>
      <c r="K387" s="12">
        <v>0</v>
      </c>
      <c r="L387" s="12">
        <f>-(F387*G387*$U$3)/J387</f>
        <v>0</v>
      </c>
      <c r="M387" s="11">
        <f>ABS(L387/$U$6)</f>
        <v>0</v>
      </c>
      <c r="N387" s="12">
        <f>L387*SIN(RADIANS(K387))</f>
        <v>0</v>
      </c>
      <c r="O387" s="12">
        <f>L387*COS(RADIANS(K387))</f>
        <v>0</v>
      </c>
      <c r="P387" s="5">
        <v>3.3972334338457841</v>
      </c>
      <c r="Q387" s="5">
        <v>1.241581385287956</v>
      </c>
      <c r="R387" s="6">
        <f>P387/Q387</f>
        <v>2.7362148580037502</v>
      </c>
    </row>
    <row r="388" spans="1:18" x14ac:dyDescent="0.35">
      <c r="A388" s="9">
        <v>387</v>
      </c>
      <c r="B388" s="5">
        <v>1</v>
      </c>
      <c r="C388" s="5">
        <v>6000000</v>
      </c>
      <c r="D388" s="5">
        <v>30</v>
      </c>
      <c r="E388" s="5">
        <v>0.25</v>
      </c>
      <c r="F388" s="5">
        <v>7.4999999999999997E-2</v>
      </c>
      <c r="G388" s="12">
        <f>(C388*$U$4)/($U$5*$U$3)</f>
        <v>88.16326530612244</v>
      </c>
      <c r="H388" s="11">
        <f>G388*COS(RADIANS(D388))</f>
        <v>76.351627435689281</v>
      </c>
      <c r="I388" s="11">
        <f>G388*SIN(RADIANS(D388))</f>
        <v>44.081632653061213</v>
      </c>
      <c r="J388" s="13">
        <v>0.33379999999999999</v>
      </c>
      <c r="K388" s="12">
        <v>30</v>
      </c>
      <c r="L388" s="12">
        <f>-(F388*G388*$U$3)/J388</f>
        <v>-19.809002090950219</v>
      </c>
      <c r="M388" s="11">
        <f>ABS(L388/$U$6)</f>
        <v>5.7752192684986062E-2</v>
      </c>
      <c r="N388" s="12">
        <f>L388*SIN(RADIANS(K388))</f>
        <v>-9.9045010454751079</v>
      </c>
      <c r="O388" s="12">
        <f>L388*COS(RADIANS(K388))</f>
        <v>-17.155099034381955</v>
      </c>
      <c r="P388" s="5">
        <v>4.8397650809850452</v>
      </c>
      <c r="Q388" s="5">
        <v>1.2088753785909006</v>
      </c>
      <c r="R388" s="6">
        <f>P388/Q388</f>
        <v>4.0035268868048357</v>
      </c>
    </row>
    <row r="389" spans="1:18" x14ac:dyDescent="0.35">
      <c r="A389" s="9">
        <v>388</v>
      </c>
      <c r="B389" s="5">
        <v>0.25</v>
      </c>
      <c r="C389" s="5">
        <v>4000000</v>
      </c>
      <c r="D389" s="5">
        <v>5</v>
      </c>
      <c r="E389" s="5">
        <v>0.375</v>
      </c>
      <c r="F389" s="5">
        <v>3.5000000000000003E-2</v>
      </c>
      <c r="G389" s="12">
        <f>(C389*$U$4)/($U$5*$U$3)</f>
        <v>58.775510204081627</v>
      </c>
      <c r="H389" s="11">
        <f>G389*COS(RADIANS(D389))</f>
        <v>58.551851642943404</v>
      </c>
      <c r="I389" s="11">
        <f>G389*SIN(RADIANS(D389))</f>
        <v>5.1226232472092956</v>
      </c>
      <c r="J389" s="11">
        <v>0.1976</v>
      </c>
      <c r="K389" s="12">
        <v>78</v>
      </c>
      <c r="L389" s="12">
        <f>-(F389*G389*$U$3)/J389</f>
        <v>-10.410641989589356</v>
      </c>
      <c r="M389" s="11">
        <f>ABS(L389/$U$6)</f>
        <v>3.0351725917170135E-2</v>
      </c>
      <c r="N389" s="12">
        <f>L389*SIN(RADIANS(K389))</f>
        <v>-10.183144484215441</v>
      </c>
      <c r="O389" s="12">
        <f>L389*COS(RADIANS(K389))</f>
        <v>-2.1644941785538863</v>
      </c>
      <c r="P389" s="5">
        <v>2.1379591058383447</v>
      </c>
      <c r="Q389" s="5">
        <v>0.17155296230646758</v>
      </c>
      <c r="R389" s="6">
        <f>P389/Q389</f>
        <v>12.46238524298419</v>
      </c>
    </row>
    <row r="390" spans="1:18" x14ac:dyDescent="0.35">
      <c r="A390" s="9">
        <v>389</v>
      </c>
      <c r="B390" s="5">
        <v>0.75</v>
      </c>
      <c r="C390" s="5">
        <v>2000000</v>
      </c>
      <c r="D390" s="5">
        <v>5</v>
      </c>
      <c r="E390" s="5">
        <v>0</v>
      </c>
      <c r="F390" s="5">
        <v>0</v>
      </c>
      <c r="G390" s="12">
        <f>(C390*$U$4)/($U$5*$U$3)</f>
        <v>29.387755102040813</v>
      </c>
      <c r="H390" s="11">
        <f>G390*COS(RADIANS(D390))</f>
        <v>29.275925821471702</v>
      </c>
      <c r="I390" s="11">
        <f>G390*SIN(RADIANS(D390))</f>
        <v>2.5613116236046478</v>
      </c>
      <c r="J390" s="11">
        <v>0.27929999999999999</v>
      </c>
      <c r="K390" s="12">
        <v>0</v>
      </c>
      <c r="L390" s="12">
        <f>-(F390*G390*$U$3)/J390</f>
        <v>0</v>
      </c>
      <c r="M390" s="11">
        <f>ABS(L390/$U$6)</f>
        <v>0</v>
      </c>
      <c r="N390" s="12">
        <f>L390*SIN(RADIANS(K390))</f>
        <v>0</v>
      </c>
      <c r="O390" s="12">
        <f>L390*COS(RADIANS(K390))</f>
        <v>0</v>
      </c>
      <c r="P390" s="5">
        <v>4.2064830006108869</v>
      </c>
      <c r="Q390" s="5">
        <v>1.2624616261228365</v>
      </c>
      <c r="R390" s="6">
        <f>P390/Q390</f>
        <v>3.3319689989544279</v>
      </c>
    </row>
    <row r="391" spans="1:18" x14ac:dyDescent="0.35">
      <c r="A391" s="9">
        <v>390</v>
      </c>
      <c r="B391" s="5">
        <v>0.5</v>
      </c>
      <c r="C391" s="5">
        <v>4000000</v>
      </c>
      <c r="D391" s="5">
        <v>5</v>
      </c>
      <c r="E391" s="5">
        <v>0.25</v>
      </c>
      <c r="F391" s="5">
        <v>2.5000000000000001E-2</v>
      </c>
      <c r="G391" s="12">
        <f>(C391*$U$4)/($U$5*$U$3)</f>
        <v>58.775510204081627</v>
      </c>
      <c r="H391" s="11">
        <f>G391*COS(RADIANS(D391))</f>
        <v>58.551851642943404</v>
      </c>
      <c r="I391" s="11">
        <f>G391*SIN(RADIANS(D391))</f>
        <v>5.1226232472092956</v>
      </c>
      <c r="J391" s="11">
        <v>0.23580000000000001</v>
      </c>
      <c r="K391" s="11">
        <v>49</v>
      </c>
      <c r="L391" s="12">
        <f>-(F391*G391*$U$3)/J391</f>
        <v>-6.2315002336812579</v>
      </c>
      <c r="M391" s="11">
        <f>ABS(L391/$U$6)</f>
        <v>1.8167639165251482E-2</v>
      </c>
      <c r="N391" s="12">
        <f>L391*SIN(RADIANS(K391))</f>
        <v>-4.7029729255196875</v>
      </c>
      <c r="O391" s="12">
        <f>L391*COS(RADIANS(K391))</f>
        <v>-4.0882319924630455</v>
      </c>
      <c r="P391" s="5">
        <v>3.7593233581417076</v>
      </c>
      <c r="Q391" s="5">
        <v>0.15924875603927685</v>
      </c>
      <c r="R391" s="6">
        <f>P391/Q391</f>
        <v>23.606610510756607</v>
      </c>
    </row>
    <row r="392" spans="1:18" x14ac:dyDescent="0.35">
      <c r="A392" s="9">
        <v>391</v>
      </c>
      <c r="B392" s="5">
        <v>0.25</v>
      </c>
      <c r="C392" s="5">
        <v>6000000</v>
      </c>
      <c r="D392" s="5">
        <v>15</v>
      </c>
      <c r="E392" s="5">
        <v>0.25</v>
      </c>
      <c r="F392" s="5">
        <v>1.4999999999999999E-2</v>
      </c>
      <c r="G392" s="12">
        <f>(C392*$U$4)/($U$5*$U$3)</f>
        <v>88.16326530612244</v>
      </c>
      <c r="H392" s="11">
        <f>G392*COS(RADIANS(D392))</f>
        <v>85.159174889158663</v>
      </c>
      <c r="I392" s="11">
        <f>G392*SIN(RADIANS(D392))</f>
        <v>22.818332139650806</v>
      </c>
      <c r="J392" s="12">
        <v>0.1913</v>
      </c>
      <c r="K392" s="11">
        <v>67</v>
      </c>
      <c r="L392" s="12">
        <f>-(F392*G392*$U$3)/J392</f>
        <v>-6.9129585969254395</v>
      </c>
      <c r="M392" s="11">
        <f>ABS(L392/$U$6)</f>
        <v>2.0154398241765129E-2</v>
      </c>
      <c r="N392" s="12">
        <f>L392*SIN(RADIANS(K392))</f>
        <v>-6.3634119401856397</v>
      </c>
      <c r="O392" s="12">
        <f>L392*COS(RADIANS(K392))</f>
        <v>-2.7011081137763031</v>
      </c>
      <c r="P392" s="5">
        <v>2.2117735536895289</v>
      </c>
      <c r="Q392" s="5">
        <v>0.54356218703516712</v>
      </c>
      <c r="R392" s="6">
        <f>P392/Q392</f>
        <v>4.0690349815419236</v>
      </c>
    </row>
    <row r="393" spans="1:18" x14ac:dyDescent="0.35">
      <c r="A393" s="9">
        <v>392</v>
      </c>
      <c r="B393" s="5">
        <v>0.1</v>
      </c>
      <c r="C393" s="5">
        <v>4000000</v>
      </c>
      <c r="D393" s="5">
        <v>30</v>
      </c>
      <c r="E393" s="5">
        <v>0.25</v>
      </c>
      <c r="F393" s="5">
        <v>2.5000000000000001E-2</v>
      </c>
      <c r="G393" s="12">
        <f>(C393*$U$4)/($U$5*$U$3)</f>
        <v>58.775510204081627</v>
      </c>
      <c r="H393" s="11">
        <f>G393*COS(RADIANS(D393))</f>
        <v>50.901084957126187</v>
      </c>
      <c r="I393" s="11">
        <f>G393*SIN(RADIANS(D393))</f>
        <v>29.38775510204081</v>
      </c>
      <c r="J393" s="11">
        <v>0.1661</v>
      </c>
      <c r="K393" s="12">
        <v>80</v>
      </c>
      <c r="L393" s="12">
        <f>-(F393*G393*$U$3)/J393</f>
        <v>-8.8464043052500951</v>
      </c>
      <c r="M393" s="11">
        <f>ABS(L393/$U$6)</f>
        <v>2.5791266196064418E-2</v>
      </c>
      <c r="N393" s="12">
        <f>L393*SIN(RADIANS(K393))</f>
        <v>-8.7120075460908701</v>
      </c>
      <c r="O393" s="12">
        <f>L393*COS(RADIANS(K393))</f>
        <v>-1.5361619865115665</v>
      </c>
      <c r="P393" s="5">
        <v>1.1907094445886346</v>
      </c>
      <c r="Q393" s="5">
        <v>0.96058756607472684</v>
      </c>
      <c r="R393" s="6">
        <f>P393/Q393</f>
        <v>1.2395636656575315</v>
      </c>
    </row>
    <row r="394" spans="1:18" x14ac:dyDescent="0.35">
      <c r="A394" s="9">
        <v>393</v>
      </c>
      <c r="B394" s="5">
        <v>1</v>
      </c>
      <c r="C394" s="5">
        <v>6000000</v>
      </c>
      <c r="D394" s="5">
        <v>30</v>
      </c>
      <c r="E394" s="5">
        <v>0.25</v>
      </c>
      <c r="F394" s="5">
        <v>0.1</v>
      </c>
      <c r="G394" s="12">
        <f>(C394*$U$4)/($U$5*$U$3)</f>
        <v>88.16326530612244</v>
      </c>
      <c r="H394" s="11">
        <f>G394*COS(RADIANS(D394))</f>
        <v>76.351627435689281</v>
      </c>
      <c r="I394" s="11">
        <f>G394*SIN(RADIANS(D394))</f>
        <v>44.081632653061213</v>
      </c>
      <c r="J394" s="13">
        <v>0.33379999999999999</v>
      </c>
      <c r="K394" s="12">
        <v>30</v>
      </c>
      <c r="L394" s="12">
        <f>-(F394*G394*$U$3)/J394</f>
        <v>-26.412002787933627</v>
      </c>
      <c r="M394" s="11">
        <f>ABS(L394/$U$6)</f>
        <v>7.7002923579981425E-2</v>
      </c>
      <c r="N394" s="12">
        <f>L394*SIN(RADIANS(K394))</f>
        <v>-13.206001393966812</v>
      </c>
      <c r="O394" s="12">
        <f>L394*COS(RADIANS(K394))</f>
        <v>-22.87346537917594</v>
      </c>
      <c r="P394" s="5">
        <v>9.9458313088502734</v>
      </c>
      <c r="Q394" s="5">
        <v>1.5717939150474891</v>
      </c>
      <c r="R394" s="6">
        <f>P394/Q394</f>
        <v>6.3276942439046007</v>
      </c>
    </row>
    <row r="395" spans="1:18" x14ac:dyDescent="0.35">
      <c r="A395" s="9">
        <v>394</v>
      </c>
      <c r="B395" s="5">
        <v>0.25</v>
      </c>
      <c r="C395" s="5">
        <v>2000000</v>
      </c>
      <c r="D395" s="5">
        <v>0</v>
      </c>
      <c r="E395" s="5">
        <v>0</v>
      </c>
      <c r="F395" s="5">
        <v>1.4999999999999999E-2</v>
      </c>
      <c r="G395" s="12">
        <f>(C395*$U$4)/($U$5*$U$3)</f>
        <v>29.387755102040813</v>
      </c>
      <c r="H395" s="11">
        <f>G395*COS(RADIANS(D395))</f>
        <v>29.387755102040813</v>
      </c>
      <c r="I395" s="11">
        <f>G395*SIN(RADIANS(D395))</f>
        <v>0</v>
      </c>
      <c r="J395" s="12">
        <v>0.18990000000000001</v>
      </c>
      <c r="K395" s="12">
        <v>0</v>
      </c>
      <c r="L395" s="12">
        <f>-(F395*G395*$U$3)/J395</f>
        <v>-2.321307669987426</v>
      </c>
      <c r="M395" s="11">
        <f>ABS(L395/$U$6)</f>
        <v>6.7676608454443907E-3</v>
      </c>
      <c r="N395" s="12">
        <f>L395*SIN(RADIANS(K395))</f>
        <v>0</v>
      </c>
      <c r="O395" s="12">
        <f>L395*COS(RADIANS(K395))</f>
        <v>-2.321307669987426</v>
      </c>
      <c r="P395" s="5">
        <v>1.9703743465728867</v>
      </c>
      <c r="Q395" s="5">
        <v>0.23084891473032426</v>
      </c>
      <c r="R395" s="6">
        <f>P395/Q395</f>
        <v>8.5353416058925866</v>
      </c>
    </row>
    <row r="396" spans="1:18" x14ac:dyDescent="0.35">
      <c r="A396" s="9">
        <v>395</v>
      </c>
      <c r="B396" s="5">
        <v>0.1</v>
      </c>
      <c r="C396" s="5">
        <v>2000000</v>
      </c>
      <c r="D396" s="5">
        <v>20</v>
      </c>
      <c r="E396" s="5">
        <v>0</v>
      </c>
      <c r="F396" s="5">
        <v>0.05</v>
      </c>
      <c r="G396" s="12">
        <f>(C396*$U$4)/($U$5*$U$3)</f>
        <v>29.387755102040813</v>
      </c>
      <c r="H396" s="11">
        <f>G396*COS(RADIANS(D396))</f>
        <v>27.615456610851183</v>
      </c>
      <c r="I396" s="11">
        <f>G396*SIN(RADIANS(D396))</f>
        <v>10.051204212019652</v>
      </c>
      <c r="J396" s="11">
        <v>0.16569999999999999</v>
      </c>
      <c r="K396" s="12">
        <v>0</v>
      </c>
      <c r="L396" s="12">
        <f>-(F396*G396*$U$3)/J396</f>
        <v>-8.8677595359205839</v>
      </c>
      <c r="M396" s="11">
        <f>ABS(L396/$U$6)</f>
        <v>2.5853526343791788E-2</v>
      </c>
      <c r="N396" s="12">
        <f>L396*SIN(RADIANS(K396))</f>
        <v>0</v>
      </c>
      <c r="O396" s="12">
        <f>L396*COS(RADIANS(K396))</f>
        <v>-8.8677595359205839</v>
      </c>
      <c r="P396" s="5">
        <v>1.5643763992986721</v>
      </c>
      <c r="Q396" s="5">
        <v>0.67666728053674374</v>
      </c>
      <c r="R396" s="6">
        <f>P396/Q396</f>
        <v>2.3118842070474912</v>
      </c>
    </row>
    <row r="397" spans="1:18" x14ac:dyDescent="0.35">
      <c r="A397" s="9">
        <v>396</v>
      </c>
      <c r="B397" s="5">
        <v>0.1</v>
      </c>
      <c r="C397" s="5">
        <v>2000000</v>
      </c>
      <c r="D397" s="5">
        <v>20</v>
      </c>
      <c r="E397" s="5">
        <v>0</v>
      </c>
      <c r="F397" s="5">
        <v>1.4999999999999999E-2</v>
      </c>
      <c r="G397" s="12">
        <f>(C397*$U$4)/($U$5*$U$3)</f>
        <v>29.387755102040813</v>
      </c>
      <c r="H397" s="11">
        <f>G397*COS(RADIANS(D397))</f>
        <v>27.615456610851183</v>
      </c>
      <c r="I397" s="11">
        <f>G397*SIN(RADIANS(D397))</f>
        <v>10.051204212019652</v>
      </c>
      <c r="J397" s="11">
        <v>0.16569999999999999</v>
      </c>
      <c r="K397" s="12">
        <v>0</v>
      </c>
      <c r="L397" s="12">
        <f>-(F397*G397*$U$3)/J397</f>
        <v>-2.6603278607761753</v>
      </c>
      <c r="M397" s="11">
        <f>ABS(L397/$U$6)</f>
        <v>7.7560579031375372E-3</v>
      </c>
      <c r="N397" s="12">
        <f>L397*SIN(RADIANS(K397))</f>
        <v>0</v>
      </c>
      <c r="O397" s="12">
        <f>L397*COS(RADIANS(K397))</f>
        <v>-2.6603278607761753</v>
      </c>
      <c r="P397" s="5">
        <v>1.1557490753506059</v>
      </c>
      <c r="Q397" s="5">
        <v>0.60619042148579316</v>
      </c>
      <c r="R397" s="6">
        <f>P397/Q397</f>
        <v>1.906577594079804</v>
      </c>
    </row>
    <row r="398" spans="1:18" x14ac:dyDescent="0.35">
      <c r="A398" s="9">
        <v>397</v>
      </c>
      <c r="B398" s="5">
        <v>0.1</v>
      </c>
      <c r="C398" s="5">
        <v>6000000</v>
      </c>
      <c r="D398" s="5">
        <v>10</v>
      </c>
      <c r="E398" s="5">
        <v>0.25</v>
      </c>
      <c r="F398" s="5">
        <v>2.5000000000000001E-2</v>
      </c>
      <c r="G398" s="12">
        <f>(C398*$U$4)/($U$5*$U$3)</f>
        <v>88.16326530612244</v>
      </c>
      <c r="H398" s="11">
        <f>G398*COS(RADIANS(D398))</f>
        <v>86.823867204341596</v>
      </c>
      <c r="I398" s="11">
        <f>G398*SIN(RADIANS(D398))</f>
        <v>15.309390357574264</v>
      </c>
      <c r="J398" s="11">
        <v>0.1661</v>
      </c>
      <c r="K398" s="12">
        <v>80</v>
      </c>
      <c r="L398" s="12">
        <f>-(F398*G398*$U$3)/J398</f>
        <v>-13.269606457875142</v>
      </c>
      <c r="M398" s="11">
        <f>ABS(L398/$U$6)</f>
        <v>3.8686899294096626E-2</v>
      </c>
      <c r="N398" s="12">
        <f>L398*SIN(RADIANS(K398))</f>
        <v>-13.068011319136303</v>
      </c>
      <c r="O398" s="12">
        <f>L398*COS(RADIANS(K398))</f>
        <v>-2.3042429797673498</v>
      </c>
      <c r="P398" s="5">
        <v>1.6003573038728409</v>
      </c>
      <c r="Q398" s="5">
        <v>0.481191555593392</v>
      </c>
      <c r="R398" s="6">
        <f>P398/Q398</f>
        <v>3.3258216717858335</v>
      </c>
    </row>
    <row r="399" spans="1:18" x14ac:dyDescent="0.35">
      <c r="A399" s="9">
        <v>398</v>
      </c>
      <c r="B399" s="5">
        <v>1</v>
      </c>
      <c r="C399" s="5">
        <v>6000000</v>
      </c>
      <c r="D399" s="5">
        <v>10</v>
      </c>
      <c r="E399" s="5">
        <v>0</v>
      </c>
      <c r="F399" s="5">
        <v>2.5000000000000001E-2</v>
      </c>
      <c r="G399" s="12">
        <f>(C399*$U$4)/($U$5*$U$3)</f>
        <v>88.16326530612244</v>
      </c>
      <c r="H399" s="11">
        <f>G399*COS(RADIANS(D399))</f>
        <v>86.823867204341596</v>
      </c>
      <c r="I399" s="11">
        <f>G399*SIN(RADIANS(D399))</f>
        <v>15.309390357574264</v>
      </c>
      <c r="J399" s="11">
        <v>0.33379999999999999</v>
      </c>
      <c r="K399" s="12">
        <v>0</v>
      </c>
      <c r="L399" s="12">
        <f>-(F399*G399*$U$3)/J399</f>
        <v>-6.6030006969834067</v>
      </c>
      <c r="M399" s="11">
        <f>ABS(L399/$U$6)</f>
        <v>1.9250730894995356E-2</v>
      </c>
      <c r="N399" s="12">
        <f>L399*SIN(RADIANS(K399))</f>
        <v>0</v>
      </c>
      <c r="O399" s="12">
        <f>L399*COS(RADIANS(K399))</f>
        <v>-6.6030006969834067</v>
      </c>
      <c r="P399" s="5">
        <v>3.5826774817532572</v>
      </c>
      <c r="Q399" s="5">
        <v>1.2448140146538946</v>
      </c>
      <c r="R399" s="6">
        <f>P399/Q399</f>
        <v>2.8780825405065649</v>
      </c>
    </row>
    <row r="400" spans="1:18" x14ac:dyDescent="0.35">
      <c r="A400" s="9">
        <v>399</v>
      </c>
      <c r="B400" s="5">
        <v>0.1</v>
      </c>
      <c r="C400" s="5">
        <v>2000000</v>
      </c>
      <c r="D400" s="5">
        <v>20</v>
      </c>
      <c r="E400" s="5">
        <v>0.375</v>
      </c>
      <c r="F400" s="5">
        <v>0</v>
      </c>
      <c r="G400" s="12">
        <f>(C400*$U$4)/($U$5*$U$3)</f>
        <v>29.387755102040813</v>
      </c>
      <c r="H400" s="11">
        <f>G400*COS(RADIANS(D400))</f>
        <v>27.615456610851183</v>
      </c>
      <c r="I400" s="11">
        <f>G400*SIN(RADIANS(D400))</f>
        <v>10.051204212019652</v>
      </c>
      <c r="J400" s="12">
        <v>0.16789999999999999</v>
      </c>
      <c r="K400" s="11">
        <v>85</v>
      </c>
      <c r="L400" s="12">
        <f>-(F400*G400*$U$3)/J400</f>
        <v>0</v>
      </c>
      <c r="M400" s="11">
        <f>ABS(L400/$U$6)</f>
        <v>0</v>
      </c>
      <c r="N400" s="12">
        <f>L400*SIN(RADIANS(K400))</f>
        <v>0</v>
      </c>
      <c r="O400" s="12">
        <f>L400*COS(RADIANS(K400))</f>
        <v>0</v>
      </c>
      <c r="P400" s="5">
        <v>1.7174771095377923</v>
      </c>
      <c r="Q400" s="5">
        <v>0.88494972318119902</v>
      </c>
      <c r="R400" s="6">
        <f>P400/Q400</f>
        <v>1.9407623558136624</v>
      </c>
    </row>
    <row r="401" spans="1:18" x14ac:dyDescent="0.35">
      <c r="A401" s="9">
        <v>400</v>
      </c>
      <c r="B401" s="5">
        <v>0.5</v>
      </c>
      <c r="C401" s="5">
        <v>4000000</v>
      </c>
      <c r="D401" s="5">
        <v>0</v>
      </c>
      <c r="E401" s="5">
        <v>0.125</v>
      </c>
      <c r="F401" s="5">
        <v>2.5000000000000001E-2</v>
      </c>
      <c r="G401" s="12">
        <f>(C401*$U$4)/($U$5*$U$3)</f>
        <v>58.775510204081627</v>
      </c>
      <c r="H401" s="11">
        <f>G401*COS(RADIANS(D401))</f>
        <v>58.775510204081627</v>
      </c>
      <c r="I401" s="11">
        <f>G401*SIN(RADIANS(D401))</f>
        <v>0</v>
      </c>
      <c r="J401" s="12">
        <v>0.23300000000000001</v>
      </c>
      <c r="K401" s="11">
        <v>27</v>
      </c>
      <c r="L401" s="12">
        <f>-(F401*G401*$U$3)/J401</f>
        <v>-6.3063852150302173</v>
      </c>
      <c r="M401" s="11">
        <f>ABS(L401/$U$6)</f>
        <v>1.8385962726035619E-2</v>
      </c>
      <c r="N401" s="12">
        <f>L401*SIN(RADIANS(K401))</f>
        <v>-2.8630389753216572</v>
      </c>
      <c r="O401" s="12">
        <f>L401*COS(RADIANS(K401))</f>
        <v>-5.6190303706369873</v>
      </c>
      <c r="P401" s="5">
        <v>3.7795082132770648</v>
      </c>
      <c r="Q401" s="5">
        <v>0.15069953027807076</v>
      </c>
      <c r="R401" s="6">
        <f>P401/Q401</f>
        <v>25.079761073595364</v>
      </c>
    </row>
    <row r="402" spans="1:18" x14ac:dyDescent="0.35">
      <c r="A402" s="9">
        <v>401</v>
      </c>
      <c r="B402" s="5">
        <v>0.25</v>
      </c>
      <c r="C402" s="5">
        <v>2000000</v>
      </c>
      <c r="D402" s="5">
        <v>30</v>
      </c>
      <c r="E402" s="5">
        <v>0.375</v>
      </c>
      <c r="F402" s="5">
        <v>0.1</v>
      </c>
      <c r="G402" s="12">
        <f>(C402*$U$4)/($U$5*$U$3)</f>
        <v>29.387755102040813</v>
      </c>
      <c r="H402" s="11">
        <f>G402*COS(RADIANS(D402))</f>
        <v>25.450542478563094</v>
      </c>
      <c r="I402" s="11">
        <f>G402*SIN(RADIANS(D402))</f>
        <v>14.693877551020405</v>
      </c>
      <c r="J402" s="11">
        <v>0.1976</v>
      </c>
      <c r="K402" s="12">
        <v>78</v>
      </c>
      <c r="L402" s="12">
        <f>-(F402*G402*$U$3)/J402</f>
        <v>-14.872345699413367</v>
      </c>
      <c r="M402" s="11">
        <f>ABS(L402/$U$6)</f>
        <v>4.3359608453100197E-2</v>
      </c>
      <c r="N402" s="12">
        <f>L402*SIN(RADIANS(K402))</f>
        <v>-14.547349263164916</v>
      </c>
      <c r="O402" s="12">
        <f>L402*COS(RADIANS(K402))</f>
        <v>-3.0921345407912666</v>
      </c>
      <c r="P402" s="5">
        <v>2.9513987429264952</v>
      </c>
      <c r="Q402" s="5">
        <v>0.99256260702549715</v>
      </c>
      <c r="R402" s="6">
        <f>P402/Q402</f>
        <v>2.9735139345730754</v>
      </c>
    </row>
    <row r="403" spans="1:18" x14ac:dyDescent="0.35">
      <c r="A403" s="9">
        <v>402</v>
      </c>
      <c r="B403" s="5">
        <v>0.25</v>
      </c>
      <c r="C403" s="5">
        <v>6000000</v>
      </c>
      <c r="D403" s="5">
        <v>20</v>
      </c>
      <c r="E403" s="5">
        <v>0.125</v>
      </c>
      <c r="F403" s="5">
        <v>3.5000000000000003E-2</v>
      </c>
      <c r="G403" s="12">
        <f>(C403*$U$4)/($U$5*$U$3)</f>
        <v>88.16326530612244</v>
      </c>
      <c r="H403" s="11">
        <f>G403*COS(RADIANS(D403))</f>
        <v>82.846369832553549</v>
      </c>
      <c r="I403" s="11">
        <f>G403*SIN(RADIANS(D403))</f>
        <v>30.153612636058952</v>
      </c>
      <c r="J403" s="11">
        <v>0.19020000000000001</v>
      </c>
      <c r="K403" s="12">
        <v>46</v>
      </c>
      <c r="L403" s="12">
        <f>-(F403*G403*$U$3)/J403</f>
        <v>-16.223524109959442</v>
      </c>
      <c r="M403" s="11">
        <f>ABS(L403/$U$6)</f>
        <v>4.7298904110668928E-2</v>
      </c>
      <c r="N403" s="12">
        <f>L403*SIN(RADIANS(K403))</f>
        <v>-11.670226594047516</v>
      </c>
      <c r="O403" s="12">
        <f>L403*COS(RADIANS(K403))</f>
        <v>-11.26980682132668</v>
      </c>
      <c r="P403" s="5">
        <v>2.2095873051251167</v>
      </c>
      <c r="Q403" s="5">
        <v>0.6885883069514025</v>
      </c>
      <c r="R403" s="6">
        <f>P403/Q403</f>
        <v>3.2088655628029121</v>
      </c>
    </row>
    <row r="404" spans="1:18" x14ac:dyDescent="0.35">
      <c r="A404" s="9">
        <v>403</v>
      </c>
      <c r="B404" s="5">
        <v>0.5</v>
      </c>
      <c r="C404" s="5">
        <v>4000000</v>
      </c>
      <c r="D404" s="5">
        <v>10</v>
      </c>
      <c r="E404" s="5">
        <v>0.125</v>
      </c>
      <c r="F404" s="5">
        <v>2.5000000000000001E-2</v>
      </c>
      <c r="G404" s="12">
        <f>(C404*$U$4)/($U$5*$U$3)</f>
        <v>58.775510204081627</v>
      </c>
      <c r="H404" s="11">
        <f>G404*COS(RADIANS(D404))</f>
        <v>57.882578136227728</v>
      </c>
      <c r="I404" s="11">
        <f>G404*SIN(RADIANS(D404))</f>
        <v>10.206260238382843</v>
      </c>
      <c r="J404" s="12">
        <v>0.23300000000000001</v>
      </c>
      <c r="K404" s="11">
        <v>27</v>
      </c>
      <c r="L404" s="12">
        <f>-(F404*G404*$U$3)/J404</f>
        <v>-6.3063852150302173</v>
      </c>
      <c r="M404" s="11">
        <f>ABS(L404/$U$6)</f>
        <v>1.8385962726035619E-2</v>
      </c>
      <c r="N404" s="12">
        <f>L404*SIN(RADIANS(K404))</f>
        <v>-2.8630389753216572</v>
      </c>
      <c r="O404" s="12">
        <f>L404*COS(RADIANS(K404))</f>
        <v>-5.6190303706369873</v>
      </c>
      <c r="P404" s="5">
        <v>3.7273193832744362</v>
      </c>
      <c r="Q404" s="5">
        <v>0.57595911391737864</v>
      </c>
      <c r="R404" s="6">
        <f>P404/Q404</f>
        <v>6.4714999610356374</v>
      </c>
    </row>
    <row r="405" spans="1:18" x14ac:dyDescent="0.35">
      <c r="A405" s="9">
        <v>404</v>
      </c>
      <c r="B405" s="5">
        <v>0.25</v>
      </c>
      <c r="C405" s="5">
        <v>2000000</v>
      </c>
      <c r="D405" s="5">
        <v>20</v>
      </c>
      <c r="E405" s="5">
        <v>0.375</v>
      </c>
      <c r="F405" s="5">
        <v>0.1</v>
      </c>
      <c r="G405" s="12">
        <f>(C405*$U$4)/($U$5*$U$3)</f>
        <v>29.387755102040813</v>
      </c>
      <c r="H405" s="11">
        <f>G405*COS(RADIANS(D405))</f>
        <v>27.615456610851183</v>
      </c>
      <c r="I405" s="11">
        <f>G405*SIN(RADIANS(D405))</f>
        <v>10.051204212019652</v>
      </c>
      <c r="J405" s="11">
        <v>0.1976</v>
      </c>
      <c r="K405" s="12">
        <v>78</v>
      </c>
      <c r="L405" s="12">
        <f>-(F405*G405*$U$3)/J405</f>
        <v>-14.872345699413367</v>
      </c>
      <c r="M405" s="11">
        <f>ABS(L405/$U$6)</f>
        <v>4.3359608453100197E-2</v>
      </c>
      <c r="N405" s="12">
        <f>L405*SIN(RADIANS(K405))</f>
        <v>-14.547349263164916</v>
      </c>
      <c r="O405" s="12">
        <f>L405*COS(RADIANS(K405))</f>
        <v>-3.0921345407912666</v>
      </c>
      <c r="P405" s="5">
        <v>2.7995691180987543</v>
      </c>
      <c r="Q405" s="5">
        <v>0.61890499038616498</v>
      </c>
      <c r="R405" s="6">
        <f>P405/Q405</f>
        <v>4.5234230804181541</v>
      </c>
    </row>
    <row r="406" spans="1:18" x14ac:dyDescent="0.35">
      <c r="A406" s="9">
        <v>405</v>
      </c>
      <c r="B406" s="5">
        <v>0.75</v>
      </c>
      <c r="C406" s="5">
        <v>6000000</v>
      </c>
      <c r="D406" s="5">
        <v>30</v>
      </c>
      <c r="E406" s="5">
        <v>0</v>
      </c>
      <c r="F406" s="5">
        <v>1.4999999999999999E-2</v>
      </c>
      <c r="G406" s="12">
        <f>(C406*$U$4)/($U$5*$U$3)</f>
        <v>88.16326530612244</v>
      </c>
      <c r="H406" s="11">
        <f>G406*COS(RADIANS(D406))</f>
        <v>76.351627435689281</v>
      </c>
      <c r="I406" s="11">
        <f>G406*SIN(RADIANS(D406))</f>
        <v>44.081632653061213</v>
      </c>
      <c r="J406" s="11">
        <v>0.27929999999999999</v>
      </c>
      <c r="K406" s="12">
        <v>0</v>
      </c>
      <c r="L406" s="12">
        <f>-(F406*G406*$U$3)/J406</f>
        <v>-4.7348692430785411</v>
      </c>
      <c r="M406" s="11">
        <f>ABS(L406/$U$6)</f>
        <v>1.3804283507517612E-2</v>
      </c>
      <c r="N406" s="12">
        <f>L406*SIN(RADIANS(K406))</f>
        <v>0</v>
      </c>
      <c r="O406" s="12">
        <f>L406*COS(RADIANS(K406))</f>
        <v>-4.7348692430785411</v>
      </c>
      <c r="P406" s="5">
        <v>2.1339241128204458</v>
      </c>
      <c r="Q406" s="5">
        <v>1.3644839501871553</v>
      </c>
      <c r="R406" s="6">
        <f>P406/Q406</f>
        <v>1.5639056161325697</v>
      </c>
    </row>
    <row r="407" spans="1:18" x14ac:dyDescent="0.35">
      <c r="A407" s="9">
        <v>406</v>
      </c>
      <c r="B407" s="5">
        <v>1</v>
      </c>
      <c r="C407" s="5">
        <v>2000000</v>
      </c>
      <c r="D407" s="5">
        <v>0</v>
      </c>
      <c r="E407" s="5">
        <v>0.125</v>
      </c>
      <c r="F407" s="5">
        <v>0.05</v>
      </c>
      <c r="G407" s="12">
        <f>(C407*$U$4)/($U$5*$U$3)</f>
        <v>29.387755102040813</v>
      </c>
      <c r="H407" s="11">
        <f>G407*COS(RADIANS(D407))</f>
        <v>29.387755102040813</v>
      </c>
      <c r="I407" s="11">
        <f>G407*SIN(RADIANS(D407))</f>
        <v>0</v>
      </c>
      <c r="J407" s="11">
        <v>0.33379999999999999</v>
      </c>
      <c r="K407" s="12">
        <v>14</v>
      </c>
      <c r="L407" s="12">
        <f>-(F407*G407*$U$3)/J407</f>
        <v>-4.4020004646556048</v>
      </c>
      <c r="M407" s="11">
        <f>ABS(L407/$U$6)</f>
        <v>1.283382059666357E-2</v>
      </c>
      <c r="N407" s="12">
        <f>L407*SIN(RADIANS(K407))</f>
        <v>-1.0649402968401021</v>
      </c>
      <c r="O407" s="12">
        <f>L407*COS(RADIANS(K407))</f>
        <v>-4.2712422379202843</v>
      </c>
      <c r="P407" s="5">
        <v>4.8706648650217153</v>
      </c>
      <c r="Q407" s="5">
        <v>-0.11813740179769365</v>
      </c>
      <c r="R407" s="6">
        <f>P407/Q407</f>
        <v>-41.228813152354292</v>
      </c>
    </row>
    <row r="408" spans="1:18" x14ac:dyDescent="0.35">
      <c r="A408" s="9">
        <v>407</v>
      </c>
      <c r="B408" s="5">
        <v>0.75</v>
      </c>
      <c r="C408" s="5">
        <v>2000000</v>
      </c>
      <c r="D408" s="5">
        <v>5</v>
      </c>
      <c r="E408" s="5">
        <v>0</v>
      </c>
      <c r="F408" s="5">
        <v>0.15</v>
      </c>
      <c r="G408" s="12">
        <f>(C408*$U$4)/($U$5*$U$3)</f>
        <v>29.387755102040813</v>
      </c>
      <c r="H408" s="11">
        <f>G408*COS(RADIANS(D408))</f>
        <v>29.275925821471702</v>
      </c>
      <c r="I408" s="11">
        <f>G408*SIN(RADIANS(D408))</f>
        <v>2.5613116236046478</v>
      </c>
      <c r="J408" s="11">
        <v>0.27929999999999999</v>
      </c>
      <c r="K408" s="12">
        <v>0</v>
      </c>
      <c r="L408" s="12">
        <f>-(F408*G408*$U$3)/J408</f>
        <v>-15.782897476928472</v>
      </c>
      <c r="M408" s="11">
        <f>ABS(L408/$U$6)</f>
        <v>4.6014278358392044E-2</v>
      </c>
      <c r="N408" s="12">
        <f>L408*SIN(RADIANS(K408))</f>
        <v>0</v>
      </c>
      <c r="O408" s="12">
        <f>L408*COS(RADIANS(K408))</f>
        <v>-15.782897476928472</v>
      </c>
      <c r="P408" s="5">
        <v>7.354715289926645</v>
      </c>
      <c r="Q408" s="5">
        <v>0.24178450149452796</v>
      </c>
      <c r="R408" s="6">
        <f>P408/Q408</f>
        <v>30.418472832069</v>
      </c>
    </row>
    <row r="409" spans="1:18" x14ac:dyDescent="0.35">
      <c r="A409" s="9">
        <v>562</v>
      </c>
      <c r="B409" s="5">
        <v>0.5</v>
      </c>
      <c r="C409" s="5">
        <v>6000000</v>
      </c>
      <c r="D409" s="5">
        <v>10</v>
      </c>
      <c r="E409" s="5">
        <v>0.125</v>
      </c>
      <c r="F409" s="5">
        <v>0.15</v>
      </c>
      <c r="G409" s="12">
        <f>(C409*$U$4)/($U$5*$U$3)</f>
        <v>88.16326530612244</v>
      </c>
      <c r="H409" s="11">
        <f>G409*COS(RADIANS(D409))</f>
        <v>86.823867204341596</v>
      </c>
      <c r="I409" s="11">
        <f>G409*SIN(RADIANS(D409))</f>
        <v>15.309390357574264</v>
      </c>
      <c r="J409" s="19">
        <v>0.23300000000000001</v>
      </c>
      <c r="K409" s="20">
        <v>27</v>
      </c>
      <c r="L409" s="12">
        <f>-(F409*G409*$U$3)/J409</f>
        <v>-56.757466935271957</v>
      </c>
      <c r="M409" s="11">
        <f>ABS(L409/$U$6)</f>
        <v>0.16547366453432058</v>
      </c>
      <c r="N409" s="12">
        <f>L409*SIN(RADIANS(K409))</f>
        <v>-25.767350777894915</v>
      </c>
      <c r="O409" s="12">
        <f>L409*COS(RADIANS(K409))</f>
        <v>-50.571273335732883</v>
      </c>
      <c r="P409" s="5">
        <v>5.3679791970926782</v>
      </c>
      <c r="Q409" s="5">
        <v>0.33274796885068453</v>
      </c>
      <c r="R409" s="6">
        <f>P409/Q409</f>
        <v>16.132267360289958</v>
      </c>
    </row>
    <row r="410" spans="1:18" x14ac:dyDescent="0.35">
      <c r="A410" s="9">
        <v>409</v>
      </c>
      <c r="B410" s="5">
        <v>0.5</v>
      </c>
      <c r="C410" s="5">
        <v>6000000</v>
      </c>
      <c r="D410" s="5">
        <v>15</v>
      </c>
      <c r="E410" s="5">
        <v>0</v>
      </c>
      <c r="F410" s="5">
        <v>0</v>
      </c>
      <c r="G410" s="12">
        <f>(C410*$U$4)/($U$5*$U$3)</f>
        <v>88.16326530612244</v>
      </c>
      <c r="H410" s="11">
        <f>G410*COS(RADIANS(D410))</f>
        <v>85.159174889158663</v>
      </c>
      <c r="I410" s="11">
        <f>G410*SIN(RADIANS(D410))</f>
        <v>22.818332139650806</v>
      </c>
      <c r="J410" s="12">
        <v>0.23230000000000001</v>
      </c>
      <c r="K410" s="12">
        <v>0</v>
      </c>
      <c r="L410" s="12">
        <f>-(F410*G410*$U$3)/J410</f>
        <v>0</v>
      </c>
      <c r="M410" s="11">
        <f>ABS(L410/$U$6)</f>
        <v>0</v>
      </c>
      <c r="N410" s="12">
        <f>L410*SIN(RADIANS(K410))</f>
        <v>0</v>
      </c>
      <c r="O410" s="12">
        <f>L410*COS(RADIANS(K410))</f>
        <v>0</v>
      </c>
      <c r="P410" s="5">
        <v>3.6579548567286029</v>
      </c>
      <c r="Q410" s="5">
        <v>1.0893696910482931</v>
      </c>
      <c r="R410" s="6">
        <f>P410/Q410</f>
        <v>3.3578636222278018</v>
      </c>
    </row>
    <row r="411" spans="1:18" x14ac:dyDescent="0.35">
      <c r="A411" s="9">
        <v>410</v>
      </c>
      <c r="B411" s="5">
        <v>0.25</v>
      </c>
      <c r="C411" s="5">
        <v>4000000</v>
      </c>
      <c r="D411" s="5">
        <v>20</v>
      </c>
      <c r="E411" s="5">
        <v>0</v>
      </c>
      <c r="F411" s="5">
        <v>0.1</v>
      </c>
      <c r="G411" s="12">
        <f>(C411*$U$4)/($U$5*$U$3)</f>
        <v>58.775510204081627</v>
      </c>
      <c r="H411" s="11">
        <f>G411*COS(RADIANS(D411))</f>
        <v>55.230913221702366</v>
      </c>
      <c r="I411" s="11">
        <f>G411*SIN(RADIANS(D411))</f>
        <v>20.102408424039304</v>
      </c>
      <c r="J411" s="12">
        <v>0.18990000000000001</v>
      </c>
      <c r="K411" s="12">
        <v>0</v>
      </c>
      <c r="L411" s="12">
        <f>-(F411*G411*$U$3)/J411</f>
        <v>-30.95076893316568</v>
      </c>
      <c r="M411" s="11">
        <f>ABS(L411/$U$6)</f>
        <v>9.023547793925854E-2</v>
      </c>
      <c r="N411" s="12">
        <f>L411*SIN(RADIANS(K411))</f>
        <v>0</v>
      </c>
      <c r="O411" s="12">
        <f>L411*COS(RADIANS(K411))</f>
        <v>-30.95076893316568</v>
      </c>
      <c r="P411" s="5">
        <v>2.4627495566794138</v>
      </c>
      <c r="Q411" s="5">
        <v>0.60195982550314653</v>
      </c>
      <c r="R411" s="6">
        <f>P411/Q411</f>
        <v>4.0912191351323672</v>
      </c>
    </row>
    <row r="412" spans="1:18" x14ac:dyDescent="0.35">
      <c r="A412" s="9">
        <v>411</v>
      </c>
      <c r="B412" s="5">
        <v>0.75</v>
      </c>
      <c r="C412" s="5">
        <v>4000000</v>
      </c>
      <c r="D412" s="5">
        <v>30</v>
      </c>
      <c r="E412" s="5">
        <v>0.125</v>
      </c>
      <c r="F412" s="5">
        <v>0.1</v>
      </c>
      <c r="G412" s="12">
        <f>(C412*$U$4)/($U$5*$U$3)</f>
        <v>58.775510204081627</v>
      </c>
      <c r="H412" s="11">
        <f>G412*COS(RADIANS(D412))</f>
        <v>50.901084957126187</v>
      </c>
      <c r="I412" s="11">
        <f>G412*SIN(RADIANS(D412))</f>
        <v>29.38775510204081</v>
      </c>
      <c r="J412" s="12">
        <v>0.2802</v>
      </c>
      <c r="K412" s="12">
        <v>19</v>
      </c>
      <c r="L412" s="12">
        <f>-(F412*G412*$U$3)/J412</f>
        <v>-20.976270593890657</v>
      </c>
      <c r="M412" s="11">
        <f>ABS(L412/$U$6)</f>
        <v>6.1155307853908623E-2</v>
      </c>
      <c r="N412" s="12">
        <f>L412*SIN(RADIANS(K412))</f>
        <v>-6.8292057046469079</v>
      </c>
      <c r="O412" s="12">
        <f>L412*COS(RADIANS(K412))</f>
        <v>-19.833453493321329</v>
      </c>
      <c r="P412" s="5">
        <v>3.0883932157225553</v>
      </c>
      <c r="Q412" s="5">
        <v>1.2521155608590926</v>
      </c>
      <c r="R412" s="6">
        <f>P412/Q412</f>
        <v>2.4665400800574422</v>
      </c>
    </row>
    <row r="413" spans="1:18" x14ac:dyDescent="0.35">
      <c r="A413" s="9">
        <v>412</v>
      </c>
      <c r="B413" s="5">
        <v>0.1</v>
      </c>
      <c r="C413" s="5">
        <v>4000000</v>
      </c>
      <c r="D413" s="5">
        <v>30</v>
      </c>
      <c r="E413" s="5">
        <v>0.25</v>
      </c>
      <c r="F413" s="5">
        <v>1.4999999999999999E-2</v>
      </c>
      <c r="G413" s="12">
        <f>(C413*$U$4)/($U$5*$U$3)</f>
        <v>58.775510204081627</v>
      </c>
      <c r="H413" s="11">
        <f>G413*COS(RADIANS(D413))</f>
        <v>50.901084957126187</v>
      </c>
      <c r="I413" s="11">
        <f>G413*SIN(RADIANS(D413))</f>
        <v>29.38775510204081</v>
      </c>
      <c r="J413" s="11">
        <v>0.1661</v>
      </c>
      <c r="K413" s="12">
        <v>80</v>
      </c>
      <c r="L413" s="12">
        <f>-(F413*G413*$U$3)/J413</f>
        <v>-5.3078425831500571</v>
      </c>
      <c r="M413" s="11">
        <f>ABS(L413/$U$6)</f>
        <v>1.5474759717638651E-2</v>
      </c>
      <c r="N413" s="12">
        <f>L413*SIN(RADIANS(K413))</f>
        <v>-5.2272045276545214</v>
      </c>
      <c r="O413" s="12">
        <f>L413*COS(RADIANS(K413))</f>
        <v>-0.92169719190693999</v>
      </c>
      <c r="P413" s="5">
        <v>1.1883634518377</v>
      </c>
      <c r="Q413" s="5">
        <v>0.96208196360240372</v>
      </c>
      <c r="R413" s="6">
        <f>P413/Q413</f>
        <v>1.2351998029232474</v>
      </c>
    </row>
    <row r="414" spans="1:18" x14ac:dyDescent="0.35">
      <c r="A414" s="9">
        <v>413</v>
      </c>
      <c r="B414" s="5">
        <v>1</v>
      </c>
      <c r="C414" s="5">
        <v>2000000</v>
      </c>
      <c r="D414" s="5">
        <v>0</v>
      </c>
      <c r="E414" s="5">
        <v>0</v>
      </c>
      <c r="F414" s="5">
        <v>0</v>
      </c>
      <c r="G414" s="12">
        <f>(C414*$U$4)/($U$5*$U$3)</f>
        <v>29.387755102040813</v>
      </c>
      <c r="H414" s="11">
        <f>G414*COS(RADIANS(D414))</f>
        <v>29.387755102040813</v>
      </c>
      <c r="I414" s="11">
        <f>G414*SIN(RADIANS(D414))</f>
        <v>0</v>
      </c>
      <c r="J414" s="11">
        <v>0.33379999999999999</v>
      </c>
      <c r="K414" s="12">
        <v>0</v>
      </c>
      <c r="L414" s="12">
        <f>-(F414*G414*$U$3)/J414</f>
        <v>0</v>
      </c>
      <c r="M414" s="11">
        <f>ABS(L414/$U$6)</f>
        <v>0</v>
      </c>
      <c r="N414" s="12">
        <f>L414*SIN(RADIANS(K414))</f>
        <v>0</v>
      </c>
      <c r="O414" s="12">
        <f>L414*COS(RADIANS(K414))</f>
        <v>0</v>
      </c>
      <c r="P414" s="5">
        <v>5.9584839123290774</v>
      </c>
      <c r="Q414" s="5">
        <v>1.2782279084506325</v>
      </c>
      <c r="R414" s="6">
        <f>P414/Q414</f>
        <v>4.6615191805282077</v>
      </c>
    </row>
    <row r="415" spans="1:18" x14ac:dyDescent="0.35">
      <c r="A415" s="9">
        <v>414</v>
      </c>
      <c r="B415" s="5">
        <v>0.5</v>
      </c>
      <c r="C415" s="5">
        <v>6000000</v>
      </c>
      <c r="D415" s="5">
        <v>0</v>
      </c>
      <c r="E415" s="5">
        <v>0.125</v>
      </c>
      <c r="F415" s="5">
        <v>1.4999999999999999E-2</v>
      </c>
      <c r="G415" s="12">
        <f>(C415*$U$4)/($U$5*$U$3)</f>
        <v>88.16326530612244</v>
      </c>
      <c r="H415" s="11">
        <f>G415*COS(RADIANS(D415))</f>
        <v>88.16326530612244</v>
      </c>
      <c r="I415" s="11">
        <f>G415*SIN(RADIANS(D415))</f>
        <v>0</v>
      </c>
      <c r="J415" s="12">
        <v>0.23300000000000001</v>
      </c>
      <c r="K415" s="11">
        <v>27</v>
      </c>
      <c r="L415" s="12">
        <f>-(F415*G415*$U$3)/J415</f>
        <v>-5.6757466935271959</v>
      </c>
      <c r="M415" s="11">
        <f>ABS(L415/$U$6)</f>
        <v>1.6547366453432057E-2</v>
      </c>
      <c r="N415" s="12">
        <f>L415*SIN(RADIANS(K415))</f>
        <v>-2.5767350777894915</v>
      </c>
      <c r="O415" s="12">
        <f>L415*COS(RADIANS(K415))</f>
        <v>-5.0571273335732885</v>
      </c>
      <c r="P415" s="5">
        <v>3.5023562274404103</v>
      </c>
      <c r="Q415" s="5">
        <v>0.21741508390522127</v>
      </c>
      <c r="R415" s="6">
        <f>P415/Q415</f>
        <v>16.109076539359194</v>
      </c>
    </row>
    <row r="416" spans="1:18" x14ac:dyDescent="0.35">
      <c r="A416" s="9">
        <v>415</v>
      </c>
      <c r="B416" s="5">
        <v>1</v>
      </c>
      <c r="C416" s="5">
        <v>2000000</v>
      </c>
      <c r="D416" s="5">
        <v>30</v>
      </c>
      <c r="E416" s="5">
        <v>0.375</v>
      </c>
      <c r="F416" s="5">
        <v>7.4999999999999997E-2</v>
      </c>
      <c r="G416" s="12">
        <f>(C416*$U$4)/($U$5*$U$3)</f>
        <v>29.387755102040813</v>
      </c>
      <c r="H416" s="11">
        <f>G416*COS(RADIANS(D416))</f>
        <v>25.450542478563094</v>
      </c>
      <c r="I416" s="11">
        <f>G416*SIN(RADIANS(D416))</f>
        <v>14.693877551020405</v>
      </c>
      <c r="J416" s="12">
        <v>0.33379999999999999</v>
      </c>
      <c r="K416" s="11">
        <v>49</v>
      </c>
      <c r="L416" s="12">
        <f>-(F416*G416*$U$3)/J416</f>
        <v>-6.6030006969834067</v>
      </c>
      <c r="M416" s="11">
        <f>ABS(L416/$U$6)</f>
        <v>1.9250730894995356E-2</v>
      </c>
      <c r="N416" s="12">
        <f>L416*SIN(RADIANS(K416))</f>
        <v>-4.9833478842310184</v>
      </c>
      <c r="O416" s="12">
        <f>L416*COS(RADIANS(K416))</f>
        <v>-4.3319582256865763</v>
      </c>
      <c r="P416" s="5">
        <v>6.420125205584486</v>
      </c>
      <c r="Q416" s="5">
        <v>1.5540661929580342</v>
      </c>
      <c r="R416" s="6">
        <f>P416/Q416</f>
        <v>4.1311787327181468</v>
      </c>
    </row>
    <row r="417" spans="1:18" x14ac:dyDescent="0.35">
      <c r="A417" s="9">
        <v>416</v>
      </c>
      <c r="B417" s="5">
        <v>0.5</v>
      </c>
      <c r="C417" s="5">
        <v>6000000</v>
      </c>
      <c r="D417" s="5">
        <v>15</v>
      </c>
      <c r="E417" s="5">
        <v>0</v>
      </c>
      <c r="F417" s="5">
        <v>7.4999999999999997E-2</v>
      </c>
      <c r="G417" s="12">
        <f>(C417*$U$4)/($U$5*$U$3)</f>
        <v>88.16326530612244</v>
      </c>
      <c r="H417" s="11">
        <f>G417*COS(RADIANS(D417))</f>
        <v>85.159174889158663</v>
      </c>
      <c r="I417" s="11">
        <f>G417*SIN(RADIANS(D417))</f>
        <v>22.818332139650806</v>
      </c>
      <c r="J417" s="12">
        <v>0.23230000000000001</v>
      </c>
      <c r="K417" s="12">
        <v>0</v>
      </c>
      <c r="L417" s="12">
        <f>-(F417*G417*$U$3)/J417</f>
        <v>-28.464248376922871</v>
      </c>
      <c r="M417" s="11">
        <f>ABS(L417/$U$6)</f>
        <v>8.2986146871495248E-2</v>
      </c>
      <c r="N417" s="12">
        <f>L417*SIN(RADIANS(K417))</f>
        <v>0</v>
      </c>
      <c r="O417" s="12">
        <f>L417*COS(RADIANS(K417))</f>
        <v>-28.464248376922871</v>
      </c>
      <c r="P417" s="5">
        <v>4.5097171664089535</v>
      </c>
      <c r="Q417" s="5">
        <v>0.834423060041942</v>
      </c>
      <c r="R417" s="6">
        <f>P417/Q417</f>
        <v>5.4045931642664264</v>
      </c>
    </row>
    <row r="418" spans="1:18" x14ac:dyDescent="0.35">
      <c r="A418" s="9">
        <v>417</v>
      </c>
      <c r="B418" s="5">
        <v>0.25</v>
      </c>
      <c r="C418" s="5">
        <v>4000000</v>
      </c>
      <c r="D418" s="5">
        <v>30</v>
      </c>
      <c r="E418" s="5">
        <v>0.25</v>
      </c>
      <c r="F418" s="5">
        <v>7.4999999999999997E-2</v>
      </c>
      <c r="G418" s="12">
        <f>(C418*$U$4)/($U$5*$U$3)</f>
        <v>58.775510204081627</v>
      </c>
      <c r="H418" s="11">
        <f>G418*COS(RADIANS(D418))</f>
        <v>50.901084957126187</v>
      </c>
      <c r="I418" s="11">
        <f>G418*SIN(RADIANS(D418))</f>
        <v>29.38775510204081</v>
      </c>
      <c r="J418" s="12">
        <v>0.1913</v>
      </c>
      <c r="K418" s="11">
        <v>67</v>
      </c>
      <c r="L418" s="12">
        <f>-(F418*G418*$U$3)/J418</f>
        <v>-23.043195323084799</v>
      </c>
      <c r="M418" s="11">
        <f>ABS(L418/$U$6)</f>
        <v>6.7181327472550428E-2</v>
      </c>
      <c r="N418" s="12">
        <f>L418*SIN(RADIANS(K418))</f>
        <v>-21.211373133952133</v>
      </c>
      <c r="O418" s="12">
        <f>L418*COS(RADIANS(K418))</f>
        <v>-9.0036937125876779</v>
      </c>
      <c r="P418" s="5">
        <v>2.4297596603847502</v>
      </c>
      <c r="Q418" s="5">
        <v>0.95874033921892587</v>
      </c>
      <c r="R418" s="6">
        <f>P418/Q418</f>
        <v>2.5343250523538479</v>
      </c>
    </row>
    <row r="419" spans="1:18" x14ac:dyDescent="0.35">
      <c r="A419" s="9">
        <v>418</v>
      </c>
      <c r="B419" s="5">
        <v>0.1</v>
      </c>
      <c r="C419" s="5">
        <v>2000000</v>
      </c>
      <c r="D419" s="5">
        <v>0</v>
      </c>
      <c r="E419" s="5">
        <v>0.125</v>
      </c>
      <c r="F419" s="5">
        <v>0.15</v>
      </c>
      <c r="G419" s="12">
        <f>(C419*$U$4)/($U$5*$U$3)</f>
        <v>29.387755102040813</v>
      </c>
      <c r="H419" s="11">
        <f>G419*COS(RADIANS(D419))</f>
        <v>29.387755102040813</v>
      </c>
      <c r="I419" s="11">
        <f>G419*SIN(RADIANS(D419))</f>
        <v>0</v>
      </c>
      <c r="J419" s="12">
        <v>0.1658</v>
      </c>
      <c r="K419" s="12">
        <v>69</v>
      </c>
      <c r="L419" s="12">
        <f>-(F419*G419*$U$3)/J419</f>
        <v>-26.587233204500134</v>
      </c>
      <c r="M419" s="11">
        <f>ABS(L419/$U$6)</f>
        <v>7.7513799430029548E-2</v>
      </c>
      <c r="N419" s="12">
        <f>L419*SIN(RADIANS(K419))</f>
        <v>-24.821320514437797</v>
      </c>
      <c r="O419" s="12">
        <f>L419*COS(RADIANS(K419))</f>
        <v>-9.5280122475794382</v>
      </c>
      <c r="P419" s="5">
        <v>1.4372999864795013</v>
      </c>
      <c r="Q419" s="5">
        <v>0.21434823561750313</v>
      </c>
      <c r="R419" s="6">
        <f>P419/Q419</f>
        <v>6.7054435150299652</v>
      </c>
    </row>
    <row r="420" spans="1:18" x14ac:dyDescent="0.35">
      <c r="A420" s="9">
        <v>419</v>
      </c>
      <c r="B420" s="5">
        <v>1</v>
      </c>
      <c r="C420" s="5">
        <v>2000000</v>
      </c>
      <c r="D420" s="5">
        <v>15</v>
      </c>
      <c r="E420" s="5">
        <v>0.125</v>
      </c>
      <c r="F420" s="5">
        <v>3.5000000000000003E-2</v>
      </c>
      <c r="G420" s="12">
        <f>(C420*$U$4)/($U$5*$U$3)</f>
        <v>29.387755102040813</v>
      </c>
      <c r="H420" s="11">
        <f>G420*COS(RADIANS(D420))</f>
        <v>28.386391629719554</v>
      </c>
      <c r="I420" s="11">
        <f>G420*SIN(RADIANS(D420))</f>
        <v>7.6061107132169354</v>
      </c>
      <c r="J420" s="11">
        <v>0.33379999999999999</v>
      </c>
      <c r="K420" s="12">
        <v>14</v>
      </c>
      <c r="L420" s="12">
        <f>-(F420*G420*$U$3)/J420</f>
        <v>-3.0814003252589233</v>
      </c>
      <c r="M420" s="11">
        <f>ABS(L420/$U$6)</f>
        <v>8.983674417664499E-3</v>
      </c>
      <c r="N420" s="12">
        <f>L420*SIN(RADIANS(K420))</f>
        <v>-0.74545820778807137</v>
      </c>
      <c r="O420" s="12">
        <f>L420*COS(RADIANS(K420))</f>
        <v>-2.9898695665441988</v>
      </c>
      <c r="P420" s="5">
        <v>4.3609521820265238</v>
      </c>
      <c r="Q420" s="5">
        <v>0.72716665386875623</v>
      </c>
      <c r="R420" s="6">
        <f>P420/Q420</f>
        <v>5.9971839451450109</v>
      </c>
    </row>
    <row r="421" spans="1:18" x14ac:dyDescent="0.35">
      <c r="A421" s="9">
        <v>420</v>
      </c>
      <c r="B421" s="5">
        <v>0.75</v>
      </c>
      <c r="C421" s="5">
        <v>4000000</v>
      </c>
      <c r="D421" s="5">
        <v>5</v>
      </c>
      <c r="E421" s="5">
        <v>0.125</v>
      </c>
      <c r="F421" s="5">
        <v>2.5000000000000001E-2</v>
      </c>
      <c r="G421" s="12">
        <f>(C421*$U$4)/($U$5*$U$3)</f>
        <v>58.775510204081627</v>
      </c>
      <c r="H421" s="11">
        <f>G421*COS(RADIANS(D421))</f>
        <v>58.551851642943404</v>
      </c>
      <c r="I421" s="11">
        <f>G421*SIN(RADIANS(D421))</f>
        <v>5.1226232472092956</v>
      </c>
      <c r="J421" s="12">
        <v>0.2802</v>
      </c>
      <c r="K421" s="12">
        <v>19</v>
      </c>
      <c r="L421" s="12">
        <f>-(F421*G421*$U$3)/J421</f>
        <v>-5.2440676484726643</v>
      </c>
      <c r="M421" s="11">
        <f>ABS(L421/$U$6)</f>
        <v>1.5288826963477156E-2</v>
      </c>
      <c r="N421" s="12">
        <f>L421*SIN(RADIANS(K421))</f>
        <v>-1.707301426161727</v>
      </c>
      <c r="O421" s="12">
        <f>L421*COS(RADIANS(K421))</f>
        <v>-4.9583633733303323</v>
      </c>
      <c r="P421" s="5">
        <v>4.1211902876265505</v>
      </c>
      <c r="Q421" s="5">
        <v>0.43300699424003514</v>
      </c>
      <c r="R421" s="6">
        <f>P421/Q421</f>
        <v>9.517606741802398</v>
      </c>
    </row>
    <row r="422" spans="1:18" x14ac:dyDescent="0.35">
      <c r="A422" s="9">
        <v>421</v>
      </c>
      <c r="B422" s="5">
        <v>0.5</v>
      </c>
      <c r="C422" s="5">
        <v>2000000</v>
      </c>
      <c r="D422" s="5">
        <v>10</v>
      </c>
      <c r="E422" s="5">
        <v>0.375</v>
      </c>
      <c r="F422" s="5">
        <v>1.4999999999999999E-2</v>
      </c>
      <c r="G422" s="12">
        <f>(C422*$U$4)/($U$5*$U$3)</f>
        <v>29.387755102040813</v>
      </c>
      <c r="H422" s="11">
        <f>G422*COS(RADIANS(D422))</f>
        <v>28.941289068113864</v>
      </c>
      <c r="I422" s="11">
        <f>G422*SIN(RADIANS(D422))</f>
        <v>5.1031301191914213</v>
      </c>
      <c r="J422" s="12">
        <v>0.24809999999999999</v>
      </c>
      <c r="K422" s="12">
        <v>67</v>
      </c>
      <c r="L422" s="12">
        <f>-(F422*G422*$U$3)/J422</f>
        <v>-1.7767687486118993</v>
      </c>
      <c r="M422" s="11">
        <f>ABS(L422/$U$6)</f>
        <v>5.1800838151950419E-3</v>
      </c>
      <c r="N422" s="12">
        <f>L422*SIN(RADIANS(K422))</f>
        <v>-1.6355242565598722</v>
      </c>
      <c r="O422" s="12">
        <f>L422*COS(RADIANS(K422))</f>
        <v>-0.69423885820960207</v>
      </c>
      <c r="P422" s="5">
        <v>3.2525345470882447</v>
      </c>
      <c r="Q422" s="5">
        <v>0.26035854781472689</v>
      </c>
      <c r="R422" s="6">
        <f>P422/Q422</f>
        <v>12.492520696508006</v>
      </c>
    </row>
    <row r="423" spans="1:18" x14ac:dyDescent="0.35">
      <c r="A423" s="9">
        <v>422</v>
      </c>
      <c r="B423" s="5">
        <v>0.5</v>
      </c>
      <c r="C423" s="5">
        <v>2000000</v>
      </c>
      <c r="D423" s="5">
        <v>30</v>
      </c>
      <c r="E423" s="5">
        <v>0.25</v>
      </c>
      <c r="F423" s="5">
        <v>0.1</v>
      </c>
      <c r="G423" s="12">
        <f>(C423*$U$4)/($U$5*$U$3)</f>
        <v>29.387755102040813</v>
      </c>
      <c r="H423" s="11">
        <f>G423*COS(RADIANS(D423))</f>
        <v>25.450542478563094</v>
      </c>
      <c r="I423" s="11">
        <f>G423*SIN(RADIANS(D423))</f>
        <v>14.693877551020405</v>
      </c>
      <c r="J423" s="11">
        <v>0.23580000000000001</v>
      </c>
      <c r="K423" s="11">
        <v>49</v>
      </c>
      <c r="L423" s="12">
        <f>-(F423*G423*$U$3)/J423</f>
        <v>-12.463000467362516</v>
      </c>
      <c r="M423" s="11">
        <f>ABS(L423/$U$6)</f>
        <v>3.6335278330502964E-2</v>
      </c>
      <c r="N423" s="12">
        <f>L423*SIN(RADIANS(K423))</f>
        <v>-9.405945851039375</v>
      </c>
      <c r="O423" s="12">
        <f>L423*COS(RADIANS(K423))</f>
        <v>-8.1764639849260909</v>
      </c>
      <c r="P423" s="5">
        <v>5.0182888334194047</v>
      </c>
      <c r="Q423" s="5">
        <v>1.39606911117452</v>
      </c>
      <c r="R423" s="6">
        <f>P423/Q423</f>
        <v>3.5945848190835572</v>
      </c>
    </row>
    <row r="424" spans="1:18" x14ac:dyDescent="0.35">
      <c r="A424" s="9">
        <v>423</v>
      </c>
      <c r="B424" s="5">
        <v>1</v>
      </c>
      <c r="C424" s="5">
        <v>2000000</v>
      </c>
      <c r="D424" s="5">
        <v>15</v>
      </c>
      <c r="E424" s="5">
        <v>0.375</v>
      </c>
      <c r="F424" s="5">
        <v>0.05</v>
      </c>
      <c r="G424" s="12">
        <f>(C424*$U$4)/($U$5*$U$3)</f>
        <v>29.387755102040813</v>
      </c>
      <c r="H424" s="11">
        <f>G424*COS(RADIANS(D424))</f>
        <v>28.386391629719554</v>
      </c>
      <c r="I424" s="11">
        <f>G424*SIN(RADIANS(D424))</f>
        <v>7.6061107132169354</v>
      </c>
      <c r="J424" s="12">
        <v>0.33379999999999999</v>
      </c>
      <c r="K424" s="11">
        <v>49</v>
      </c>
      <c r="L424" s="12">
        <f>-(F424*G424*$U$3)/J424</f>
        <v>-4.4020004646556048</v>
      </c>
      <c r="M424" s="11">
        <f>ABS(L424/$U$6)</f>
        <v>1.283382059666357E-2</v>
      </c>
      <c r="N424" s="12">
        <f>L424*SIN(RADIANS(K424))</f>
        <v>-3.3222319228206789</v>
      </c>
      <c r="O424" s="12">
        <f>L424*COS(RADIANS(K424))</f>
        <v>-2.8879721504577178</v>
      </c>
      <c r="P424" s="5">
        <v>5.2618372645448321</v>
      </c>
      <c r="Q424" s="5">
        <v>0.40879146898066016</v>
      </c>
      <c r="R424" s="6">
        <f>P424/Q424</f>
        <v>12.871690492136391</v>
      </c>
    </row>
    <row r="425" spans="1:18" x14ac:dyDescent="0.35">
      <c r="A425" s="9">
        <v>424</v>
      </c>
      <c r="B425" s="5">
        <v>0.5</v>
      </c>
      <c r="C425" s="5">
        <v>4000000</v>
      </c>
      <c r="D425" s="5">
        <v>15</v>
      </c>
      <c r="E425" s="5">
        <v>0</v>
      </c>
      <c r="F425" s="5">
        <v>7.4999999999999997E-2</v>
      </c>
      <c r="G425" s="12">
        <f>(C425*$U$4)/($U$5*$U$3)</f>
        <v>58.775510204081627</v>
      </c>
      <c r="H425" s="11">
        <f>G425*COS(RADIANS(D425))</f>
        <v>56.772783259439109</v>
      </c>
      <c r="I425" s="11">
        <f>G425*SIN(RADIANS(D425))</f>
        <v>15.212221426433871</v>
      </c>
      <c r="J425" s="12">
        <v>0.23230000000000001</v>
      </c>
      <c r="K425" s="12">
        <v>0</v>
      </c>
      <c r="L425" s="12">
        <f>-(F425*G425*$U$3)/J425</f>
        <v>-18.976165584615249</v>
      </c>
      <c r="M425" s="11">
        <f>ABS(L425/$U$6)</f>
        <v>5.532409791433017E-2</v>
      </c>
      <c r="N425" s="12">
        <f>L425*SIN(RADIANS(K425))</f>
        <v>0</v>
      </c>
      <c r="O425" s="12">
        <f>L425*COS(RADIANS(K425))</f>
        <v>-18.976165584615249</v>
      </c>
      <c r="P425" s="5">
        <v>4.4967827658433555</v>
      </c>
      <c r="Q425" s="5">
        <v>0.83032319806700439</v>
      </c>
      <c r="R425" s="6">
        <f>P425/Q425</f>
        <v>5.4157017126727078</v>
      </c>
    </row>
    <row r="426" spans="1:18" x14ac:dyDescent="0.35">
      <c r="A426" s="9">
        <v>1099</v>
      </c>
      <c r="B426" s="5">
        <v>0.5</v>
      </c>
      <c r="C426" s="5">
        <v>6000000</v>
      </c>
      <c r="D426" s="5">
        <v>15</v>
      </c>
      <c r="E426" s="5">
        <v>0.125</v>
      </c>
      <c r="F426" s="5">
        <v>0.15</v>
      </c>
      <c r="G426" s="12">
        <f>(C426*$U$4)/($U$5*$U$3)</f>
        <v>88.16326530612244</v>
      </c>
      <c r="H426" s="11">
        <f>G426*COS(RADIANS(D426))</f>
        <v>85.159174889158663</v>
      </c>
      <c r="I426" s="11">
        <f>G426*SIN(RADIANS(D426))</f>
        <v>22.818332139650806</v>
      </c>
      <c r="J426" s="12">
        <v>0.23300000000000001</v>
      </c>
      <c r="K426" s="20">
        <v>27</v>
      </c>
      <c r="L426" s="12">
        <f>-(F426*G426*$U$3)/J426</f>
        <v>-56.757466935271957</v>
      </c>
      <c r="M426" s="11">
        <f>ABS(L426/$U$6)</f>
        <v>0.16547366453432058</v>
      </c>
      <c r="N426" s="12">
        <f>L426*SIN(RADIANS(K426))</f>
        <v>-25.767350777894915</v>
      </c>
      <c r="O426" s="12">
        <f>L426*COS(RADIANS(K426))</f>
        <v>-50.571273335732883</v>
      </c>
      <c r="P426" s="5">
        <v>5.3749760780914695</v>
      </c>
      <c r="Q426" s="5">
        <v>0.64518261422490364</v>
      </c>
      <c r="R426" s="6">
        <f>P426/Q426</f>
        <v>8.3309375664884406</v>
      </c>
    </row>
    <row r="427" spans="1:18" x14ac:dyDescent="0.35">
      <c r="A427" s="9">
        <v>426</v>
      </c>
      <c r="B427" s="5">
        <v>0.1</v>
      </c>
      <c r="C427" s="5">
        <v>4000000</v>
      </c>
      <c r="D427" s="5">
        <v>5</v>
      </c>
      <c r="E427" s="5">
        <v>0.25</v>
      </c>
      <c r="F427" s="5">
        <v>2.5000000000000001E-2</v>
      </c>
      <c r="G427" s="12">
        <f>(C427*$U$4)/($U$5*$U$3)</f>
        <v>58.775510204081627</v>
      </c>
      <c r="H427" s="11">
        <f>G427*COS(RADIANS(D427))</f>
        <v>58.551851642943404</v>
      </c>
      <c r="I427" s="11">
        <f>G427*SIN(RADIANS(D427))</f>
        <v>5.1226232472092956</v>
      </c>
      <c r="J427" s="11">
        <v>0.1661</v>
      </c>
      <c r="K427" s="12">
        <v>80</v>
      </c>
      <c r="L427" s="12">
        <f>-(F427*G427*$U$3)/J427</f>
        <v>-8.8464043052500951</v>
      </c>
      <c r="M427" s="11">
        <f>ABS(L427/$U$6)</f>
        <v>2.5791266196064418E-2</v>
      </c>
      <c r="N427" s="12">
        <f>L427*SIN(RADIANS(K427))</f>
        <v>-8.7120075460908701</v>
      </c>
      <c r="O427" s="12">
        <f>L427*COS(RADIANS(K427))</f>
        <v>-1.5361619865115665</v>
      </c>
      <c r="P427" s="5">
        <v>1.5536288215145584</v>
      </c>
      <c r="Q427" s="5">
        <v>0.34487723549665444</v>
      </c>
      <c r="R427" s="6">
        <f>P427/Q427</f>
        <v>4.5048749572502</v>
      </c>
    </row>
    <row r="428" spans="1:18" x14ac:dyDescent="0.35">
      <c r="A428" s="9">
        <v>427</v>
      </c>
      <c r="B428" s="5">
        <v>1</v>
      </c>
      <c r="C428" s="5">
        <v>4000000</v>
      </c>
      <c r="D428" s="5">
        <v>20</v>
      </c>
      <c r="E428" s="5">
        <v>0</v>
      </c>
      <c r="F428" s="5">
        <v>3.5000000000000003E-2</v>
      </c>
      <c r="G428" s="12">
        <f>(C428*$U$4)/($U$5*$U$3)</f>
        <v>58.775510204081627</v>
      </c>
      <c r="H428" s="11">
        <f>G428*COS(RADIANS(D428))</f>
        <v>55.230913221702366</v>
      </c>
      <c r="I428" s="11">
        <f>G428*SIN(RADIANS(D428))</f>
        <v>20.102408424039304</v>
      </c>
      <c r="J428" s="11">
        <v>0.33379999999999999</v>
      </c>
      <c r="K428" s="12">
        <v>0</v>
      </c>
      <c r="L428" s="12">
        <f>-(F428*G428*$U$3)/J428</f>
        <v>-6.1628006505178465</v>
      </c>
      <c r="M428" s="11">
        <f>ABS(L428/$U$6)</f>
        <v>1.7967348835328998E-2</v>
      </c>
      <c r="N428" s="12">
        <f>L428*SIN(RADIANS(K428))</f>
        <v>0</v>
      </c>
      <c r="O428" s="12">
        <f>L428*COS(RADIANS(K428))</f>
        <v>-6.1628006505178465</v>
      </c>
      <c r="P428" s="5">
        <v>0.31326909439980205</v>
      </c>
      <c r="Q428" s="5">
        <v>2.1566596398669979</v>
      </c>
      <c r="R428" s="6">
        <f>P428/Q428</f>
        <v>0.14525662214327037</v>
      </c>
    </row>
    <row r="429" spans="1:18" x14ac:dyDescent="0.35">
      <c r="A429" s="9">
        <v>428</v>
      </c>
      <c r="B429" s="5">
        <v>0.1</v>
      </c>
      <c r="C429" s="5">
        <v>2000000</v>
      </c>
      <c r="D429" s="5">
        <v>0</v>
      </c>
      <c r="E429" s="5">
        <v>0.25</v>
      </c>
      <c r="F429" s="5">
        <v>7.4999999999999997E-2</v>
      </c>
      <c r="G429" s="12">
        <f>(C429*$U$4)/($U$5*$U$3)</f>
        <v>29.387755102040813</v>
      </c>
      <c r="H429" s="11">
        <f>G429*COS(RADIANS(D429))</f>
        <v>29.387755102040813</v>
      </c>
      <c r="I429" s="11">
        <f>G429*SIN(RADIANS(D429))</f>
        <v>0</v>
      </c>
      <c r="J429" s="11">
        <v>0.1661</v>
      </c>
      <c r="K429" s="12">
        <v>80</v>
      </c>
      <c r="L429" s="12">
        <f>-(F429*G429*$U$3)/J429</f>
        <v>-13.269606457875142</v>
      </c>
      <c r="M429" s="11">
        <f>ABS(L429/$U$6)</f>
        <v>3.8686899294096626E-2</v>
      </c>
      <c r="N429" s="12">
        <f>L429*SIN(RADIANS(K429))</f>
        <v>-13.068011319136303</v>
      </c>
      <c r="O429" s="12">
        <f>L429*COS(RADIANS(K429))</f>
        <v>-2.3042429797673498</v>
      </c>
      <c r="P429" s="5">
        <v>1.526642545039181</v>
      </c>
      <c r="Q429" s="5">
        <v>0.21867902208710582</v>
      </c>
      <c r="R429" s="6">
        <f>P429/Q429</f>
        <v>6.9812025427435724</v>
      </c>
    </row>
    <row r="430" spans="1:18" x14ac:dyDescent="0.35">
      <c r="A430" s="9">
        <v>429</v>
      </c>
      <c r="B430" s="5">
        <v>0.1</v>
      </c>
      <c r="C430" s="5">
        <v>4000000</v>
      </c>
      <c r="D430" s="5">
        <v>5</v>
      </c>
      <c r="E430" s="5">
        <v>0.125</v>
      </c>
      <c r="F430" s="5">
        <v>7.4999999999999997E-2</v>
      </c>
      <c r="G430" s="12">
        <f>(C430*$U$4)/($U$5*$U$3)</f>
        <v>58.775510204081627</v>
      </c>
      <c r="H430" s="11">
        <f>G430*COS(RADIANS(D430))</f>
        <v>58.551851642943404</v>
      </c>
      <c r="I430" s="11">
        <f>G430*SIN(RADIANS(D430))</f>
        <v>5.1226232472092956</v>
      </c>
      <c r="J430" s="12">
        <v>0.1658</v>
      </c>
      <c r="K430" s="12">
        <v>69</v>
      </c>
      <c r="L430" s="12">
        <f>-(F430*G430*$U$3)/J430</f>
        <v>-26.587233204500134</v>
      </c>
      <c r="M430" s="11">
        <f>ABS(L430/$U$6)</f>
        <v>7.7513799430029548E-2</v>
      </c>
      <c r="N430" s="12">
        <f>L430*SIN(RADIANS(K430))</f>
        <v>-24.821320514437797</v>
      </c>
      <c r="O430" s="12">
        <f>L430*COS(RADIANS(K430))</f>
        <v>-9.5280122475794382</v>
      </c>
      <c r="P430" s="5">
        <v>1.6900037707190674</v>
      </c>
      <c r="Q430" s="5">
        <v>0.3323392907866296</v>
      </c>
      <c r="R430" s="6">
        <f>P430/Q430</f>
        <v>5.0851759559302101</v>
      </c>
    </row>
    <row r="431" spans="1:18" x14ac:dyDescent="0.35">
      <c r="A431" s="9">
        <v>430</v>
      </c>
      <c r="B431" s="5">
        <v>0.5</v>
      </c>
      <c r="C431" s="5">
        <v>6000000</v>
      </c>
      <c r="D431" s="5">
        <v>5</v>
      </c>
      <c r="E431" s="5">
        <v>0.125</v>
      </c>
      <c r="F431" s="5">
        <v>3.5000000000000003E-2</v>
      </c>
      <c r="G431" s="12">
        <f>(C431*$U$4)/($U$5*$U$3)</f>
        <v>88.16326530612244</v>
      </c>
      <c r="H431" s="11">
        <f>G431*COS(RADIANS(D431))</f>
        <v>87.827777464415107</v>
      </c>
      <c r="I431" s="11">
        <f>G431*SIN(RADIANS(D431))</f>
        <v>7.6839348708139434</v>
      </c>
      <c r="J431" s="12">
        <v>0.23300000000000001</v>
      </c>
      <c r="K431" s="11">
        <v>27</v>
      </c>
      <c r="L431" s="12">
        <f>-(F431*G431*$U$3)/J431</f>
        <v>-13.243408951563458</v>
      </c>
      <c r="M431" s="11">
        <f>ABS(L431/$U$6)</f>
        <v>3.8610521724674801E-2</v>
      </c>
      <c r="N431" s="12">
        <f>L431*SIN(RADIANS(K431))</f>
        <v>-6.0123818481754814</v>
      </c>
      <c r="O431" s="12">
        <f>L431*COS(RADIANS(K431))</f>
        <v>-11.799963778337673</v>
      </c>
      <c r="P431" s="5">
        <v>4.1450844703760135</v>
      </c>
      <c r="Q431" s="5">
        <v>0.33578609449418373</v>
      </c>
      <c r="R431" s="6">
        <f>P431/Q431</f>
        <v>12.344419671755681</v>
      </c>
    </row>
    <row r="432" spans="1:18" x14ac:dyDescent="0.35">
      <c r="A432" s="9">
        <v>1103</v>
      </c>
      <c r="B432" s="5">
        <v>0.5</v>
      </c>
      <c r="C432" s="5">
        <v>6000000</v>
      </c>
      <c r="D432" s="5">
        <v>5</v>
      </c>
      <c r="E432" s="5">
        <v>0.125</v>
      </c>
      <c r="F432" s="5">
        <v>0.15</v>
      </c>
      <c r="G432" s="12">
        <f>(C432*$U$4)/($U$5*$U$3)</f>
        <v>88.16326530612244</v>
      </c>
      <c r="H432" s="11">
        <f>G432*COS(RADIANS(D432))</f>
        <v>87.827777464415107</v>
      </c>
      <c r="I432" s="11">
        <f>G432*SIN(RADIANS(D432))</f>
        <v>7.6839348708139434</v>
      </c>
      <c r="J432" s="19">
        <v>0.23300000000000001</v>
      </c>
      <c r="K432" s="20">
        <v>27</v>
      </c>
      <c r="L432" s="12">
        <f>-(F432*G432*$U$3)/J432</f>
        <v>-56.757466935271957</v>
      </c>
      <c r="M432" s="11">
        <f>ABS(L432/$U$6)</f>
        <v>0.16547366453432058</v>
      </c>
      <c r="N432" s="12">
        <f>L432*SIN(RADIANS(K432))</f>
        <v>-25.767350777894915</v>
      </c>
      <c r="O432" s="12">
        <f>L432*COS(RADIANS(K432))</f>
        <v>-50.571273335732883</v>
      </c>
      <c r="P432" s="5">
        <v>5.3779827412682506</v>
      </c>
      <c r="Q432" s="5">
        <v>4.0728942953357793E-2</v>
      </c>
      <c r="R432" s="6">
        <f>P432/Q432</f>
        <v>132.04326828287785</v>
      </c>
    </row>
    <row r="433" spans="1:18" x14ac:dyDescent="0.35">
      <c r="A433" s="9">
        <v>432</v>
      </c>
      <c r="B433" s="5">
        <v>0.75</v>
      </c>
      <c r="C433" s="5">
        <v>2000000</v>
      </c>
      <c r="D433" s="5">
        <v>15</v>
      </c>
      <c r="E433" s="5">
        <v>0.125</v>
      </c>
      <c r="F433" s="5">
        <v>2.5000000000000001E-2</v>
      </c>
      <c r="G433" s="12">
        <f>(C433*$U$4)/($U$5*$U$3)</f>
        <v>29.387755102040813</v>
      </c>
      <c r="H433" s="11">
        <f>G433*COS(RADIANS(D433))</f>
        <v>28.386391629719554</v>
      </c>
      <c r="I433" s="11">
        <f>G433*SIN(RADIANS(D433))</f>
        <v>7.6061107132169354</v>
      </c>
      <c r="J433" s="12">
        <v>0.2802</v>
      </c>
      <c r="K433" s="12">
        <v>19</v>
      </c>
      <c r="L433" s="12">
        <f>-(F433*G433*$U$3)/J433</f>
        <v>-2.6220338242363321</v>
      </c>
      <c r="M433" s="11">
        <f>ABS(L433/$U$6)</f>
        <v>7.6444134817385779E-3</v>
      </c>
      <c r="N433" s="12">
        <f>L433*SIN(RADIANS(K433))</f>
        <v>-0.85365071308086349</v>
      </c>
      <c r="O433" s="12">
        <f>L433*COS(RADIANS(K433))</f>
        <v>-2.4791816866651661</v>
      </c>
      <c r="P433" s="5">
        <v>4.0162803261979034</v>
      </c>
      <c r="Q433" s="5">
        <v>0.82238508939386812</v>
      </c>
      <c r="R433" s="6">
        <f>P433/Q433</f>
        <v>4.8836978904348429</v>
      </c>
    </row>
    <row r="434" spans="1:18" x14ac:dyDescent="0.35">
      <c r="A434" s="9">
        <v>433</v>
      </c>
      <c r="B434" s="5">
        <v>1</v>
      </c>
      <c r="C434" s="5">
        <v>4000000</v>
      </c>
      <c r="D434" s="5">
        <v>20</v>
      </c>
      <c r="E434" s="5">
        <v>0.375</v>
      </c>
      <c r="F434" s="5">
        <v>0.15</v>
      </c>
      <c r="G434" s="12">
        <f>(C434*$U$4)/($U$5*$U$3)</f>
        <v>58.775510204081627</v>
      </c>
      <c r="H434" s="11">
        <f>G434*COS(RADIANS(D434))</f>
        <v>55.230913221702366</v>
      </c>
      <c r="I434" s="11">
        <f>G434*SIN(RADIANS(D434))</f>
        <v>20.102408424039304</v>
      </c>
      <c r="J434" s="12">
        <v>0.33379999999999999</v>
      </c>
      <c r="K434" s="11">
        <v>49</v>
      </c>
      <c r="L434" s="12">
        <f>-(F434*G434*$U$3)/J434</f>
        <v>-26.412002787933627</v>
      </c>
      <c r="M434" s="11">
        <f>ABS(L434/$U$6)</f>
        <v>7.7002923579981425E-2</v>
      </c>
      <c r="N434" s="12">
        <f>L434*SIN(RADIANS(K434))</f>
        <v>-19.933391536924074</v>
      </c>
      <c r="O434" s="12">
        <f>L434*COS(RADIANS(K434))</f>
        <v>-17.327832902746305</v>
      </c>
      <c r="P434" s="5">
        <v>8.6402579641216377</v>
      </c>
      <c r="Q434" s="5">
        <v>0.69900407110157514</v>
      </c>
      <c r="R434" s="6">
        <f>P434/Q434</f>
        <v>12.36081207725339</v>
      </c>
    </row>
    <row r="435" spans="1:18" x14ac:dyDescent="0.35">
      <c r="A435" s="9">
        <v>434</v>
      </c>
      <c r="B435" s="5">
        <v>0.75</v>
      </c>
      <c r="C435" s="5">
        <v>4000000</v>
      </c>
      <c r="D435" s="5">
        <v>15</v>
      </c>
      <c r="E435" s="5">
        <v>0.25</v>
      </c>
      <c r="F435" s="5">
        <v>2.5000000000000001E-2</v>
      </c>
      <c r="G435" s="12">
        <f>(C435*$U$4)/($U$5*$U$3)</f>
        <v>58.775510204081627</v>
      </c>
      <c r="H435" s="11">
        <f>G435*COS(RADIANS(D435))</f>
        <v>56.772783259439109</v>
      </c>
      <c r="I435" s="11">
        <f>G435*SIN(RADIANS(D435))</f>
        <v>15.212221426433871</v>
      </c>
      <c r="J435" s="12">
        <v>0.28370000000000001</v>
      </c>
      <c r="K435" s="11">
        <v>38</v>
      </c>
      <c r="L435" s="12">
        <f>-(F435*G435*$U$3)/J435</f>
        <v>-5.179371713436872</v>
      </c>
      <c r="M435" s="11">
        <f>ABS(L435/$U$6)</f>
        <v>1.5100209077075429E-2</v>
      </c>
      <c r="N435" s="12">
        <f>L435*SIN(RADIANS(K435))</f>
        <v>-3.1887396303545272</v>
      </c>
      <c r="O435" s="12">
        <f>L435*COS(RADIANS(K435))</f>
        <v>-4.0814006071147277</v>
      </c>
      <c r="P435" s="5">
        <v>4.2917176304506333</v>
      </c>
      <c r="Q435" s="5">
        <v>0.55476113788362302</v>
      </c>
      <c r="R435" s="6">
        <f>P435/Q435</f>
        <v>7.7361540623109466</v>
      </c>
    </row>
    <row r="436" spans="1:18" x14ac:dyDescent="0.35">
      <c r="A436" s="9">
        <v>435</v>
      </c>
      <c r="B436" s="5">
        <v>0.25</v>
      </c>
      <c r="C436" s="5">
        <v>6000000</v>
      </c>
      <c r="D436" s="5">
        <v>15</v>
      </c>
      <c r="E436" s="5">
        <v>0.375</v>
      </c>
      <c r="F436" s="5">
        <v>0</v>
      </c>
      <c r="G436" s="12">
        <f>(C436*$U$4)/($U$5*$U$3)</f>
        <v>88.16326530612244</v>
      </c>
      <c r="H436" s="11">
        <f>G436*COS(RADIANS(D436))</f>
        <v>85.159174889158663</v>
      </c>
      <c r="I436" s="11">
        <f>G436*SIN(RADIANS(D436))</f>
        <v>22.818332139650806</v>
      </c>
      <c r="J436" s="11">
        <v>0.1976</v>
      </c>
      <c r="K436" s="12">
        <v>78</v>
      </c>
      <c r="L436" s="12">
        <f>-(F436*G436*$U$3)/J436</f>
        <v>0</v>
      </c>
      <c r="M436" s="11">
        <f>ABS(L436/$U$6)</f>
        <v>0</v>
      </c>
      <c r="N436" s="12">
        <f>L436*SIN(RADIANS(K436))</f>
        <v>0</v>
      </c>
      <c r="O436" s="12">
        <f>L436*COS(RADIANS(K436))</f>
        <v>0</v>
      </c>
      <c r="P436" s="5">
        <v>2.8155133015139779</v>
      </c>
      <c r="Q436" s="5">
        <v>0.8388968935095682</v>
      </c>
      <c r="R436" s="6">
        <f>P436/Q436</f>
        <v>3.3562089969544808</v>
      </c>
    </row>
    <row r="437" spans="1:18" x14ac:dyDescent="0.35">
      <c r="A437" s="9">
        <v>163</v>
      </c>
      <c r="B437" s="5">
        <v>0.5</v>
      </c>
      <c r="C437" s="5">
        <v>6000000</v>
      </c>
      <c r="D437" s="5">
        <v>5</v>
      </c>
      <c r="E437" s="5">
        <v>0.25</v>
      </c>
      <c r="F437" s="5">
        <v>0.15</v>
      </c>
      <c r="G437" s="12">
        <f>(C437*$U$4)/($U$5*$U$3)</f>
        <v>88.16326530612244</v>
      </c>
      <c r="H437" s="11">
        <f>G437*COS(RADIANS(D437))</f>
        <v>87.827777464415107</v>
      </c>
      <c r="I437" s="11">
        <f>G437*SIN(RADIANS(D437))</f>
        <v>7.6839348708139434</v>
      </c>
      <c r="J437" s="11">
        <v>0.23580000000000001</v>
      </c>
      <c r="K437" s="20">
        <v>49</v>
      </c>
      <c r="L437" s="12">
        <f>-(F437*G437*$U$3)/J437</f>
        <v>-56.083502103131323</v>
      </c>
      <c r="M437" s="11">
        <f>ABS(L437/$U$6)</f>
        <v>0.16350875248726332</v>
      </c>
      <c r="N437" s="12">
        <f>L437*SIN(RADIANS(K437))</f>
        <v>-42.326756329677195</v>
      </c>
      <c r="O437" s="12">
        <f>L437*COS(RADIANS(K437))</f>
        <v>-36.794087932167407</v>
      </c>
      <c r="P437" s="5">
        <v>5.8866842248253466</v>
      </c>
      <c r="Q437" s="5">
        <v>-0.13051339925567024</v>
      </c>
      <c r="R437" s="6">
        <f>P437/Q437</f>
        <v>-45.104060260460926</v>
      </c>
    </row>
    <row r="438" spans="1:18" x14ac:dyDescent="0.35">
      <c r="A438" s="9">
        <v>556</v>
      </c>
      <c r="B438" s="5">
        <v>0.5</v>
      </c>
      <c r="C438" s="5">
        <v>6000000</v>
      </c>
      <c r="D438" s="5">
        <v>15</v>
      </c>
      <c r="E438" s="5">
        <v>0.25</v>
      </c>
      <c r="F438" s="5">
        <v>0.15</v>
      </c>
      <c r="G438" s="12">
        <f>(C438*$U$4)/($U$5*$U$3)</f>
        <v>88.16326530612244</v>
      </c>
      <c r="H438" s="11">
        <f>G438*COS(RADIANS(D438))</f>
        <v>85.159174889158663</v>
      </c>
      <c r="I438" s="11">
        <f>G438*SIN(RADIANS(D438))</f>
        <v>22.818332139650806</v>
      </c>
      <c r="J438" s="20">
        <v>0.23580000000000001</v>
      </c>
      <c r="K438" s="11">
        <v>49</v>
      </c>
      <c r="L438" s="12">
        <f>-(F438*G438*$U$3)/J438</f>
        <v>-56.083502103131323</v>
      </c>
      <c r="M438" s="11">
        <f>ABS(L438/$U$6)</f>
        <v>0.16350875248726332</v>
      </c>
      <c r="N438" s="12">
        <f>L438*SIN(RADIANS(K438))</f>
        <v>-42.326756329677195</v>
      </c>
      <c r="O438" s="12">
        <f>L438*COS(RADIANS(K438))</f>
        <v>-36.794087932167407</v>
      </c>
      <c r="P438" s="5">
        <v>5.8487908379637341</v>
      </c>
      <c r="Q438" s="5">
        <v>0.55907086364780512</v>
      </c>
      <c r="R438" s="6">
        <f>P438/Q438</f>
        <v>10.46162699268883</v>
      </c>
    </row>
    <row r="439" spans="1:18" x14ac:dyDescent="0.35">
      <c r="A439" s="9">
        <v>438</v>
      </c>
      <c r="B439" s="5">
        <v>0.25</v>
      </c>
      <c r="C439" s="5">
        <v>4000000</v>
      </c>
      <c r="D439" s="5">
        <v>0</v>
      </c>
      <c r="E439" s="5">
        <v>0.25</v>
      </c>
      <c r="F439" s="5">
        <v>0.05</v>
      </c>
      <c r="G439" s="12">
        <f>(C439*$U$4)/($U$5*$U$3)</f>
        <v>58.775510204081627</v>
      </c>
      <c r="H439" s="11">
        <f>G439*COS(RADIANS(D439))</f>
        <v>58.775510204081627</v>
      </c>
      <c r="I439" s="11">
        <f>G439*SIN(RADIANS(D439))</f>
        <v>0</v>
      </c>
      <c r="J439" s="12">
        <v>0.1913</v>
      </c>
      <c r="K439" s="11">
        <v>67</v>
      </c>
      <c r="L439" s="12">
        <f>-(F439*G439*$U$3)/J439</f>
        <v>-15.362130215389866</v>
      </c>
      <c r="M439" s="11">
        <f>ABS(L439/$U$6)</f>
        <v>4.4787551648366959E-2</v>
      </c>
      <c r="N439" s="12">
        <f>L439*SIN(RADIANS(K439))</f>
        <v>-14.140915422634755</v>
      </c>
      <c r="O439" s="12">
        <f>L439*COS(RADIANS(K439))</f>
        <v>-6.0024624750584517</v>
      </c>
      <c r="P439" s="5">
        <v>1.9932216579122191</v>
      </c>
      <c r="Q439" s="5">
        <v>0.13144338517151499</v>
      </c>
      <c r="R439" s="6">
        <f>P439/Q439</f>
        <v>15.164107766331087</v>
      </c>
    </row>
    <row r="440" spans="1:18" x14ac:dyDescent="0.35">
      <c r="A440" s="9">
        <v>439</v>
      </c>
      <c r="B440" s="5">
        <v>0.1</v>
      </c>
      <c r="C440" s="5">
        <v>2000000</v>
      </c>
      <c r="D440" s="5">
        <v>15</v>
      </c>
      <c r="E440" s="5">
        <v>0.375</v>
      </c>
      <c r="F440" s="5">
        <v>0.1</v>
      </c>
      <c r="G440" s="12">
        <f>(C440*$U$4)/($U$5*$U$3)</f>
        <v>29.387755102040813</v>
      </c>
      <c r="H440" s="11">
        <f>G440*COS(RADIANS(D440))</f>
        <v>28.386391629719554</v>
      </c>
      <c r="I440" s="11">
        <f>G440*SIN(RADIANS(D440))</f>
        <v>7.6061107132169354</v>
      </c>
      <c r="J440" s="12">
        <v>0.16789999999999999</v>
      </c>
      <c r="K440" s="11">
        <v>85</v>
      </c>
      <c r="L440" s="12">
        <f>-(F440*G440*$U$3)/J440</f>
        <v>-17.503129899964751</v>
      </c>
      <c r="M440" s="11">
        <f>ABS(L440/$U$6)</f>
        <v>5.1029533236048835E-2</v>
      </c>
      <c r="N440" s="12">
        <f>L440*SIN(RADIANS(K440))</f>
        <v>-17.436525206355988</v>
      </c>
      <c r="O440" s="12">
        <f>L440*COS(RADIANS(K440))</f>
        <v>-1.5254982868401712</v>
      </c>
      <c r="P440" s="5">
        <v>2.0517853438280182</v>
      </c>
      <c r="Q440" s="5">
        <v>0.71870163612683535</v>
      </c>
      <c r="R440" s="6">
        <f>P440/Q440</f>
        <v>2.8548499692936868</v>
      </c>
    </row>
    <row r="441" spans="1:18" x14ac:dyDescent="0.35">
      <c r="A441" s="9">
        <v>440</v>
      </c>
      <c r="B441" s="5">
        <v>1</v>
      </c>
      <c r="C441" s="5">
        <v>2000000</v>
      </c>
      <c r="D441" s="5">
        <v>20</v>
      </c>
      <c r="E441" s="5">
        <v>0</v>
      </c>
      <c r="F441" s="5">
        <v>7.4999999999999997E-2</v>
      </c>
      <c r="G441" s="12">
        <f>(C441*$U$4)/($U$5*$U$3)</f>
        <v>29.387755102040813</v>
      </c>
      <c r="H441" s="11">
        <f>G441*COS(RADIANS(D441))</f>
        <v>27.615456610851183</v>
      </c>
      <c r="I441" s="11">
        <f>G441*SIN(RADIANS(D441))</f>
        <v>10.051204212019652</v>
      </c>
      <c r="J441" s="11">
        <v>0.33379999999999999</v>
      </c>
      <c r="K441" s="12">
        <v>0</v>
      </c>
      <c r="L441" s="12">
        <f>-(F441*G441*$U$3)/J441</f>
        <v>-6.6030006969834067</v>
      </c>
      <c r="M441" s="11">
        <f>ABS(L441/$U$6)</f>
        <v>1.9250730894995356E-2</v>
      </c>
      <c r="N441" s="12">
        <f>L441*SIN(RADIANS(K441))</f>
        <v>0</v>
      </c>
      <c r="O441" s="12">
        <f>L441*COS(RADIANS(K441))</f>
        <v>-6.6030006969834067</v>
      </c>
      <c r="P441" s="5">
        <v>5.2130386718348731</v>
      </c>
      <c r="Q441" s="5">
        <v>1.5187119846308585</v>
      </c>
      <c r="R441" s="6">
        <f>P441/Q441</f>
        <v>3.4325393653240748</v>
      </c>
    </row>
    <row r="442" spans="1:18" x14ac:dyDescent="0.35">
      <c r="A442" s="9">
        <v>441</v>
      </c>
      <c r="B442" s="5">
        <v>1</v>
      </c>
      <c r="C442" s="5">
        <v>2000000</v>
      </c>
      <c r="D442" s="5">
        <v>0</v>
      </c>
      <c r="E442" s="5">
        <v>0</v>
      </c>
      <c r="F442" s="5">
        <v>0.05</v>
      </c>
      <c r="G442" s="12">
        <f>(C442*$U$4)/($U$5*$U$3)</f>
        <v>29.387755102040813</v>
      </c>
      <c r="H442" s="11">
        <f>G442*COS(RADIANS(D442))</f>
        <v>29.387755102040813</v>
      </c>
      <c r="I442" s="11">
        <f>G442*SIN(RADIANS(D442))</f>
        <v>0</v>
      </c>
      <c r="J442" s="11">
        <v>0.33379999999999999</v>
      </c>
      <c r="K442" s="12">
        <v>0</v>
      </c>
      <c r="L442" s="12">
        <f>-(F442*G442*$U$3)/J442</f>
        <v>-4.4020004646556048</v>
      </c>
      <c r="M442" s="11">
        <f>ABS(L442/$U$6)</f>
        <v>1.283382059666357E-2</v>
      </c>
      <c r="N442" s="12">
        <f>L442*SIN(RADIANS(K442))</f>
        <v>0</v>
      </c>
      <c r="O442" s="12">
        <f>L442*COS(RADIANS(K442))</f>
        <v>-4.4020004646556048</v>
      </c>
      <c r="P442" s="5">
        <v>2.9659310062913424</v>
      </c>
      <c r="Q442" s="5">
        <v>1.2162027087067242</v>
      </c>
      <c r="R442" s="6">
        <f>P442/Q442</f>
        <v>2.4386814673725157</v>
      </c>
    </row>
    <row r="443" spans="1:18" x14ac:dyDescent="0.35">
      <c r="A443" s="9">
        <v>442</v>
      </c>
      <c r="B443" s="5">
        <v>0.75</v>
      </c>
      <c r="C443" s="5">
        <v>4000000</v>
      </c>
      <c r="D443" s="5">
        <v>30</v>
      </c>
      <c r="E443" s="5">
        <v>0</v>
      </c>
      <c r="F443" s="5">
        <v>0.1</v>
      </c>
      <c r="G443" s="12">
        <f>(C443*$U$4)/($U$5*$U$3)</f>
        <v>58.775510204081627</v>
      </c>
      <c r="H443" s="11">
        <f>G443*COS(RADIANS(D443))</f>
        <v>50.901084957126187</v>
      </c>
      <c r="I443" s="11">
        <f>G443*SIN(RADIANS(D443))</f>
        <v>29.38775510204081</v>
      </c>
      <c r="J443" s="11">
        <v>0.27929999999999999</v>
      </c>
      <c r="K443" s="12">
        <v>0</v>
      </c>
      <c r="L443" s="12">
        <f>-(F443*G443*$U$3)/J443</f>
        <v>-21.043863302571296</v>
      </c>
      <c r="M443" s="11">
        <f>ABS(L443/$U$6)</f>
        <v>6.135237114452273E-2</v>
      </c>
      <c r="N443" s="12">
        <f>L443*SIN(RADIANS(K443))</f>
        <v>0</v>
      </c>
      <c r="O443" s="12">
        <f>L443*COS(RADIANS(K443))</f>
        <v>-21.043863302571296</v>
      </c>
      <c r="P443" s="5">
        <v>2.842634033268407</v>
      </c>
      <c r="Q443" s="5">
        <v>1.2929342884404689</v>
      </c>
      <c r="R443" s="6">
        <f>P443/Q443</f>
        <v>2.1985912653744983</v>
      </c>
    </row>
    <row r="444" spans="1:18" x14ac:dyDescent="0.35">
      <c r="A444" s="9">
        <v>443</v>
      </c>
      <c r="B444" s="5">
        <v>1</v>
      </c>
      <c r="C444" s="5">
        <v>6000000</v>
      </c>
      <c r="D444" s="5">
        <v>20</v>
      </c>
      <c r="E444" s="5">
        <v>0.125</v>
      </c>
      <c r="F444" s="5">
        <v>0</v>
      </c>
      <c r="G444" s="12">
        <f>(C444*$U$4)/($U$5*$U$3)</f>
        <v>88.16326530612244</v>
      </c>
      <c r="H444" s="11">
        <f>G444*COS(RADIANS(D444))</f>
        <v>82.846369832553549</v>
      </c>
      <c r="I444" s="11">
        <f>G444*SIN(RADIANS(D444))</f>
        <v>30.153612636058952</v>
      </c>
      <c r="J444" s="11">
        <v>0.33379999999999999</v>
      </c>
      <c r="K444" s="12">
        <v>14</v>
      </c>
      <c r="L444" s="12">
        <f>-(F444*G444*$U$3)/J444</f>
        <v>0</v>
      </c>
      <c r="M444" s="11">
        <f>ABS(L444/$U$6)</f>
        <v>0</v>
      </c>
      <c r="N444" s="12">
        <f>L444*SIN(RADIANS(K444))</f>
        <v>0</v>
      </c>
      <c r="O444" s="12">
        <f>L444*COS(RADIANS(K444))</f>
        <v>0</v>
      </c>
      <c r="P444" s="5">
        <v>5.728430726947499</v>
      </c>
      <c r="Q444" s="5">
        <v>2.5156408038814666</v>
      </c>
      <c r="R444" s="6">
        <f>P444/Q444</f>
        <v>2.277125859188208</v>
      </c>
    </row>
    <row r="445" spans="1:18" x14ac:dyDescent="0.35">
      <c r="A445" s="9">
        <v>444</v>
      </c>
      <c r="B445" s="5">
        <v>1</v>
      </c>
      <c r="C445" s="5">
        <v>6000000</v>
      </c>
      <c r="D445" s="5">
        <v>30</v>
      </c>
      <c r="E445" s="5">
        <v>0</v>
      </c>
      <c r="F445" s="5">
        <v>1.4999999999999999E-2</v>
      </c>
      <c r="G445" s="12">
        <f>(C445*$U$4)/($U$5*$U$3)</f>
        <v>88.16326530612244</v>
      </c>
      <c r="H445" s="11">
        <f>G445*COS(RADIANS(D445))</f>
        <v>76.351627435689281</v>
      </c>
      <c r="I445" s="11">
        <f>G445*SIN(RADIANS(D445))</f>
        <v>44.081632653061213</v>
      </c>
      <c r="J445" s="11">
        <v>0.33379999999999999</v>
      </c>
      <c r="K445" s="12">
        <v>0</v>
      </c>
      <c r="L445" s="12">
        <f>-(F445*G445*$U$3)/J445</f>
        <v>-3.9618004181900441</v>
      </c>
      <c r="M445" s="11">
        <f>ABS(L445/$U$6)</f>
        <v>1.1550438536997214E-2</v>
      </c>
      <c r="N445" s="12">
        <f>L445*SIN(RADIANS(K445))</f>
        <v>0</v>
      </c>
      <c r="O445" s="12">
        <f>L445*COS(RADIANS(K445))</f>
        <v>-3.9618004181900441</v>
      </c>
      <c r="P445" s="5">
        <v>0.17192245190702082</v>
      </c>
      <c r="Q445" s="5">
        <v>1.87004959939157</v>
      </c>
      <c r="R445" s="6">
        <f>P445/Q445</f>
        <v>9.1934701605217661E-2</v>
      </c>
    </row>
    <row r="446" spans="1:18" x14ac:dyDescent="0.35">
      <c r="A446" s="9">
        <v>445</v>
      </c>
      <c r="B446" s="5">
        <v>0.25</v>
      </c>
      <c r="C446" s="5">
        <v>6000000</v>
      </c>
      <c r="D446" s="5">
        <v>30</v>
      </c>
      <c r="E446" s="5">
        <v>0</v>
      </c>
      <c r="F446" s="5">
        <v>0.05</v>
      </c>
      <c r="G446" s="12">
        <f>(C446*$U$4)/($U$5*$U$3)</f>
        <v>88.16326530612244</v>
      </c>
      <c r="H446" s="11">
        <f>G446*COS(RADIANS(D446))</f>
        <v>76.351627435689281</v>
      </c>
      <c r="I446" s="11">
        <f>G446*SIN(RADIANS(D446))</f>
        <v>44.081632653061213</v>
      </c>
      <c r="J446" s="12">
        <v>0.18990000000000001</v>
      </c>
      <c r="K446" s="12">
        <v>0</v>
      </c>
      <c r="L446" s="12">
        <f>-(F446*G446*$U$3)/J446</f>
        <v>-23.213076699874257</v>
      </c>
      <c r="M446" s="11">
        <f>ABS(L446/$U$6)</f>
        <v>6.7676608454443898E-2</v>
      </c>
      <c r="N446" s="12">
        <f>L446*SIN(RADIANS(K446))</f>
        <v>0</v>
      </c>
      <c r="O446" s="12">
        <f>L446*COS(RADIANS(K446))</f>
        <v>-23.213076699874257</v>
      </c>
      <c r="P446" s="5">
        <v>2.381933989383878</v>
      </c>
      <c r="Q446" s="5">
        <v>0.90012089630152792</v>
      </c>
      <c r="R446" s="6">
        <f>P446/Q446</f>
        <v>2.6462378544603453</v>
      </c>
    </row>
    <row r="447" spans="1:18" x14ac:dyDescent="0.35">
      <c r="A447" s="9">
        <v>446</v>
      </c>
      <c r="B447" s="5">
        <v>0.25</v>
      </c>
      <c r="C447" s="5">
        <v>2000000</v>
      </c>
      <c r="D447" s="5">
        <v>30</v>
      </c>
      <c r="E447" s="5">
        <v>0.25</v>
      </c>
      <c r="F447" s="5">
        <v>1.4999999999999999E-2</v>
      </c>
      <c r="G447" s="12">
        <f>(C447*$U$4)/($U$5*$U$3)</f>
        <v>29.387755102040813</v>
      </c>
      <c r="H447" s="11">
        <f>G447*COS(RADIANS(D447))</f>
        <v>25.450542478563094</v>
      </c>
      <c r="I447" s="11">
        <f>G447*SIN(RADIANS(D447))</f>
        <v>14.693877551020405</v>
      </c>
      <c r="J447" s="12">
        <v>0.1913</v>
      </c>
      <c r="K447" s="11">
        <v>67</v>
      </c>
      <c r="L447" s="12">
        <f>-(F447*G447*$U$3)/J447</f>
        <v>-2.30431953230848</v>
      </c>
      <c r="M447" s="11">
        <f>ABS(L447/$U$6)</f>
        <v>6.7181327472550434E-3</v>
      </c>
      <c r="N447" s="12">
        <f>L447*SIN(RADIANS(K447))</f>
        <v>-2.1211373133952134</v>
      </c>
      <c r="O447" s="12">
        <f>L447*COS(RADIANS(K447))</f>
        <v>-0.90036937125876781</v>
      </c>
      <c r="P447" s="5">
        <v>2.2261079721156571</v>
      </c>
      <c r="Q447" s="5">
        <v>0.93474352491844814</v>
      </c>
      <c r="R447" s="6">
        <f>P447/Q447</f>
        <v>2.3815174031934312</v>
      </c>
    </row>
    <row r="448" spans="1:18" x14ac:dyDescent="0.35">
      <c r="A448" s="9">
        <v>447</v>
      </c>
      <c r="B448" s="5">
        <v>1</v>
      </c>
      <c r="C448" s="5">
        <v>4000000</v>
      </c>
      <c r="D448" s="5">
        <v>0</v>
      </c>
      <c r="E448" s="5">
        <v>0</v>
      </c>
      <c r="F448" s="5">
        <v>0.05</v>
      </c>
      <c r="G448" s="12">
        <f>(C448*$U$4)/($U$5*$U$3)</f>
        <v>58.775510204081627</v>
      </c>
      <c r="H448" s="11">
        <f>G448*COS(RADIANS(D448))</f>
        <v>58.775510204081627</v>
      </c>
      <c r="I448" s="11">
        <f>G448*SIN(RADIANS(D448))</f>
        <v>0</v>
      </c>
      <c r="J448" s="11">
        <v>0.33379999999999999</v>
      </c>
      <c r="K448" s="12">
        <v>0</v>
      </c>
      <c r="L448" s="12">
        <f>-(F448*G448*$U$3)/J448</f>
        <v>-8.8040009293112096</v>
      </c>
      <c r="M448" s="11">
        <f>ABS(L448/$U$6)</f>
        <v>2.566764119332714E-2</v>
      </c>
      <c r="N448" s="12">
        <f>L448*SIN(RADIANS(K448))</f>
        <v>0</v>
      </c>
      <c r="O448" s="12">
        <f>L448*COS(RADIANS(K448))</f>
        <v>-8.8040009293112096</v>
      </c>
      <c r="P448" s="5">
        <v>3.0510111765239953</v>
      </c>
      <c r="Q448" s="5">
        <v>1.2077511658123636</v>
      </c>
      <c r="R448" s="6">
        <f>P448/Q448</f>
        <v>2.5261918703856594</v>
      </c>
    </row>
    <row r="449" spans="1:18" x14ac:dyDescent="0.35">
      <c r="A449" s="9">
        <v>448</v>
      </c>
      <c r="B449" s="5">
        <v>1</v>
      </c>
      <c r="C449" s="5">
        <v>4000000</v>
      </c>
      <c r="D449" s="5">
        <v>5</v>
      </c>
      <c r="E449" s="5">
        <v>0.125</v>
      </c>
      <c r="F449" s="5">
        <v>0.15</v>
      </c>
      <c r="G449" s="12">
        <f>(C449*$U$4)/($U$5*$U$3)</f>
        <v>58.775510204081627</v>
      </c>
      <c r="H449" s="11">
        <f>G449*COS(RADIANS(D449))</f>
        <v>58.551851642943404</v>
      </c>
      <c r="I449" s="11">
        <f>G449*SIN(RADIANS(D449))</f>
        <v>5.1226232472092956</v>
      </c>
      <c r="J449" s="11">
        <v>0.33379999999999999</v>
      </c>
      <c r="K449" s="12">
        <v>14</v>
      </c>
      <c r="L449" s="12">
        <f>-(F449*G449*$U$3)/J449</f>
        <v>-26.412002787933627</v>
      </c>
      <c r="M449" s="11">
        <f>ABS(L449/$U$6)</f>
        <v>7.7002923579981425E-2</v>
      </c>
      <c r="N449" s="12">
        <f>L449*SIN(RADIANS(K449))</f>
        <v>-6.3896417810406119</v>
      </c>
      <c r="O449" s="12">
        <f>L449*COS(RADIANS(K449))</f>
        <v>-25.627453427521701</v>
      </c>
      <c r="P449" s="5">
        <v>4.500007481401413</v>
      </c>
      <c r="Q449" s="5">
        <v>1.4008946402377761E-2</v>
      </c>
      <c r="R449" s="6">
        <f>P449/Q449</f>
        <v>321.22383455172758</v>
      </c>
    </row>
    <row r="450" spans="1:18" x14ac:dyDescent="0.35">
      <c r="A450" s="9">
        <v>449</v>
      </c>
      <c r="B450" s="5">
        <v>0.5</v>
      </c>
      <c r="C450" s="5">
        <v>6000000</v>
      </c>
      <c r="D450" s="5">
        <v>0</v>
      </c>
      <c r="E450" s="5">
        <v>0</v>
      </c>
      <c r="F450" s="5">
        <v>1.4999999999999999E-2</v>
      </c>
      <c r="G450" s="12">
        <f>(C450*$U$4)/($U$5*$U$3)</f>
        <v>88.16326530612244</v>
      </c>
      <c r="H450" s="11">
        <f>G450*COS(RADIANS(D450))</f>
        <v>88.16326530612244</v>
      </c>
      <c r="I450" s="11">
        <f>G450*SIN(RADIANS(D450))</f>
        <v>0</v>
      </c>
      <c r="J450" s="12">
        <v>0.23230000000000001</v>
      </c>
      <c r="K450" s="12">
        <v>0</v>
      </c>
      <c r="L450" s="12">
        <f>-(F450*G450*$U$3)/J450</f>
        <v>-5.6928496753845739</v>
      </c>
      <c r="M450" s="11">
        <f>ABS(L450/$U$6)</f>
        <v>1.6597229374299048E-2</v>
      </c>
      <c r="N450" s="12">
        <f>L450*SIN(RADIANS(K450))</f>
        <v>0</v>
      </c>
      <c r="O450" s="12">
        <f>L450*COS(RADIANS(K450))</f>
        <v>-5.6928496753845739</v>
      </c>
      <c r="P450" s="5">
        <v>3.1001149667141465</v>
      </c>
      <c r="Q450" s="5">
        <v>0.39853791621621304</v>
      </c>
      <c r="R450" s="6">
        <f>P450/Q450</f>
        <v>7.7787202686940473</v>
      </c>
    </row>
    <row r="451" spans="1:18" x14ac:dyDescent="0.35">
      <c r="A451" s="9">
        <v>668</v>
      </c>
      <c r="B451" s="5">
        <v>0.5</v>
      </c>
      <c r="C451" s="5">
        <v>6000000</v>
      </c>
      <c r="D451" s="5">
        <v>30</v>
      </c>
      <c r="E451" s="5">
        <v>0.25</v>
      </c>
      <c r="F451" s="5">
        <v>0.15</v>
      </c>
      <c r="G451" s="12">
        <f>(C451*$U$4)/($U$5*$U$3)</f>
        <v>88.16326530612244</v>
      </c>
      <c r="H451" s="11">
        <f>G451*COS(RADIANS(D451))</f>
        <v>76.351627435689281</v>
      </c>
      <c r="I451" s="11">
        <f>G451*SIN(RADIANS(D451))</f>
        <v>44.081632653061213</v>
      </c>
      <c r="J451" s="20">
        <v>0.23580000000000001</v>
      </c>
      <c r="K451" s="20">
        <v>49</v>
      </c>
      <c r="L451" s="12">
        <f>-(F451*G451*$U$3)/J451</f>
        <v>-56.083502103131323</v>
      </c>
      <c r="M451" s="11">
        <f>ABS(L451/$U$6)</f>
        <v>0.16350875248726332</v>
      </c>
      <c r="N451" s="12">
        <f>L451*SIN(RADIANS(K451))</f>
        <v>-42.326756329677195</v>
      </c>
      <c r="O451" s="12">
        <f>L451*COS(RADIANS(K451))</f>
        <v>-36.794087932167407</v>
      </c>
      <c r="P451" s="5">
        <v>6.4702704447530692</v>
      </c>
      <c r="Q451" s="5">
        <v>1.7680157022136498</v>
      </c>
      <c r="R451" s="6">
        <f>P451/Q451</f>
        <v>3.6596227265696486</v>
      </c>
    </row>
    <row r="452" spans="1:18" x14ac:dyDescent="0.35">
      <c r="A452" s="9">
        <v>451</v>
      </c>
      <c r="B452" s="5">
        <v>1</v>
      </c>
      <c r="C452" s="5">
        <v>2000000</v>
      </c>
      <c r="D452" s="5">
        <v>10</v>
      </c>
      <c r="E452" s="5">
        <v>0.375</v>
      </c>
      <c r="F452" s="5">
        <v>0</v>
      </c>
      <c r="G452" s="12">
        <f>(C452*$U$4)/($U$5*$U$3)</f>
        <v>29.387755102040813</v>
      </c>
      <c r="H452" s="11">
        <f>G452*COS(RADIANS(D452))</f>
        <v>28.941289068113864</v>
      </c>
      <c r="I452" s="11">
        <f>G452*SIN(RADIANS(D452))</f>
        <v>5.1031301191914213</v>
      </c>
      <c r="J452" s="12">
        <v>0.33379999999999999</v>
      </c>
      <c r="K452" s="11">
        <v>49</v>
      </c>
      <c r="L452" s="12">
        <f>-(F452*G452*$U$3)/J452</f>
        <v>0</v>
      </c>
      <c r="M452" s="11">
        <f>ABS(L452/$U$6)</f>
        <v>0</v>
      </c>
      <c r="N452" s="12">
        <f>L452*SIN(RADIANS(K452))</f>
        <v>0</v>
      </c>
      <c r="O452" s="12">
        <f>L452*COS(RADIANS(K452))</f>
        <v>0</v>
      </c>
      <c r="P452" s="5">
        <v>5.8647729399776942</v>
      </c>
      <c r="Q452" s="5">
        <v>1.1324060499790731</v>
      </c>
      <c r="R452" s="6">
        <f>P452/Q452</f>
        <v>5.1790370954712541</v>
      </c>
    </row>
    <row r="453" spans="1:18" x14ac:dyDescent="0.35">
      <c r="A453" s="9">
        <v>452</v>
      </c>
      <c r="B453" s="5">
        <v>0.1</v>
      </c>
      <c r="C453" s="5">
        <v>2000000</v>
      </c>
      <c r="D453" s="5">
        <v>10</v>
      </c>
      <c r="E453" s="5">
        <v>0.125</v>
      </c>
      <c r="F453" s="5">
        <v>2.5000000000000001E-2</v>
      </c>
      <c r="G453" s="12">
        <f>(C453*$U$4)/($U$5*$U$3)</f>
        <v>29.387755102040813</v>
      </c>
      <c r="H453" s="11">
        <f>G453*COS(RADIANS(D453))</f>
        <v>28.941289068113864</v>
      </c>
      <c r="I453" s="11">
        <f>G453*SIN(RADIANS(D453))</f>
        <v>5.1031301191914213</v>
      </c>
      <c r="J453" s="12">
        <v>0.1658</v>
      </c>
      <c r="K453" s="12">
        <v>69</v>
      </c>
      <c r="L453" s="12">
        <f>-(F453*G453*$U$3)/J453</f>
        <v>-4.4312055340833556</v>
      </c>
      <c r="M453" s="11">
        <f>ABS(L453/$U$6)</f>
        <v>1.2918966571671591E-2</v>
      </c>
      <c r="N453" s="12">
        <f>L453*SIN(RADIANS(K453))</f>
        <v>-4.1368867524062995</v>
      </c>
      <c r="O453" s="12">
        <f>L453*COS(RADIANS(K453))</f>
        <v>-1.5880020412632398</v>
      </c>
      <c r="P453" s="5">
        <v>1.3603695183143754</v>
      </c>
      <c r="Q453" s="5">
        <v>0.44853113396822691</v>
      </c>
      <c r="R453" s="6">
        <f>P453/Q453</f>
        <v>3.0329433461596476</v>
      </c>
    </row>
    <row r="454" spans="1:18" x14ac:dyDescent="0.35">
      <c r="A454" s="9">
        <v>453</v>
      </c>
      <c r="B454" s="5">
        <v>0.25</v>
      </c>
      <c r="C454" s="5">
        <v>4000000</v>
      </c>
      <c r="D454" s="5">
        <v>15</v>
      </c>
      <c r="E454" s="5">
        <v>0.375</v>
      </c>
      <c r="F454" s="5">
        <v>7.4999999999999997E-2</v>
      </c>
      <c r="G454" s="12">
        <f>(C454*$U$4)/($U$5*$U$3)</f>
        <v>58.775510204081627</v>
      </c>
      <c r="H454" s="11">
        <f>G454*COS(RADIANS(D454))</f>
        <v>56.772783259439109</v>
      </c>
      <c r="I454" s="11">
        <f>G454*SIN(RADIANS(D454))</f>
        <v>15.212221426433871</v>
      </c>
      <c r="J454" s="11">
        <v>0.1976</v>
      </c>
      <c r="K454" s="12">
        <v>78</v>
      </c>
      <c r="L454" s="12">
        <f>-(F454*G454*$U$3)/J454</f>
        <v>-22.308518549120052</v>
      </c>
      <c r="M454" s="11">
        <f>ABS(L454/$U$6)</f>
        <v>6.5039412679650299E-2</v>
      </c>
      <c r="N454" s="12">
        <f>L454*SIN(RADIANS(K454))</f>
        <v>-21.821023894747377</v>
      </c>
      <c r="O454" s="12">
        <f>L454*COS(RADIANS(K454))</f>
        <v>-4.6382018111869003</v>
      </c>
      <c r="P454" s="5">
        <v>2.5994980753399486</v>
      </c>
      <c r="Q454" s="5">
        <v>0.45273180332747115</v>
      </c>
      <c r="R454" s="6">
        <f>P454/Q454</f>
        <v>5.741805758363463</v>
      </c>
    </row>
    <row r="455" spans="1:18" x14ac:dyDescent="0.35">
      <c r="A455" s="9">
        <v>454</v>
      </c>
      <c r="B455" s="5">
        <v>0.75</v>
      </c>
      <c r="C455" s="5">
        <v>4000000</v>
      </c>
      <c r="D455" s="5">
        <v>0</v>
      </c>
      <c r="E455" s="5">
        <v>0</v>
      </c>
      <c r="F455" s="5">
        <v>3.5000000000000003E-2</v>
      </c>
      <c r="G455" s="12">
        <f>(C455*$U$4)/($U$5*$U$3)</f>
        <v>58.775510204081627</v>
      </c>
      <c r="H455" s="11">
        <f>G455*COS(RADIANS(D455))</f>
        <v>58.775510204081627</v>
      </c>
      <c r="I455" s="11">
        <f>G455*SIN(RADIANS(D455))</f>
        <v>0</v>
      </c>
      <c r="J455" s="11">
        <v>0.27929999999999999</v>
      </c>
      <c r="K455" s="12">
        <v>0</v>
      </c>
      <c r="L455" s="12">
        <f>-(F455*G455*$U$3)/J455</f>
        <v>-7.3653521558999531</v>
      </c>
      <c r="M455" s="11">
        <f>ABS(L455/$U$6)</f>
        <v>2.1473329900582955E-2</v>
      </c>
      <c r="N455" s="12">
        <f>L455*SIN(RADIANS(K455))</f>
        <v>0</v>
      </c>
      <c r="O455" s="12">
        <f>L455*COS(RADIANS(K455))</f>
        <v>-7.3653521558999531</v>
      </c>
      <c r="P455" s="5">
        <v>4.6318193408849782</v>
      </c>
      <c r="Q455" s="5">
        <v>0.41367324926842225</v>
      </c>
      <c r="R455" s="6">
        <f>P455/Q455</f>
        <v>11.19680653529401</v>
      </c>
    </row>
    <row r="456" spans="1:18" x14ac:dyDescent="0.35">
      <c r="A456" s="9">
        <v>455</v>
      </c>
      <c r="B456" s="5">
        <v>1</v>
      </c>
      <c r="C456" s="5">
        <v>6000000</v>
      </c>
      <c r="D456" s="5">
        <v>20</v>
      </c>
      <c r="E456" s="5">
        <v>0.25</v>
      </c>
      <c r="F456" s="5">
        <v>0.1</v>
      </c>
      <c r="G456" s="12">
        <f>(C456*$U$4)/($U$5*$U$3)</f>
        <v>88.16326530612244</v>
      </c>
      <c r="H456" s="11">
        <f>G456*COS(RADIANS(D456))</f>
        <v>82.846369832553549</v>
      </c>
      <c r="I456" s="11">
        <f>G456*SIN(RADIANS(D456))</f>
        <v>30.153612636058952</v>
      </c>
      <c r="J456" s="13">
        <v>0.33379999999999999</v>
      </c>
      <c r="K456" s="12">
        <v>30</v>
      </c>
      <c r="L456" s="12">
        <f>-(F456*G456*$U$3)/J456</f>
        <v>-26.412002787933627</v>
      </c>
      <c r="M456" s="11">
        <f>ABS(L456/$U$6)</f>
        <v>7.7002923579981425E-2</v>
      </c>
      <c r="N456" s="12">
        <f>L456*SIN(RADIANS(K456))</f>
        <v>-13.206001393966812</v>
      </c>
      <c r="O456" s="12">
        <f>L456*COS(RADIANS(K456))</f>
        <v>-22.87346537917594</v>
      </c>
      <c r="P456" s="5">
        <v>9.625775959770138</v>
      </c>
      <c r="Q456" s="5">
        <v>0.43999661458600819</v>
      </c>
      <c r="R456" s="6">
        <f>P456/Q456</f>
        <v>21.87693186873042</v>
      </c>
    </row>
    <row r="457" spans="1:18" x14ac:dyDescent="0.35">
      <c r="A457" s="9">
        <v>456</v>
      </c>
      <c r="B457" s="5">
        <v>1</v>
      </c>
      <c r="C457" s="5">
        <v>4000000</v>
      </c>
      <c r="D457" s="5">
        <v>0</v>
      </c>
      <c r="E457" s="5">
        <v>0.375</v>
      </c>
      <c r="F457" s="5">
        <v>0.15</v>
      </c>
      <c r="G457" s="12">
        <f>(C457*$U$4)/($U$5*$U$3)</f>
        <v>58.775510204081627</v>
      </c>
      <c r="H457" s="11">
        <f>G457*COS(RADIANS(D457))</f>
        <v>58.775510204081627</v>
      </c>
      <c r="I457" s="11">
        <f>G457*SIN(RADIANS(D457))</f>
        <v>0</v>
      </c>
      <c r="J457" s="12">
        <v>0.33379999999999999</v>
      </c>
      <c r="K457" s="11">
        <v>49</v>
      </c>
      <c r="L457" s="12">
        <f>-(F457*G457*$U$3)/J457</f>
        <v>-26.412002787933627</v>
      </c>
      <c r="M457" s="11">
        <f>ABS(L457/$U$6)</f>
        <v>7.7002923579981425E-2</v>
      </c>
      <c r="N457" s="12">
        <f>L457*SIN(RADIANS(K457))</f>
        <v>-19.933391536924074</v>
      </c>
      <c r="O457" s="12">
        <f>L457*COS(RADIANS(K457))</f>
        <v>-17.327832902746305</v>
      </c>
      <c r="P457" s="5">
        <v>7.9706915240290517</v>
      </c>
      <c r="Q457" s="5">
        <v>-1.4406836956244742</v>
      </c>
      <c r="R457" s="6">
        <f>P457/Q457</f>
        <v>-5.5325756432428435</v>
      </c>
    </row>
    <row r="458" spans="1:18" x14ac:dyDescent="0.35">
      <c r="A458" s="9">
        <v>1728</v>
      </c>
      <c r="B458" s="5">
        <v>0.5</v>
      </c>
      <c r="C458" s="5">
        <v>6000000</v>
      </c>
      <c r="D458" s="5">
        <v>0</v>
      </c>
      <c r="E458" s="5">
        <v>0.25</v>
      </c>
      <c r="F458" s="5">
        <v>0.15</v>
      </c>
      <c r="G458" s="12">
        <f>(C458*$U$4)/($U$5*$U$3)</f>
        <v>88.16326530612244</v>
      </c>
      <c r="H458" s="11">
        <f>G458*COS(RADIANS(D458))</f>
        <v>88.16326530612244</v>
      </c>
      <c r="I458" s="11">
        <f>G458*SIN(RADIANS(D458))</f>
        <v>0</v>
      </c>
      <c r="J458" s="11">
        <v>0.23580000000000001</v>
      </c>
      <c r="K458" s="20">
        <v>49</v>
      </c>
      <c r="L458" s="12">
        <f>-(F458*G458*$U$3)/J458</f>
        <v>-56.083502103131323</v>
      </c>
      <c r="M458" s="11">
        <f>ABS(L458/$U$6)</f>
        <v>0.16350875248726332</v>
      </c>
      <c r="N458" s="12">
        <f>L458*SIN(RADIANS(K458))</f>
        <v>-42.326756329677195</v>
      </c>
      <c r="O458" s="12">
        <f>L458*COS(RADIANS(K458))</f>
        <v>-36.794087932167407</v>
      </c>
      <c r="P458" s="5">
        <v>5.1477378103931137</v>
      </c>
      <c r="Q458" s="5">
        <v>-0.40261913361247137</v>
      </c>
      <c r="R458" s="6">
        <f>P458/Q458</f>
        <v>-12.785626366549957</v>
      </c>
    </row>
    <row r="459" spans="1:18" x14ac:dyDescent="0.35">
      <c r="A459" s="9">
        <v>458</v>
      </c>
      <c r="B459" s="5">
        <v>0.5</v>
      </c>
      <c r="C459" s="5">
        <v>6000000</v>
      </c>
      <c r="D459" s="5">
        <v>0</v>
      </c>
      <c r="E459" s="5">
        <v>0</v>
      </c>
      <c r="F459" s="5">
        <v>0.05</v>
      </c>
      <c r="G459" s="12">
        <f>(C459*$U$4)/($U$5*$U$3)</f>
        <v>88.16326530612244</v>
      </c>
      <c r="H459" s="11">
        <f>G459*COS(RADIANS(D459))</f>
        <v>88.16326530612244</v>
      </c>
      <c r="I459" s="11">
        <f>G459*SIN(RADIANS(D459))</f>
        <v>0</v>
      </c>
      <c r="J459" s="12">
        <v>0.23230000000000001</v>
      </c>
      <c r="K459" s="12">
        <v>0</v>
      </c>
      <c r="L459" s="12">
        <f>-(F459*G459*$U$3)/J459</f>
        <v>-18.976165584615249</v>
      </c>
      <c r="M459" s="11">
        <f>ABS(L459/$U$6)</f>
        <v>5.532409791433017E-2</v>
      </c>
      <c r="N459" s="12">
        <f>L459*SIN(RADIANS(K459))</f>
        <v>0</v>
      </c>
      <c r="O459" s="12">
        <f>L459*COS(RADIANS(K459))</f>
        <v>-18.976165584615249</v>
      </c>
      <c r="P459" s="5">
        <v>4.4353489103369768</v>
      </c>
      <c r="Q459" s="5">
        <v>0.14925035221444263</v>
      </c>
      <c r="R459" s="6">
        <f>P459/Q459</f>
        <v>29.717510508546578</v>
      </c>
    </row>
    <row r="460" spans="1:18" x14ac:dyDescent="0.35">
      <c r="A460" s="9">
        <v>459</v>
      </c>
      <c r="B460" s="5">
        <v>0.1</v>
      </c>
      <c r="C460" s="5">
        <v>2000000</v>
      </c>
      <c r="D460" s="5">
        <v>30</v>
      </c>
      <c r="E460" s="5">
        <v>0</v>
      </c>
      <c r="F460" s="5">
        <v>0</v>
      </c>
      <c r="G460" s="12">
        <f>(C460*$U$4)/($U$5*$U$3)</f>
        <v>29.387755102040813</v>
      </c>
      <c r="H460" s="11">
        <f>G460*COS(RADIANS(D460))</f>
        <v>25.450542478563094</v>
      </c>
      <c r="I460" s="11">
        <f>G460*SIN(RADIANS(D460))</f>
        <v>14.693877551020405</v>
      </c>
      <c r="J460" s="11">
        <v>0.16569999999999999</v>
      </c>
      <c r="K460" s="12">
        <v>0</v>
      </c>
      <c r="L460" s="12">
        <f>-(F460*G460*$U$3)/J460</f>
        <v>0</v>
      </c>
      <c r="M460" s="11">
        <f>ABS(L460/$U$6)</f>
        <v>0</v>
      </c>
      <c r="N460" s="12">
        <f>L460*SIN(RADIANS(K460))</f>
        <v>0</v>
      </c>
      <c r="O460" s="12">
        <f>L460*COS(RADIANS(K460))</f>
        <v>0</v>
      </c>
      <c r="P460" s="5">
        <v>1.049662690501483</v>
      </c>
      <c r="Q460" s="5">
        <v>0.88062390164365267</v>
      </c>
      <c r="R460" s="6">
        <f>P460/Q460</f>
        <v>1.1919534418067981</v>
      </c>
    </row>
    <row r="461" spans="1:18" x14ac:dyDescent="0.35">
      <c r="A461" s="9">
        <v>460</v>
      </c>
      <c r="B461" s="5">
        <v>0.5</v>
      </c>
      <c r="C461" s="5">
        <v>2000000</v>
      </c>
      <c r="D461" s="5">
        <v>5</v>
      </c>
      <c r="E461" s="5">
        <v>0.375</v>
      </c>
      <c r="F461" s="5">
        <v>0.1</v>
      </c>
      <c r="G461" s="12">
        <f>(C461*$U$4)/($U$5*$U$3)</f>
        <v>29.387755102040813</v>
      </c>
      <c r="H461" s="11">
        <f>G461*COS(RADIANS(D461))</f>
        <v>29.275925821471702</v>
      </c>
      <c r="I461" s="11">
        <f>G461*SIN(RADIANS(D461))</f>
        <v>2.5613116236046478</v>
      </c>
      <c r="J461" s="12">
        <v>0.24809999999999999</v>
      </c>
      <c r="K461" s="12">
        <v>67</v>
      </c>
      <c r="L461" s="12">
        <f>-(F461*G461*$U$3)/J461</f>
        <v>-11.845124990745996</v>
      </c>
      <c r="M461" s="11">
        <f>ABS(L461/$U$6)</f>
        <v>3.4533892101300277E-2</v>
      </c>
      <c r="N461" s="12">
        <f>L461*SIN(RADIANS(K461))</f>
        <v>-10.903495043732482</v>
      </c>
      <c r="O461" s="12">
        <f>L461*COS(RADIANS(K461))</f>
        <v>-4.6282590547306803</v>
      </c>
      <c r="P461" s="5">
        <v>3.9342780501032393</v>
      </c>
      <c r="Q461" s="5">
        <v>-0.10586892590725429</v>
      </c>
      <c r="R461" s="6">
        <f>P461/Q461</f>
        <v>-37.161782991449591</v>
      </c>
    </row>
    <row r="462" spans="1:18" x14ac:dyDescent="0.35">
      <c r="A462" s="9">
        <v>461</v>
      </c>
      <c r="B462" s="5">
        <v>0.75</v>
      </c>
      <c r="C462" s="5">
        <v>2000000</v>
      </c>
      <c r="D462" s="5">
        <v>20</v>
      </c>
      <c r="E462" s="5">
        <v>0.25</v>
      </c>
      <c r="F462" s="5">
        <v>3.5000000000000003E-2</v>
      </c>
      <c r="G462" s="12">
        <f>(C462*$U$4)/($U$5*$U$3)</f>
        <v>29.387755102040813</v>
      </c>
      <c r="H462" s="11">
        <f>G462*COS(RADIANS(D462))</f>
        <v>27.615456610851183</v>
      </c>
      <c r="I462" s="11">
        <f>G462*SIN(RADIANS(D462))</f>
        <v>10.051204212019652</v>
      </c>
      <c r="J462" s="12">
        <v>0.28370000000000001</v>
      </c>
      <c r="K462" s="11">
        <v>38</v>
      </c>
      <c r="L462" s="12">
        <f>-(F462*G462*$U$3)/J462</f>
        <v>-3.6255601994058106</v>
      </c>
      <c r="M462" s="11">
        <f>ABS(L462/$U$6)</f>
        <v>1.05701463539528E-2</v>
      </c>
      <c r="N462" s="12">
        <f>L462*SIN(RADIANS(K462))</f>
        <v>-2.2321177412481692</v>
      </c>
      <c r="O462" s="12">
        <f>L462*COS(RADIANS(K462))</f>
        <v>-2.8569804249803097</v>
      </c>
      <c r="P462" s="5">
        <v>3.5670448151309446</v>
      </c>
      <c r="Q462" s="5">
        <v>0.72024648913615119</v>
      </c>
      <c r="R462" s="6">
        <f>P462/Q462</f>
        <v>4.9525334297834407</v>
      </c>
    </row>
    <row r="463" spans="1:18" x14ac:dyDescent="0.35">
      <c r="A463" s="9">
        <v>462</v>
      </c>
      <c r="B463" s="5">
        <v>0.5</v>
      </c>
      <c r="C463" s="5">
        <v>6000000</v>
      </c>
      <c r="D463" s="5">
        <v>0</v>
      </c>
      <c r="E463" s="5">
        <v>0.25</v>
      </c>
      <c r="F463" s="5">
        <v>0.05</v>
      </c>
      <c r="G463" s="12">
        <f>(C463*$U$4)/($U$5*$U$3)</f>
        <v>88.16326530612244</v>
      </c>
      <c r="H463" s="11">
        <f>G463*COS(RADIANS(D463))</f>
        <v>88.16326530612244</v>
      </c>
      <c r="I463" s="11">
        <f>G463*SIN(RADIANS(D463))</f>
        <v>0</v>
      </c>
      <c r="J463" s="11">
        <v>0.23580000000000001</v>
      </c>
      <c r="K463" s="11">
        <v>49</v>
      </c>
      <c r="L463" s="12">
        <f>-(F463*G463*$U$3)/J463</f>
        <v>-18.694500701043772</v>
      </c>
      <c r="M463" s="11">
        <f>ABS(L463/$U$6)</f>
        <v>5.4502917495754435E-2</v>
      </c>
      <c r="N463" s="12">
        <f>L463*SIN(RADIANS(K463))</f>
        <v>-14.108918776559062</v>
      </c>
      <c r="O463" s="12">
        <f>L463*COS(RADIANS(K463))</f>
        <v>-12.264695977389135</v>
      </c>
      <c r="P463" s="5">
        <v>3.0549829279056038</v>
      </c>
      <c r="Q463" s="5">
        <v>-1.5512468228892753E-2</v>
      </c>
      <c r="R463" s="6">
        <f>P463/Q463</f>
        <v>-196.93725607221836</v>
      </c>
    </row>
    <row r="464" spans="1:18" x14ac:dyDescent="0.35">
      <c r="A464" s="9">
        <v>463</v>
      </c>
      <c r="B464" s="5">
        <v>0.25</v>
      </c>
      <c r="C464" s="5">
        <v>4000000</v>
      </c>
      <c r="D464" s="5">
        <v>30</v>
      </c>
      <c r="E464" s="5">
        <v>0.125</v>
      </c>
      <c r="F464" s="5">
        <v>1.4999999999999999E-2</v>
      </c>
      <c r="G464" s="12">
        <f>(C464*$U$4)/($U$5*$U$3)</f>
        <v>58.775510204081627</v>
      </c>
      <c r="H464" s="11">
        <f>G464*COS(RADIANS(D464))</f>
        <v>50.901084957126187</v>
      </c>
      <c r="I464" s="11">
        <f>G464*SIN(RADIANS(D464))</f>
        <v>29.38775510204081</v>
      </c>
      <c r="J464" s="11">
        <v>0.19020000000000001</v>
      </c>
      <c r="K464" s="12">
        <v>46</v>
      </c>
      <c r="L464" s="12">
        <f>-(F464*G464*$U$3)/J464</f>
        <v>-4.6352926028455537</v>
      </c>
      <c r="M464" s="11">
        <f>ABS(L464/$U$6)</f>
        <v>1.3513972603048261E-2</v>
      </c>
      <c r="N464" s="12">
        <f>L464*SIN(RADIANS(K464))</f>
        <v>-3.3343504554421468</v>
      </c>
      <c r="O464" s="12">
        <f>L464*COS(RADIANS(K464))</f>
        <v>-3.2199448060933364</v>
      </c>
      <c r="P464" s="5">
        <v>2.1775906047076941</v>
      </c>
      <c r="Q464" s="5">
        <v>0.9511703884877889</v>
      </c>
      <c r="R464" s="6">
        <f>P464/Q464</f>
        <v>2.2893801479351352</v>
      </c>
    </row>
    <row r="465" spans="1:18" x14ac:dyDescent="0.35">
      <c r="A465" s="9">
        <v>464</v>
      </c>
      <c r="B465" s="5">
        <v>0.75</v>
      </c>
      <c r="C465" s="5">
        <v>2000000</v>
      </c>
      <c r="D465" s="5">
        <v>0</v>
      </c>
      <c r="E465" s="5">
        <v>0</v>
      </c>
      <c r="F465" s="5">
        <v>0.15</v>
      </c>
      <c r="G465" s="12">
        <f>(C465*$U$4)/($U$5*$U$3)</f>
        <v>29.387755102040813</v>
      </c>
      <c r="H465" s="11">
        <f>G465*COS(RADIANS(D465))</f>
        <v>29.387755102040813</v>
      </c>
      <c r="I465" s="11">
        <f>G465*SIN(RADIANS(D465))</f>
        <v>0</v>
      </c>
      <c r="J465" s="11">
        <v>0.27929999999999999</v>
      </c>
      <c r="K465" s="12">
        <v>0</v>
      </c>
      <c r="L465" s="12">
        <f>-(F465*G465*$U$3)/J465</f>
        <v>-15.782897476928472</v>
      </c>
      <c r="M465" s="11">
        <f>ABS(L465/$U$6)</f>
        <v>4.6014278358392044E-2</v>
      </c>
      <c r="N465" s="12">
        <f>L465*SIN(RADIANS(K465))</f>
        <v>0</v>
      </c>
      <c r="O465" s="12">
        <f>L465*COS(RADIANS(K465))</f>
        <v>-15.782897476928472</v>
      </c>
      <c r="P465" s="5">
        <v>7.2347593461138882</v>
      </c>
      <c r="Q465" s="5">
        <v>-0.15390523584929552</v>
      </c>
      <c r="R465" s="6">
        <f>P465/Q465</f>
        <v>-47.007883170382755</v>
      </c>
    </row>
    <row r="466" spans="1:18" x14ac:dyDescent="0.35">
      <c r="A466" s="9">
        <v>465</v>
      </c>
      <c r="B466" s="5">
        <v>0.75</v>
      </c>
      <c r="C466" s="5">
        <v>4000000</v>
      </c>
      <c r="D466" s="5">
        <v>30</v>
      </c>
      <c r="E466" s="5">
        <v>0.125</v>
      </c>
      <c r="F466" s="5">
        <v>0.05</v>
      </c>
      <c r="G466" s="12">
        <f>(C466*$U$4)/($U$5*$U$3)</f>
        <v>58.775510204081627</v>
      </c>
      <c r="H466" s="11">
        <f>G466*COS(RADIANS(D466))</f>
        <v>50.901084957126187</v>
      </c>
      <c r="I466" s="11">
        <f>G466*SIN(RADIANS(D466))</f>
        <v>29.38775510204081</v>
      </c>
      <c r="J466" s="12">
        <v>0.2802</v>
      </c>
      <c r="K466" s="12">
        <v>19</v>
      </c>
      <c r="L466" s="12">
        <f>-(F466*G466*$U$3)/J466</f>
        <v>-10.488135296945329</v>
      </c>
      <c r="M466" s="11">
        <f>ABS(L466/$U$6)</f>
        <v>3.0577653926954312E-2</v>
      </c>
      <c r="N466" s="12">
        <f>L466*SIN(RADIANS(K466))</f>
        <v>-3.414602852323454</v>
      </c>
      <c r="O466" s="12">
        <f>L466*COS(RADIANS(K466))</f>
        <v>-9.9167267466606646</v>
      </c>
      <c r="P466" s="5">
        <v>4.0754370213327702</v>
      </c>
      <c r="Q466" s="5">
        <v>1.3252070557924867</v>
      </c>
      <c r="R466" s="6">
        <f>P466/Q466</f>
        <v>3.0753209496727432</v>
      </c>
    </row>
    <row r="467" spans="1:18" x14ac:dyDescent="0.35">
      <c r="A467" s="9">
        <v>466</v>
      </c>
      <c r="B467" s="5">
        <v>0.75</v>
      </c>
      <c r="C467" s="5">
        <v>6000000</v>
      </c>
      <c r="D467" s="5">
        <v>5</v>
      </c>
      <c r="E467" s="5">
        <v>0</v>
      </c>
      <c r="F467" s="5">
        <v>0</v>
      </c>
      <c r="G467" s="12">
        <f>(C467*$U$4)/($U$5*$U$3)</f>
        <v>88.16326530612244</v>
      </c>
      <c r="H467" s="11">
        <f>G467*COS(RADIANS(D467))</f>
        <v>87.827777464415107</v>
      </c>
      <c r="I467" s="11">
        <f>G467*SIN(RADIANS(D467))</f>
        <v>7.6839348708139434</v>
      </c>
      <c r="J467" s="11">
        <v>0.27929999999999999</v>
      </c>
      <c r="K467" s="12">
        <v>0</v>
      </c>
      <c r="L467" s="12">
        <f>-(F467*G467*$U$3)/J467</f>
        <v>0</v>
      </c>
      <c r="M467" s="11">
        <f>ABS(L467/$U$6)</f>
        <v>0</v>
      </c>
      <c r="N467" s="12">
        <f>L467*SIN(RADIANS(K467))</f>
        <v>0</v>
      </c>
      <c r="O467" s="12">
        <f>L467*COS(RADIANS(K467))</f>
        <v>0</v>
      </c>
      <c r="P467" s="5">
        <v>4.0768197492751694</v>
      </c>
      <c r="Q467" s="5">
        <v>1.2475120337420513</v>
      </c>
      <c r="R467" s="6">
        <f>P467/Q467</f>
        <v>3.2679602593061121</v>
      </c>
    </row>
    <row r="468" spans="1:18" x14ac:dyDescent="0.35">
      <c r="A468" s="9">
        <v>467</v>
      </c>
      <c r="B468" s="5">
        <v>0.5</v>
      </c>
      <c r="C468" s="5">
        <v>4000000</v>
      </c>
      <c r="D468" s="5">
        <v>5</v>
      </c>
      <c r="E468" s="5">
        <v>0.125</v>
      </c>
      <c r="F468" s="5">
        <v>2.5000000000000001E-2</v>
      </c>
      <c r="G468" s="12">
        <f>(C468*$U$4)/($U$5*$U$3)</f>
        <v>58.775510204081627</v>
      </c>
      <c r="H468" s="11">
        <f>G468*COS(RADIANS(D468))</f>
        <v>58.551851642943404</v>
      </c>
      <c r="I468" s="11">
        <f>G468*SIN(RADIANS(D468))</f>
        <v>5.1226232472092956</v>
      </c>
      <c r="J468" s="12">
        <v>0.23300000000000001</v>
      </c>
      <c r="K468" s="11">
        <v>27</v>
      </c>
      <c r="L468" s="12">
        <f>-(F468*G468*$U$3)/J468</f>
        <v>-6.3063852150302173</v>
      </c>
      <c r="M468" s="11">
        <f>ABS(L468/$U$6)</f>
        <v>1.8385962726035619E-2</v>
      </c>
      <c r="N468" s="12">
        <f>L468*SIN(RADIANS(K468))</f>
        <v>-2.8630389753216572</v>
      </c>
      <c r="O468" s="12">
        <f>L468*COS(RADIANS(K468))</f>
        <v>-5.6190303706369873</v>
      </c>
      <c r="P468" s="5">
        <v>3.7570445052696644</v>
      </c>
      <c r="Q468" s="5">
        <v>0.36884053895394153</v>
      </c>
      <c r="R468" s="6">
        <f>P468/Q468</f>
        <v>10.186094283250194</v>
      </c>
    </row>
    <row r="469" spans="1:18" x14ac:dyDescent="0.35">
      <c r="A469" s="9">
        <v>2044</v>
      </c>
      <c r="B469" s="5">
        <v>0.5</v>
      </c>
      <c r="C469" s="5">
        <v>6000000</v>
      </c>
      <c r="D469" s="5">
        <v>10</v>
      </c>
      <c r="E469" s="5">
        <v>0.25</v>
      </c>
      <c r="F469" s="5">
        <v>0.15</v>
      </c>
      <c r="G469" s="12">
        <f>(C469*$U$4)/($U$5*$U$3)</f>
        <v>88.16326530612244</v>
      </c>
      <c r="H469" s="11">
        <f>G469*COS(RADIANS(D469))</f>
        <v>86.823867204341596</v>
      </c>
      <c r="I469" s="11">
        <f>G469*SIN(RADIANS(D469))</f>
        <v>15.309390357574264</v>
      </c>
      <c r="J469" s="11">
        <v>0.23580000000000001</v>
      </c>
      <c r="K469" s="20">
        <v>49</v>
      </c>
      <c r="L469" s="12">
        <f>-(F469*G469*$U$3)/J469</f>
        <v>-56.083502103131323</v>
      </c>
      <c r="M469" s="11">
        <f>ABS(L469/$U$6)</f>
        <v>0.16350875248726332</v>
      </c>
      <c r="N469" s="12">
        <f>L469*SIN(RADIANS(K469))</f>
        <v>-42.326756329677195</v>
      </c>
      <c r="O469" s="12">
        <f>L469*COS(RADIANS(K469))</f>
        <v>-36.794087932167407</v>
      </c>
      <c r="P469" s="5">
        <v>5.8688393111799941</v>
      </c>
      <c r="Q469" s="5">
        <v>0.21752551768573833</v>
      </c>
      <c r="R469" s="6">
        <f>P469/Q469</f>
        <v>26.980003880090866</v>
      </c>
    </row>
    <row r="470" spans="1:18" x14ac:dyDescent="0.35">
      <c r="A470" s="9">
        <v>469</v>
      </c>
      <c r="B470" s="5">
        <v>0.25</v>
      </c>
      <c r="C470" s="5">
        <v>2000000</v>
      </c>
      <c r="D470" s="5">
        <v>5</v>
      </c>
      <c r="E470" s="5">
        <v>0.375</v>
      </c>
      <c r="F470" s="5">
        <v>0.15</v>
      </c>
      <c r="G470" s="12">
        <f>(C470*$U$4)/($U$5*$U$3)</f>
        <v>29.387755102040813</v>
      </c>
      <c r="H470" s="11">
        <f>G470*COS(RADIANS(D470))</f>
        <v>29.275925821471702</v>
      </c>
      <c r="I470" s="11">
        <f>G470*SIN(RADIANS(D470))</f>
        <v>2.5613116236046478</v>
      </c>
      <c r="J470" s="11">
        <v>0.1976</v>
      </c>
      <c r="K470" s="12">
        <v>78</v>
      </c>
      <c r="L470" s="12">
        <f>-(F470*G470*$U$3)/J470</f>
        <v>-22.308518549120052</v>
      </c>
      <c r="M470" s="11">
        <f>ABS(L470/$U$6)</f>
        <v>6.5039412679650299E-2</v>
      </c>
      <c r="N470" s="12">
        <f>L470*SIN(RADIANS(K470))</f>
        <v>-21.821023894747377</v>
      </c>
      <c r="O470" s="12">
        <f>L470*COS(RADIANS(K470))</f>
        <v>-4.6382018111869003</v>
      </c>
      <c r="P470" s="5">
        <v>2.8350432725399477</v>
      </c>
      <c r="Q470" s="5">
        <v>0.15485933530835094</v>
      </c>
      <c r="R470" s="6">
        <f>P470/Q470</f>
        <v>18.307215815532853</v>
      </c>
    </row>
    <row r="471" spans="1:18" x14ac:dyDescent="0.35">
      <c r="A471" s="9">
        <v>471</v>
      </c>
      <c r="B471" s="5">
        <v>0.1</v>
      </c>
      <c r="C471" s="5">
        <v>2000000</v>
      </c>
      <c r="D471" s="5">
        <v>5</v>
      </c>
      <c r="E471" s="5">
        <v>0</v>
      </c>
      <c r="F471" s="5">
        <v>0.1</v>
      </c>
      <c r="G471" s="12">
        <f>(C471*$U$4)/($U$5*$U$3)</f>
        <v>29.387755102040813</v>
      </c>
      <c r="H471" s="11">
        <f>G471*COS(RADIANS(D471))</f>
        <v>29.275925821471702</v>
      </c>
      <c r="I471" s="11">
        <f>G471*SIN(RADIANS(D471))</f>
        <v>2.5613116236046478</v>
      </c>
      <c r="J471" s="11">
        <v>0.16569999999999999</v>
      </c>
      <c r="K471" s="12">
        <v>0</v>
      </c>
      <c r="L471" s="12">
        <f>-(F471*G471*$U$3)/J471</f>
        <v>-17.735519071841168</v>
      </c>
      <c r="M471" s="11">
        <f>ABS(L471/$U$6)</f>
        <v>5.1707052687583577E-2</v>
      </c>
      <c r="N471" s="12">
        <f>L471*SIN(RADIANS(K471))</f>
        <v>0</v>
      </c>
      <c r="O471" s="12">
        <f>L471*COS(RADIANS(K471))</f>
        <v>-17.735519071841168</v>
      </c>
      <c r="P471" s="5">
        <v>1.4517590126226396</v>
      </c>
      <c r="Q471" s="5">
        <v>0.28247252540562312</v>
      </c>
      <c r="R471" s="6">
        <f>P471/Q471</f>
        <v>5.1394697963561304</v>
      </c>
    </row>
    <row r="472" spans="1:18" x14ac:dyDescent="0.35">
      <c r="A472" s="9">
        <v>472</v>
      </c>
      <c r="B472" s="5">
        <v>0.25</v>
      </c>
      <c r="C472" s="5">
        <v>6000000</v>
      </c>
      <c r="D472" s="5">
        <v>10</v>
      </c>
      <c r="E472" s="5">
        <v>0.125</v>
      </c>
      <c r="F472" s="5">
        <v>3.5000000000000003E-2</v>
      </c>
      <c r="G472" s="12">
        <f>(C472*$U$4)/($U$5*$U$3)</f>
        <v>88.16326530612244</v>
      </c>
      <c r="H472" s="11">
        <f>G472*COS(RADIANS(D472))</f>
        <v>86.823867204341596</v>
      </c>
      <c r="I472" s="11">
        <f>G472*SIN(RADIANS(D472))</f>
        <v>15.309390357574264</v>
      </c>
      <c r="J472" s="11">
        <v>0.19020000000000001</v>
      </c>
      <c r="K472" s="12">
        <v>46</v>
      </c>
      <c r="L472" s="12">
        <f>-(F472*G472*$U$3)/J472</f>
        <v>-16.223524109959442</v>
      </c>
      <c r="M472" s="11">
        <f>ABS(L472/$U$6)</f>
        <v>4.7298904110668928E-2</v>
      </c>
      <c r="N472" s="12">
        <f>L472*SIN(RADIANS(K472))</f>
        <v>-11.670226594047516</v>
      </c>
      <c r="O472" s="12">
        <f>L472*COS(RADIANS(K472))</f>
        <v>-11.26980682132668</v>
      </c>
      <c r="P472" s="5">
        <v>2.1601089735545238</v>
      </c>
      <c r="Q472" s="5">
        <v>0.4412394516466297</v>
      </c>
      <c r="R472" s="6">
        <f>P472/Q472</f>
        <v>4.8955481326372086</v>
      </c>
    </row>
    <row r="473" spans="1:18" x14ac:dyDescent="0.35">
      <c r="A473" s="9">
        <v>473</v>
      </c>
      <c r="B473" s="5">
        <v>0.1</v>
      </c>
      <c r="C473" s="5">
        <v>4000000</v>
      </c>
      <c r="D473" s="5">
        <v>5</v>
      </c>
      <c r="E473" s="5">
        <v>0.125</v>
      </c>
      <c r="F473" s="5">
        <v>0</v>
      </c>
      <c r="G473" s="12">
        <f>(C473*$U$4)/($U$5*$U$3)</f>
        <v>58.775510204081627</v>
      </c>
      <c r="H473" s="11">
        <f>G473*COS(RADIANS(D473))</f>
        <v>58.551851642943404</v>
      </c>
      <c r="I473" s="11">
        <f>G473*SIN(RADIANS(D473))</f>
        <v>5.1226232472092956</v>
      </c>
      <c r="J473" s="12">
        <v>0.1658</v>
      </c>
      <c r="K473" s="12">
        <v>69</v>
      </c>
      <c r="L473" s="12">
        <f>-(F473*G473*$U$3)/J473</f>
        <v>0</v>
      </c>
      <c r="M473" s="11">
        <f>ABS(L473/$U$6)</f>
        <v>0</v>
      </c>
      <c r="N473" s="12">
        <f>L473*SIN(RADIANS(K473))</f>
        <v>0</v>
      </c>
      <c r="O473" s="12">
        <f>L473*COS(RADIANS(K473))</f>
        <v>0</v>
      </c>
      <c r="P473" s="5">
        <v>1.3672877032739754</v>
      </c>
      <c r="Q473" s="5">
        <v>0.35191271198890423</v>
      </c>
      <c r="R473" s="6">
        <f>P473/Q473</f>
        <v>3.8853035332156058</v>
      </c>
    </row>
    <row r="474" spans="1:18" x14ac:dyDescent="0.35">
      <c r="A474" s="9">
        <v>474</v>
      </c>
      <c r="B474" s="5">
        <v>0.5</v>
      </c>
      <c r="C474" s="5">
        <v>6000000</v>
      </c>
      <c r="D474" s="5">
        <v>15</v>
      </c>
      <c r="E474" s="5">
        <v>0</v>
      </c>
      <c r="F474" s="5">
        <v>2.5000000000000001E-2</v>
      </c>
      <c r="G474" s="12">
        <f>(C474*$U$4)/($U$5*$U$3)</f>
        <v>88.16326530612244</v>
      </c>
      <c r="H474" s="11">
        <f>G474*COS(RADIANS(D474))</f>
        <v>85.159174889158663</v>
      </c>
      <c r="I474" s="11">
        <f>G474*SIN(RADIANS(D474))</f>
        <v>22.818332139650806</v>
      </c>
      <c r="J474" s="12">
        <v>0.23230000000000001</v>
      </c>
      <c r="K474" s="12">
        <v>0</v>
      </c>
      <c r="L474" s="12">
        <f>-(F474*G474*$U$3)/J474</f>
        <v>-9.4880827923076243</v>
      </c>
      <c r="M474" s="11">
        <f>ABS(L474/$U$6)</f>
        <v>2.7662048957165085E-2</v>
      </c>
      <c r="N474" s="12">
        <f>L474*SIN(RADIANS(K474))</f>
        <v>0</v>
      </c>
      <c r="O474" s="12">
        <f>L474*COS(RADIANS(K474))</f>
        <v>-9.4880827923076243</v>
      </c>
      <c r="P474" s="5">
        <v>2.2155066576761873</v>
      </c>
      <c r="Q474" s="5">
        <v>0.82104097590742531</v>
      </c>
      <c r="R474" s="6">
        <f>P474/Q474</f>
        <v>2.6984118000049633</v>
      </c>
    </row>
    <row r="475" spans="1:18" x14ac:dyDescent="0.35">
      <c r="A475" s="9">
        <v>475</v>
      </c>
      <c r="B475" s="5">
        <v>0.1</v>
      </c>
      <c r="C475" s="5">
        <v>4000000</v>
      </c>
      <c r="D475" s="5">
        <v>20</v>
      </c>
      <c r="E475" s="5">
        <v>0.25</v>
      </c>
      <c r="F475" s="5">
        <v>7.4999999999999997E-2</v>
      </c>
      <c r="G475" s="12">
        <f>(C475*$U$4)/($U$5*$U$3)</f>
        <v>58.775510204081627</v>
      </c>
      <c r="H475" s="11">
        <f>G475*COS(RADIANS(D475))</f>
        <v>55.230913221702366</v>
      </c>
      <c r="I475" s="11">
        <f>G475*SIN(RADIANS(D475))</f>
        <v>20.102408424039304</v>
      </c>
      <c r="J475" s="11">
        <v>0.1661</v>
      </c>
      <c r="K475" s="12">
        <v>80</v>
      </c>
      <c r="L475" s="12">
        <f>-(F475*G475*$U$3)/J475</f>
        <v>-26.539212915750284</v>
      </c>
      <c r="M475" s="11">
        <f>ABS(L475/$U$6)</f>
        <v>7.7373798588193252E-2</v>
      </c>
      <c r="N475" s="12">
        <f>L475*SIN(RADIANS(K475))</f>
        <v>-26.136022638272607</v>
      </c>
      <c r="O475" s="12">
        <f>L475*COS(RADIANS(K475))</f>
        <v>-4.6084859595346996</v>
      </c>
      <c r="P475" s="5">
        <v>1.7011762276538278</v>
      </c>
      <c r="Q475" s="5">
        <v>0.81315576286925761</v>
      </c>
      <c r="R475" s="6">
        <f>P475/Q475</f>
        <v>2.09206686508763</v>
      </c>
    </row>
    <row r="476" spans="1:18" x14ac:dyDescent="0.35">
      <c r="A476" s="9">
        <v>476</v>
      </c>
      <c r="B476" s="5">
        <v>0.75</v>
      </c>
      <c r="C476" s="5">
        <v>2000000</v>
      </c>
      <c r="D476" s="5">
        <v>20</v>
      </c>
      <c r="E476" s="5">
        <v>0.25</v>
      </c>
      <c r="F476" s="5">
        <v>0.05</v>
      </c>
      <c r="G476" s="12">
        <f>(C476*$U$4)/($U$5*$U$3)</f>
        <v>29.387755102040813</v>
      </c>
      <c r="H476" s="11">
        <f>G476*COS(RADIANS(D476))</f>
        <v>27.615456610851183</v>
      </c>
      <c r="I476" s="11">
        <f>G476*SIN(RADIANS(D476))</f>
        <v>10.051204212019652</v>
      </c>
      <c r="J476" s="12">
        <v>0.28370000000000001</v>
      </c>
      <c r="K476" s="11">
        <v>38</v>
      </c>
      <c r="L476" s="12">
        <f>-(F476*G476*$U$3)/J476</f>
        <v>-5.179371713436872</v>
      </c>
      <c r="M476" s="11">
        <f>ABS(L476/$U$6)</f>
        <v>1.5100209077075429E-2</v>
      </c>
      <c r="N476" s="12">
        <f>L476*SIN(RADIANS(K476))</f>
        <v>-3.1887396303545272</v>
      </c>
      <c r="O476" s="12">
        <f>L476*COS(RADIANS(K476))</f>
        <v>-4.0814006071147277</v>
      </c>
      <c r="P476" s="5">
        <v>3.3485189649373517</v>
      </c>
      <c r="Q476" s="5">
        <v>0.89959692186756846</v>
      </c>
      <c r="R476" s="6">
        <f>P476/Q476</f>
        <v>3.7222436888576795</v>
      </c>
    </row>
    <row r="477" spans="1:18" x14ac:dyDescent="0.35">
      <c r="A477" s="9">
        <v>477</v>
      </c>
      <c r="B477" s="5">
        <v>1</v>
      </c>
      <c r="C477" s="5">
        <v>4000000</v>
      </c>
      <c r="D477" s="5">
        <v>0</v>
      </c>
      <c r="E477" s="5">
        <v>0.125</v>
      </c>
      <c r="F477" s="5">
        <v>1.4999999999999999E-2</v>
      </c>
      <c r="G477" s="12">
        <f>(C477*$U$4)/($U$5*$U$3)</f>
        <v>58.775510204081627</v>
      </c>
      <c r="H477" s="11">
        <f>G477*COS(RADIANS(D477))</f>
        <v>58.775510204081627</v>
      </c>
      <c r="I477" s="11">
        <f>G477*SIN(RADIANS(D477))</f>
        <v>0</v>
      </c>
      <c r="J477" s="11">
        <v>0.33379999999999999</v>
      </c>
      <c r="K477" s="12">
        <v>14</v>
      </c>
      <c r="L477" s="12">
        <f>-(F477*G477*$U$3)/J477</f>
        <v>-2.6412002787933626</v>
      </c>
      <c r="M477" s="11">
        <f>ABS(L477/$U$6)</f>
        <v>7.7002923579981416E-3</v>
      </c>
      <c r="N477" s="12">
        <f>L477*SIN(RADIANS(K477))</f>
        <v>-0.63896417810406114</v>
      </c>
      <c r="O477" s="12">
        <f>L477*COS(RADIANS(K477))</f>
        <v>-2.5627453427521703</v>
      </c>
      <c r="P477" s="5">
        <v>2.426278348508637</v>
      </c>
      <c r="Q477" s="5">
        <v>1.2782116605599656</v>
      </c>
      <c r="R477" s="6">
        <f>P477/Q477</f>
        <v>1.8981819861084044</v>
      </c>
    </row>
    <row r="478" spans="1:18" x14ac:dyDescent="0.35">
      <c r="A478" s="9">
        <v>478</v>
      </c>
      <c r="B478" s="5">
        <v>1</v>
      </c>
      <c r="C478" s="5">
        <v>4000000</v>
      </c>
      <c r="D478" s="5">
        <v>10</v>
      </c>
      <c r="E478" s="5">
        <v>0.375</v>
      </c>
      <c r="F478" s="5">
        <v>0.15</v>
      </c>
      <c r="G478" s="12">
        <f>(C478*$U$4)/($U$5*$U$3)</f>
        <v>58.775510204081627</v>
      </c>
      <c r="H478" s="11">
        <f>G478*COS(RADIANS(D478))</f>
        <v>57.882578136227728</v>
      </c>
      <c r="I478" s="11">
        <f>G478*SIN(RADIANS(D478))</f>
        <v>10.206260238382843</v>
      </c>
      <c r="J478" s="12">
        <v>0.33379999999999999</v>
      </c>
      <c r="K478" s="11">
        <v>49</v>
      </c>
      <c r="L478" s="12">
        <f>-(F478*G478*$U$3)/J478</f>
        <v>-26.412002787933627</v>
      </c>
      <c r="M478" s="11">
        <f>ABS(L478/$U$6)</f>
        <v>7.7002923579981425E-2</v>
      </c>
      <c r="N478" s="12">
        <f>L478*SIN(RADIANS(K478))</f>
        <v>-19.933391536924074</v>
      </c>
      <c r="O478" s="12">
        <f>L478*COS(RADIANS(K478))</f>
        <v>-17.327832902746305</v>
      </c>
      <c r="P478" s="5">
        <v>8.3042288026647029</v>
      </c>
      <c r="Q478" s="5">
        <v>-0.3866759076705058</v>
      </c>
      <c r="R478" s="6">
        <f>P478/Q478</f>
        <v>-21.475940543316447</v>
      </c>
    </row>
    <row r="479" spans="1:18" x14ac:dyDescent="0.35">
      <c r="A479" s="9">
        <v>479</v>
      </c>
      <c r="B479" s="5">
        <v>0.5</v>
      </c>
      <c r="C479" s="5">
        <v>2000000</v>
      </c>
      <c r="D479" s="5">
        <v>10</v>
      </c>
      <c r="E479" s="5">
        <v>0.25</v>
      </c>
      <c r="F479" s="5">
        <v>0</v>
      </c>
      <c r="G479" s="12">
        <f>(C479*$U$4)/($U$5*$U$3)</f>
        <v>29.387755102040813</v>
      </c>
      <c r="H479" s="11">
        <f>G479*COS(RADIANS(D479))</f>
        <v>28.941289068113864</v>
      </c>
      <c r="I479" s="11">
        <f>G479*SIN(RADIANS(D479))</f>
        <v>5.1031301191914213</v>
      </c>
      <c r="J479" s="11">
        <v>0.23580000000000001</v>
      </c>
      <c r="K479" s="11">
        <v>49</v>
      </c>
      <c r="L479" s="12">
        <f>-(F479*G479*$U$3)/J479</f>
        <v>0</v>
      </c>
      <c r="M479" s="11">
        <f>ABS(L479/$U$6)</f>
        <v>0</v>
      </c>
      <c r="N479" s="12">
        <f>L479*SIN(RADIANS(K479))</f>
        <v>0</v>
      </c>
      <c r="O479" s="12">
        <f>L479*COS(RADIANS(K479))</f>
        <v>0</v>
      </c>
      <c r="P479" s="5">
        <v>4.1995666386175587</v>
      </c>
      <c r="Q479" s="5">
        <v>0.88924432899484418</v>
      </c>
      <c r="R479" s="6">
        <f>P479/Q479</f>
        <v>4.7226240322100583</v>
      </c>
    </row>
    <row r="480" spans="1:18" x14ac:dyDescent="0.35">
      <c r="A480" s="9">
        <v>480</v>
      </c>
      <c r="B480" s="5">
        <v>0.25</v>
      </c>
      <c r="C480" s="5">
        <v>2000000</v>
      </c>
      <c r="D480" s="5">
        <v>5</v>
      </c>
      <c r="E480" s="5">
        <v>0.375</v>
      </c>
      <c r="F480" s="5">
        <v>0.1</v>
      </c>
      <c r="G480" s="12">
        <f>(C480*$U$4)/($U$5*$U$3)</f>
        <v>29.387755102040813</v>
      </c>
      <c r="H480" s="11">
        <f>G480*COS(RADIANS(D480))</f>
        <v>29.275925821471702</v>
      </c>
      <c r="I480" s="11">
        <f>G480*SIN(RADIANS(D480))</f>
        <v>2.5613116236046478</v>
      </c>
      <c r="J480" s="11">
        <v>0.1976</v>
      </c>
      <c r="K480" s="12">
        <v>78</v>
      </c>
      <c r="L480" s="12">
        <f>-(F480*G480*$U$3)/J480</f>
        <v>-14.872345699413367</v>
      </c>
      <c r="M480" s="11">
        <f>ABS(L480/$U$6)</f>
        <v>4.3359608453100197E-2</v>
      </c>
      <c r="N480" s="12">
        <f>L480*SIN(RADIANS(K480))</f>
        <v>-14.547349263164916</v>
      </c>
      <c r="O480" s="12">
        <f>L480*COS(RADIANS(K480))</f>
        <v>-3.0921345407912666</v>
      </c>
      <c r="P480" s="5">
        <v>2.5376908224939472</v>
      </c>
      <c r="Q480" s="5">
        <v>0.10394085428392827</v>
      </c>
      <c r="R480" s="6">
        <f>P480/Q480</f>
        <v>24.414758181243222</v>
      </c>
    </row>
    <row r="481" spans="1:18" x14ac:dyDescent="0.35">
      <c r="A481" s="9">
        <v>481</v>
      </c>
      <c r="B481" s="5">
        <v>1</v>
      </c>
      <c r="C481" s="5">
        <v>2000000</v>
      </c>
      <c r="D481" s="5">
        <v>30</v>
      </c>
      <c r="E481" s="5">
        <v>0.25</v>
      </c>
      <c r="F481" s="5">
        <v>7.4999999999999997E-2</v>
      </c>
      <c r="G481" s="12">
        <f>(C481*$U$4)/($U$5*$U$3)</f>
        <v>29.387755102040813</v>
      </c>
      <c r="H481" s="11">
        <f>G481*COS(RADIANS(D481))</f>
        <v>25.450542478563094</v>
      </c>
      <c r="I481" s="11">
        <f>G481*SIN(RADIANS(D481))</f>
        <v>14.693877551020405</v>
      </c>
      <c r="J481" s="13">
        <v>0.33379999999999999</v>
      </c>
      <c r="K481" s="12">
        <v>30</v>
      </c>
      <c r="L481" s="12">
        <f>-(F481*G481*$U$3)/J481</f>
        <v>-6.6030006969834067</v>
      </c>
      <c r="M481" s="11">
        <f>ABS(L481/$U$6)</f>
        <v>1.9250730894995356E-2</v>
      </c>
      <c r="N481" s="12">
        <f>L481*SIN(RADIANS(K481))</f>
        <v>-3.3015003484917029</v>
      </c>
      <c r="O481" s="12">
        <f>L481*COS(RADIANS(K481))</f>
        <v>-5.718366344793985</v>
      </c>
      <c r="P481" s="5">
        <v>4.8561507793876535</v>
      </c>
      <c r="Q481" s="5">
        <v>1.1985491635035053</v>
      </c>
      <c r="R481" s="6">
        <f>P481/Q481</f>
        <v>4.0516909337223455</v>
      </c>
    </row>
    <row r="482" spans="1:18" x14ac:dyDescent="0.35">
      <c r="A482" s="9">
        <v>482</v>
      </c>
      <c r="B482" s="5">
        <v>0.5</v>
      </c>
      <c r="C482" s="5">
        <v>4000000</v>
      </c>
      <c r="D482" s="5">
        <v>20</v>
      </c>
      <c r="E482" s="5">
        <v>0.125</v>
      </c>
      <c r="F482" s="5">
        <v>1.4999999999999999E-2</v>
      </c>
      <c r="G482" s="12">
        <f>(C482*$U$4)/($U$5*$U$3)</f>
        <v>58.775510204081627</v>
      </c>
      <c r="H482" s="11">
        <f>G482*COS(RADIANS(D482))</f>
        <v>55.230913221702366</v>
      </c>
      <c r="I482" s="11">
        <f>G482*SIN(RADIANS(D482))</f>
        <v>20.102408424039304</v>
      </c>
      <c r="J482" s="12">
        <v>0.23300000000000001</v>
      </c>
      <c r="K482" s="11">
        <v>27</v>
      </c>
      <c r="L482" s="12">
        <f>-(F482*G482*$U$3)/J482</f>
        <v>-3.7838311290181301</v>
      </c>
      <c r="M482" s="11">
        <f>ABS(L482/$U$6)</f>
        <v>1.1031577635621371E-2</v>
      </c>
      <c r="N482" s="12">
        <f>L482*SIN(RADIANS(K482))</f>
        <v>-1.7178233851929943</v>
      </c>
      <c r="O482" s="12">
        <f>L482*COS(RADIANS(K482))</f>
        <v>-3.371418222382192</v>
      </c>
      <c r="P482" s="5">
        <v>3.242989675966359</v>
      </c>
      <c r="Q482" s="5">
        <v>0.94636262337747989</v>
      </c>
      <c r="R482" s="6">
        <f>P482/Q482</f>
        <v>3.4267939116112083</v>
      </c>
    </row>
    <row r="483" spans="1:18" x14ac:dyDescent="0.35">
      <c r="A483" s="9">
        <v>483</v>
      </c>
      <c r="B483" s="5">
        <v>0.1</v>
      </c>
      <c r="C483" s="5">
        <v>4000000</v>
      </c>
      <c r="D483" s="5">
        <v>0</v>
      </c>
      <c r="E483" s="5">
        <v>0.125</v>
      </c>
      <c r="F483" s="5">
        <v>2.5000000000000001E-2</v>
      </c>
      <c r="G483" s="12">
        <f>(C483*$U$4)/($U$5*$U$3)</f>
        <v>58.775510204081627</v>
      </c>
      <c r="H483" s="11">
        <f>G483*COS(RADIANS(D483))</f>
        <v>58.775510204081627</v>
      </c>
      <c r="I483" s="11">
        <f>G483*SIN(RADIANS(D483))</f>
        <v>0</v>
      </c>
      <c r="J483" s="12">
        <v>0.1658</v>
      </c>
      <c r="K483" s="12">
        <v>69</v>
      </c>
      <c r="L483" s="12">
        <f>-(F483*G483*$U$3)/J483</f>
        <v>-8.8624110681667112</v>
      </c>
      <c r="M483" s="11">
        <f>ABS(L483/$U$6)</f>
        <v>2.5837933143343182E-2</v>
      </c>
      <c r="N483" s="12">
        <f>L483*SIN(RADIANS(K483))</f>
        <v>-8.2737735048125991</v>
      </c>
      <c r="O483" s="12">
        <f>L483*COS(RADIANS(K483))</f>
        <v>-3.1760040825264797</v>
      </c>
      <c r="P483" s="5">
        <v>1.2372790255262263</v>
      </c>
      <c r="Q483" s="5">
        <v>0.23888655312577028</v>
      </c>
      <c r="R483" s="6">
        <f>P483/Q483</f>
        <v>5.1793581904746935</v>
      </c>
    </row>
    <row r="484" spans="1:18" x14ac:dyDescent="0.35">
      <c r="A484" s="9">
        <v>484</v>
      </c>
      <c r="B484" s="5">
        <v>0.75</v>
      </c>
      <c r="C484" s="5">
        <v>4000000</v>
      </c>
      <c r="D484" s="5">
        <v>15</v>
      </c>
      <c r="E484" s="5">
        <v>0.125</v>
      </c>
      <c r="F484" s="5">
        <v>1.4999999999999999E-2</v>
      </c>
      <c r="G484" s="12">
        <f>(C484*$U$4)/($U$5*$U$3)</f>
        <v>58.775510204081627</v>
      </c>
      <c r="H484" s="11">
        <f>G484*COS(RADIANS(D484))</f>
        <v>56.772783259439109</v>
      </c>
      <c r="I484" s="11">
        <f>G484*SIN(RADIANS(D484))</f>
        <v>15.212221426433871</v>
      </c>
      <c r="J484" s="12">
        <v>0.2802</v>
      </c>
      <c r="K484" s="12">
        <v>19</v>
      </c>
      <c r="L484" s="12">
        <f>-(F484*G484*$U$3)/J484</f>
        <v>-3.1464405890835989</v>
      </c>
      <c r="M484" s="11">
        <f>ABS(L484/$U$6)</f>
        <v>9.1732961780862949E-3</v>
      </c>
      <c r="N484" s="12">
        <f>L484*SIN(RADIANS(K484))</f>
        <v>-1.0243808556970362</v>
      </c>
      <c r="O484" s="12">
        <f>L484*COS(RADIANS(K484))</f>
        <v>-2.9750180239981998</v>
      </c>
      <c r="P484" s="5">
        <v>3.8304843897477738</v>
      </c>
      <c r="Q484" s="5">
        <v>0.90073120575075427</v>
      </c>
      <c r="R484" s="6">
        <f>P484/Q484</f>
        <v>4.2526387065218723</v>
      </c>
    </row>
    <row r="485" spans="1:18" x14ac:dyDescent="0.35">
      <c r="A485" s="9">
        <v>485</v>
      </c>
      <c r="B485" s="5">
        <v>0.5</v>
      </c>
      <c r="C485" s="5">
        <v>6000000</v>
      </c>
      <c r="D485" s="5">
        <v>5</v>
      </c>
      <c r="E485" s="5">
        <v>0.25</v>
      </c>
      <c r="F485" s="5">
        <v>3.5000000000000003E-2</v>
      </c>
      <c r="G485" s="12">
        <f>(C485*$U$4)/($U$5*$U$3)</f>
        <v>88.16326530612244</v>
      </c>
      <c r="H485" s="11">
        <f>G485*COS(RADIANS(D485))</f>
        <v>87.827777464415107</v>
      </c>
      <c r="I485" s="11">
        <f>G485*SIN(RADIANS(D485))</f>
        <v>7.6839348708139434</v>
      </c>
      <c r="J485" s="11">
        <v>0.23580000000000001</v>
      </c>
      <c r="K485" s="11">
        <v>49</v>
      </c>
      <c r="L485" s="12">
        <f>-(F485*G485*$U$3)/J485</f>
        <v>-13.086150490730644</v>
      </c>
      <c r="M485" s="11">
        <f>ABS(L485/$U$6)</f>
        <v>3.8152042247028117E-2</v>
      </c>
      <c r="N485" s="12">
        <f>L485*SIN(RADIANS(K485))</f>
        <v>-9.8762431435913456</v>
      </c>
      <c r="O485" s="12">
        <f>L485*COS(RADIANS(K485))</f>
        <v>-8.5852871841723957</v>
      </c>
      <c r="P485" s="5">
        <v>2.6478667880054152</v>
      </c>
      <c r="Q485" s="5">
        <v>0.2438829654799641</v>
      </c>
      <c r="R485" s="6">
        <f>P485/Q485</f>
        <v>10.857120679971999</v>
      </c>
    </row>
    <row r="486" spans="1:18" x14ac:dyDescent="0.35">
      <c r="A486" s="9">
        <v>486</v>
      </c>
      <c r="B486" s="5">
        <v>1</v>
      </c>
      <c r="C486" s="5">
        <v>4000000</v>
      </c>
      <c r="D486" s="5">
        <v>30</v>
      </c>
      <c r="E486" s="5">
        <v>0.125</v>
      </c>
      <c r="F486" s="5">
        <v>7.4999999999999997E-2</v>
      </c>
      <c r="G486" s="12">
        <f>(C486*$U$4)/($U$5*$U$3)</f>
        <v>58.775510204081627</v>
      </c>
      <c r="H486" s="11">
        <f>G486*COS(RADIANS(D486))</f>
        <v>50.901084957126187</v>
      </c>
      <c r="I486" s="11">
        <f>G486*SIN(RADIANS(D486))</f>
        <v>29.38775510204081</v>
      </c>
      <c r="J486" s="11">
        <v>0.33379999999999999</v>
      </c>
      <c r="K486" s="12">
        <v>14</v>
      </c>
      <c r="L486" s="12">
        <f>-(F486*G486*$U$3)/J486</f>
        <v>-13.206001393966813</v>
      </c>
      <c r="M486" s="11">
        <f>ABS(L486/$U$6)</f>
        <v>3.8501461789990712E-2</v>
      </c>
      <c r="N486" s="12">
        <f>L486*SIN(RADIANS(K486))</f>
        <v>-3.1948208905203059</v>
      </c>
      <c r="O486" s="12">
        <f>L486*COS(RADIANS(K486))</f>
        <v>-12.81372671376085</v>
      </c>
      <c r="P486" s="5">
        <v>2.7782974907734586</v>
      </c>
      <c r="Q486" s="5">
        <v>1.3058142098554724</v>
      </c>
      <c r="R486" s="6">
        <f>P486/Q486</f>
        <v>2.1276361290944759</v>
      </c>
    </row>
    <row r="487" spans="1:18" x14ac:dyDescent="0.35">
      <c r="A487" s="9">
        <v>487</v>
      </c>
      <c r="B487" s="5">
        <v>0.1</v>
      </c>
      <c r="C487" s="5">
        <v>6000000</v>
      </c>
      <c r="D487" s="5">
        <v>10</v>
      </c>
      <c r="E487" s="5">
        <v>0.25</v>
      </c>
      <c r="F487" s="5">
        <v>0</v>
      </c>
      <c r="G487" s="12">
        <f>(C487*$U$4)/($U$5*$U$3)</f>
        <v>88.16326530612244</v>
      </c>
      <c r="H487" s="11">
        <f>G487*COS(RADIANS(D487))</f>
        <v>86.823867204341596</v>
      </c>
      <c r="I487" s="11">
        <f>G487*SIN(RADIANS(D487))</f>
        <v>15.309390357574264</v>
      </c>
      <c r="J487" s="11">
        <v>0.1661</v>
      </c>
      <c r="K487" s="12">
        <v>80</v>
      </c>
      <c r="L487" s="12">
        <f>-(F487*G487*$U$3)/J487</f>
        <v>0</v>
      </c>
      <c r="M487" s="11">
        <f>ABS(L487/$U$6)</f>
        <v>0</v>
      </c>
      <c r="N487" s="12">
        <f>L487*SIN(RADIANS(K487))</f>
        <v>0</v>
      </c>
      <c r="O487" s="12">
        <f>L487*COS(RADIANS(K487))</f>
        <v>0</v>
      </c>
      <c r="P487" s="5">
        <v>1.5839456021877687</v>
      </c>
      <c r="Q487" s="5">
        <v>0.50980833885025612</v>
      </c>
      <c r="R487" s="6">
        <f>P487/Q487</f>
        <v>3.106943299044417</v>
      </c>
    </row>
    <row r="488" spans="1:18" x14ac:dyDescent="0.35">
      <c r="A488" s="9">
        <v>488</v>
      </c>
      <c r="B488" s="5">
        <v>0.75</v>
      </c>
      <c r="C488" s="5">
        <v>4000000</v>
      </c>
      <c r="D488" s="5">
        <v>15</v>
      </c>
      <c r="E488" s="5">
        <v>0.25</v>
      </c>
      <c r="F488" s="5">
        <v>0.15</v>
      </c>
      <c r="G488" s="12">
        <f>(C488*$U$4)/($U$5*$U$3)</f>
        <v>58.775510204081627</v>
      </c>
      <c r="H488" s="11">
        <f>G488*COS(RADIANS(D488))</f>
        <v>56.772783259439109</v>
      </c>
      <c r="I488" s="11">
        <f>G488*SIN(RADIANS(D488))</f>
        <v>15.212221426433871</v>
      </c>
      <c r="J488" s="12">
        <v>0.28370000000000001</v>
      </c>
      <c r="K488" s="11">
        <v>38</v>
      </c>
      <c r="L488" s="12">
        <f>-(F488*G488*$U$3)/J488</f>
        <v>-31.076230280621232</v>
      </c>
      <c r="M488" s="11">
        <f>ABS(L488/$U$6)</f>
        <v>9.0601254462452568E-2</v>
      </c>
      <c r="N488" s="12">
        <f>L488*SIN(RADIANS(K488))</f>
        <v>-19.132437782127163</v>
      </c>
      <c r="O488" s="12">
        <f>L488*COS(RADIANS(K488))</f>
        <v>-24.488403642688368</v>
      </c>
      <c r="P488" s="5">
        <v>4.8760520592332277</v>
      </c>
      <c r="Q488" s="5">
        <v>0.35741065891587809</v>
      </c>
      <c r="R488" s="6">
        <f>P488/Q488</f>
        <v>13.642715844075816</v>
      </c>
    </row>
    <row r="489" spans="1:18" x14ac:dyDescent="0.35">
      <c r="A489" s="9">
        <v>489</v>
      </c>
      <c r="B489" s="5">
        <v>0.5</v>
      </c>
      <c r="C489" s="5">
        <v>4000000</v>
      </c>
      <c r="D489" s="5">
        <v>10</v>
      </c>
      <c r="E489" s="5">
        <v>0.375</v>
      </c>
      <c r="F489" s="5">
        <v>1.4999999999999999E-2</v>
      </c>
      <c r="G489" s="12">
        <f>(C489*$U$4)/($U$5*$U$3)</f>
        <v>58.775510204081627</v>
      </c>
      <c r="H489" s="11">
        <f>G489*COS(RADIANS(D489))</f>
        <v>57.882578136227728</v>
      </c>
      <c r="I489" s="11">
        <f>G489*SIN(RADIANS(D489))</f>
        <v>10.206260238382843</v>
      </c>
      <c r="J489" s="12">
        <v>0.24809999999999999</v>
      </c>
      <c r="K489" s="12">
        <v>67</v>
      </c>
      <c r="L489" s="12">
        <f>-(F489*G489*$U$3)/J489</f>
        <v>-3.5535374972237985</v>
      </c>
      <c r="M489" s="11">
        <f>ABS(L489/$U$6)</f>
        <v>1.0360167630390084E-2</v>
      </c>
      <c r="N489" s="12">
        <f>L489*SIN(RADIANS(K489))</f>
        <v>-3.2710485131197444</v>
      </c>
      <c r="O489" s="12">
        <f>L489*COS(RADIANS(K489))</f>
        <v>-1.3884777164192041</v>
      </c>
      <c r="P489" s="5">
        <v>3.2499168439045509</v>
      </c>
      <c r="Q489" s="5">
        <v>0.26002530371194349</v>
      </c>
      <c r="R489" s="6">
        <f>P489/Q489</f>
        <v>12.498463793757606</v>
      </c>
    </row>
    <row r="490" spans="1:18" x14ac:dyDescent="0.35">
      <c r="A490" s="9">
        <v>490</v>
      </c>
      <c r="B490" s="5">
        <v>1</v>
      </c>
      <c r="C490" s="5">
        <v>6000000</v>
      </c>
      <c r="D490" s="5">
        <v>20</v>
      </c>
      <c r="E490" s="5">
        <v>0</v>
      </c>
      <c r="F490" s="5">
        <v>3.5000000000000003E-2</v>
      </c>
      <c r="G490" s="12">
        <f>(C490*$U$4)/($U$5*$U$3)</f>
        <v>88.16326530612244</v>
      </c>
      <c r="H490" s="11">
        <f>G490*COS(RADIANS(D490))</f>
        <v>82.846369832553549</v>
      </c>
      <c r="I490" s="11">
        <f>G490*SIN(RADIANS(D490))</f>
        <v>30.153612636058952</v>
      </c>
      <c r="J490" s="11">
        <v>0.33379999999999999</v>
      </c>
      <c r="K490" s="12">
        <v>0</v>
      </c>
      <c r="L490" s="12">
        <f>-(F490*G490*$U$3)/J490</f>
        <v>-9.2442009757767707</v>
      </c>
      <c r="M490" s="11">
        <f>ABS(L490/$U$6)</f>
        <v>2.6951023252993502E-2</v>
      </c>
      <c r="N490" s="12">
        <f>L490*SIN(RADIANS(K490))</f>
        <v>0</v>
      </c>
      <c r="O490" s="12">
        <f>L490*COS(RADIANS(K490))</f>
        <v>-9.2442009757767707</v>
      </c>
      <c r="P490" s="5">
        <v>0.3616203417551942</v>
      </c>
      <c r="Q490" s="5">
        <v>2.115374548299477</v>
      </c>
      <c r="R490" s="6">
        <f>P490/Q490</f>
        <v>0.17094861146263496</v>
      </c>
    </row>
    <row r="491" spans="1:18" x14ac:dyDescent="0.35">
      <c r="A491" s="9">
        <v>491</v>
      </c>
      <c r="B491" s="5">
        <v>0.1</v>
      </c>
      <c r="C491" s="5">
        <v>6000000</v>
      </c>
      <c r="D491" s="5">
        <v>5</v>
      </c>
      <c r="E491" s="5">
        <v>0.375</v>
      </c>
      <c r="F491" s="5">
        <v>1.4999999999999999E-2</v>
      </c>
      <c r="G491" s="12">
        <f>(C491*$U$4)/($U$5*$U$3)</f>
        <v>88.16326530612244</v>
      </c>
      <c r="H491" s="11">
        <f>G491*COS(RADIANS(D491))</f>
        <v>87.827777464415107</v>
      </c>
      <c r="I491" s="11">
        <f>G491*SIN(RADIANS(D491))</f>
        <v>7.6839348708139434</v>
      </c>
      <c r="J491" s="12">
        <v>0.16789999999999999</v>
      </c>
      <c r="K491" s="11">
        <v>85</v>
      </c>
      <c r="L491" s="12">
        <f>-(F491*G491*$U$3)/J491</f>
        <v>-7.8764084549841371</v>
      </c>
      <c r="M491" s="11">
        <f>ABS(L491/$U$6)</f>
        <v>2.2963289956221974E-2</v>
      </c>
      <c r="N491" s="12">
        <f>L491*SIN(RADIANS(K491))</f>
        <v>-7.8464363428601942</v>
      </c>
      <c r="O491" s="12">
        <f>L491*COS(RADIANS(K491))</f>
        <v>-0.68647422907807698</v>
      </c>
      <c r="P491" s="5">
        <v>1.6032513514695019</v>
      </c>
      <c r="Q491" s="5">
        <v>0.33158968024535351</v>
      </c>
      <c r="R491" s="6">
        <f>P491/Q491</f>
        <v>4.8350459829847736</v>
      </c>
    </row>
    <row r="492" spans="1:18" x14ac:dyDescent="0.35">
      <c r="A492" s="9">
        <v>492</v>
      </c>
      <c r="B492" s="5">
        <v>0.75</v>
      </c>
      <c r="C492" s="5">
        <v>6000000</v>
      </c>
      <c r="D492" s="5">
        <v>20</v>
      </c>
      <c r="E492" s="5">
        <v>0</v>
      </c>
      <c r="F492" s="5">
        <v>0.05</v>
      </c>
      <c r="G492" s="12">
        <f>(C492*$U$4)/($U$5*$U$3)</f>
        <v>88.16326530612244</v>
      </c>
      <c r="H492" s="11">
        <f>G492*COS(RADIANS(D492))</f>
        <v>82.846369832553549</v>
      </c>
      <c r="I492" s="11">
        <f>G492*SIN(RADIANS(D492))</f>
        <v>30.153612636058952</v>
      </c>
      <c r="J492" s="11">
        <v>0.27929999999999999</v>
      </c>
      <c r="K492" s="12">
        <v>0</v>
      </c>
      <c r="L492" s="12">
        <f>-(F492*G492*$U$3)/J492</f>
        <v>-15.782897476928472</v>
      </c>
      <c r="M492" s="11">
        <f>ABS(L492/$U$6)</f>
        <v>4.6014278358392044E-2</v>
      </c>
      <c r="N492" s="12">
        <f>L492*SIN(RADIANS(K492))</f>
        <v>0</v>
      </c>
      <c r="O492" s="12">
        <f>L492*COS(RADIANS(K492))</f>
        <v>-15.782897476928472</v>
      </c>
      <c r="P492" s="5">
        <v>3.8725063675346929</v>
      </c>
      <c r="Q492" s="5">
        <v>1.182687863362714</v>
      </c>
      <c r="R492" s="6">
        <f>P492/Q492</f>
        <v>3.2743266313091848</v>
      </c>
    </row>
    <row r="493" spans="1:18" x14ac:dyDescent="0.35">
      <c r="A493" s="9">
        <v>493</v>
      </c>
      <c r="B493" s="5">
        <v>1</v>
      </c>
      <c r="C493" s="5">
        <v>2000000</v>
      </c>
      <c r="D493" s="5">
        <v>20</v>
      </c>
      <c r="E493" s="5">
        <v>0.375</v>
      </c>
      <c r="F493" s="5">
        <v>3.5000000000000003E-2</v>
      </c>
      <c r="G493" s="12">
        <f>(C493*$U$4)/($U$5*$U$3)</f>
        <v>29.387755102040813</v>
      </c>
      <c r="H493" s="11">
        <f>G493*COS(RADIANS(D493))</f>
        <v>27.615456610851183</v>
      </c>
      <c r="I493" s="11">
        <f>G493*SIN(RADIANS(D493))</f>
        <v>10.051204212019652</v>
      </c>
      <c r="J493" s="12">
        <v>0.33379999999999999</v>
      </c>
      <c r="K493" s="11">
        <v>49</v>
      </c>
      <c r="L493" s="12">
        <f>-(F493*G493*$U$3)/J493</f>
        <v>-3.0814003252589233</v>
      </c>
      <c r="M493" s="11">
        <f>ABS(L493/$U$6)</f>
        <v>8.983674417664499E-3</v>
      </c>
      <c r="N493" s="12">
        <f>L493*SIN(RADIANS(K493))</f>
        <v>-2.325562345974475</v>
      </c>
      <c r="O493" s="12">
        <f>L493*COS(RADIANS(K493))</f>
        <v>-2.0215805053204026</v>
      </c>
      <c r="P493" s="5">
        <v>5.0402567519151127</v>
      </c>
      <c r="Q493" s="5">
        <v>0.79631076157335734</v>
      </c>
      <c r="R493" s="6">
        <f>P493/Q493</f>
        <v>6.3295097782636169</v>
      </c>
    </row>
    <row r="494" spans="1:18" x14ac:dyDescent="0.35">
      <c r="A494" s="9">
        <v>494</v>
      </c>
      <c r="B494" s="5">
        <v>0.5</v>
      </c>
      <c r="C494" s="5">
        <v>2000000</v>
      </c>
      <c r="D494" s="5">
        <v>5</v>
      </c>
      <c r="E494" s="5">
        <v>0.375</v>
      </c>
      <c r="F494" s="5">
        <v>0.05</v>
      </c>
      <c r="G494" s="12">
        <f>(C494*$U$4)/($U$5*$U$3)</f>
        <v>29.387755102040813</v>
      </c>
      <c r="H494" s="11">
        <f>G494*COS(RADIANS(D494))</f>
        <v>29.275925821471702</v>
      </c>
      <c r="I494" s="11">
        <f>G494*SIN(RADIANS(D494))</f>
        <v>2.5613116236046478</v>
      </c>
      <c r="J494" s="12">
        <v>0.24809999999999999</v>
      </c>
      <c r="K494" s="12">
        <v>67</v>
      </c>
      <c r="L494" s="12">
        <f>-(F494*G494*$U$3)/J494</f>
        <v>-5.9225624953729978</v>
      </c>
      <c r="M494" s="11">
        <f>ABS(L494/$U$6)</f>
        <v>1.7266946050650139E-2</v>
      </c>
      <c r="N494" s="12">
        <f>L494*SIN(RADIANS(K494))</f>
        <v>-5.451747521866241</v>
      </c>
      <c r="O494" s="12">
        <f>L494*COS(RADIANS(K494))</f>
        <v>-2.3141295273653402</v>
      </c>
      <c r="P494" s="5">
        <v>3.4211940811821582</v>
      </c>
      <c r="Q494" s="5">
        <v>-3.2640504092724607E-2</v>
      </c>
      <c r="R494" s="6">
        <f>P494/Q494</f>
        <v>-104.81437637921542</v>
      </c>
    </row>
    <row r="495" spans="1:18" x14ac:dyDescent="0.35">
      <c r="A495" s="9">
        <v>495</v>
      </c>
      <c r="B495" s="5">
        <v>0.1</v>
      </c>
      <c r="C495" s="5">
        <v>4000000</v>
      </c>
      <c r="D495" s="5">
        <v>10</v>
      </c>
      <c r="E495" s="5">
        <v>0.125</v>
      </c>
      <c r="F495" s="5">
        <v>0.05</v>
      </c>
      <c r="G495" s="12">
        <f>(C495*$U$4)/($U$5*$U$3)</f>
        <v>58.775510204081627</v>
      </c>
      <c r="H495" s="11">
        <f>G495*COS(RADIANS(D495))</f>
        <v>57.882578136227728</v>
      </c>
      <c r="I495" s="11">
        <f>G495*SIN(RADIANS(D495))</f>
        <v>10.206260238382843</v>
      </c>
      <c r="J495" s="12">
        <v>0.1658</v>
      </c>
      <c r="K495" s="12">
        <v>69</v>
      </c>
      <c r="L495" s="12">
        <f>-(F495*G495*$U$3)/J495</f>
        <v>-17.724822136333422</v>
      </c>
      <c r="M495" s="11">
        <f>ABS(L495/$U$6)</f>
        <v>5.1675866286686363E-2</v>
      </c>
      <c r="N495" s="12">
        <f>L495*SIN(RADIANS(K495))</f>
        <v>-16.547547009625198</v>
      </c>
      <c r="O495" s="12">
        <f>L495*COS(RADIANS(K495))</f>
        <v>-6.3520081650529594</v>
      </c>
      <c r="P495" s="5">
        <v>1.543315030163146</v>
      </c>
      <c r="Q495" s="5">
        <v>0.45813342924936251</v>
      </c>
      <c r="R495" s="6">
        <f>P495/Q495</f>
        <v>3.3687020671943109</v>
      </c>
    </row>
    <row r="496" spans="1:18" x14ac:dyDescent="0.35">
      <c r="A496" s="9">
        <v>496</v>
      </c>
      <c r="B496" s="5">
        <v>0.75</v>
      </c>
      <c r="C496" s="5">
        <v>4000000</v>
      </c>
      <c r="D496" s="5">
        <v>0</v>
      </c>
      <c r="E496" s="5">
        <v>0.25</v>
      </c>
      <c r="F496" s="5">
        <v>0.15</v>
      </c>
      <c r="G496" s="12">
        <f>(C496*$U$4)/($U$5*$U$3)</f>
        <v>58.775510204081627</v>
      </c>
      <c r="H496" s="11">
        <f>G496*COS(RADIANS(D496))</f>
        <v>58.775510204081627</v>
      </c>
      <c r="I496" s="11">
        <f>G496*SIN(RADIANS(D496))</f>
        <v>0</v>
      </c>
      <c r="J496" s="12">
        <v>0.28370000000000001</v>
      </c>
      <c r="K496" s="11">
        <v>38</v>
      </c>
      <c r="L496" s="12">
        <f>-(F496*G496*$U$3)/J496</f>
        <v>-31.076230280621232</v>
      </c>
      <c r="M496" s="11">
        <f>ABS(L496/$U$6)</f>
        <v>9.0601254462452568E-2</v>
      </c>
      <c r="N496" s="12">
        <f>L496*SIN(RADIANS(K496))</f>
        <v>-19.132437782127163</v>
      </c>
      <c r="O496" s="12">
        <f>L496*COS(RADIANS(K496))</f>
        <v>-24.488403642688368</v>
      </c>
      <c r="P496" s="5">
        <v>4.5089150963736984</v>
      </c>
      <c r="Q496" s="5">
        <v>-0.48201925089096265</v>
      </c>
      <c r="R496" s="6">
        <f>P496/Q496</f>
        <v>-9.3542220316708011</v>
      </c>
    </row>
    <row r="497" spans="1:18" x14ac:dyDescent="0.35">
      <c r="A497" s="9">
        <v>497</v>
      </c>
      <c r="B497" s="5">
        <v>1</v>
      </c>
      <c r="C497" s="5">
        <v>2000000</v>
      </c>
      <c r="D497" s="5">
        <v>0</v>
      </c>
      <c r="E497" s="5">
        <v>0.125</v>
      </c>
      <c r="F497" s="5">
        <v>0.15</v>
      </c>
      <c r="G497" s="12">
        <f>(C497*$U$4)/($U$5*$U$3)</f>
        <v>29.387755102040813</v>
      </c>
      <c r="H497" s="11">
        <f>G497*COS(RADIANS(D497))</f>
        <v>29.387755102040813</v>
      </c>
      <c r="I497" s="11">
        <f>G497*SIN(RADIANS(D497))</f>
        <v>0</v>
      </c>
      <c r="J497" s="11">
        <v>0.33379999999999999</v>
      </c>
      <c r="K497" s="12">
        <v>14</v>
      </c>
      <c r="L497" s="12">
        <f>-(F497*G497*$U$3)/J497</f>
        <v>-13.206001393966813</v>
      </c>
      <c r="M497" s="11">
        <f>ABS(L497/$U$6)</f>
        <v>3.8501461789990712E-2</v>
      </c>
      <c r="N497" s="12">
        <f>L497*SIN(RADIANS(K497))</f>
        <v>-3.1948208905203059</v>
      </c>
      <c r="O497" s="12">
        <f>L497*COS(RADIANS(K497))</f>
        <v>-12.81372671376085</v>
      </c>
      <c r="P497" s="5">
        <v>4.6729541769733389</v>
      </c>
      <c r="Q497" s="5">
        <v>-0.18635400040330852</v>
      </c>
      <c r="R497" s="6">
        <f>P497/Q497</f>
        <v>-25.075684808805292</v>
      </c>
    </row>
    <row r="498" spans="1:18" x14ac:dyDescent="0.35">
      <c r="A498" s="9">
        <v>498</v>
      </c>
      <c r="B498" s="5">
        <v>0.1</v>
      </c>
      <c r="C498" s="5">
        <v>6000000</v>
      </c>
      <c r="D498" s="5">
        <v>15</v>
      </c>
      <c r="E498" s="5">
        <v>0</v>
      </c>
      <c r="F498" s="5">
        <v>2.5000000000000001E-2</v>
      </c>
      <c r="G498" s="12">
        <f>(C498*$U$4)/($U$5*$U$3)</f>
        <v>88.16326530612244</v>
      </c>
      <c r="H498" s="11">
        <f>G498*COS(RADIANS(D498))</f>
        <v>85.159174889158663</v>
      </c>
      <c r="I498" s="11">
        <f>G498*SIN(RADIANS(D498))</f>
        <v>22.818332139650806</v>
      </c>
      <c r="J498" s="11">
        <v>0.16569999999999999</v>
      </c>
      <c r="K498" s="12">
        <v>0</v>
      </c>
      <c r="L498" s="12">
        <f>-(F498*G498*$U$3)/J498</f>
        <v>-13.301639303880876</v>
      </c>
      <c r="M498" s="11">
        <f>ABS(L498/$U$6)</f>
        <v>3.8780289515687683E-2</v>
      </c>
      <c r="N498" s="12">
        <f>L498*SIN(RADIANS(K498))</f>
        <v>0</v>
      </c>
      <c r="O498" s="12">
        <f>L498*COS(RADIANS(K498))</f>
        <v>-13.301639303880876</v>
      </c>
      <c r="P498" s="5">
        <v>1.3280736122901555</v>
      </c>
      <c r="Q498" s="5">
        <v>0.5118018575958122</v>
      </c>
      <c r="R498" s="6">
        <f>P498/Q498</f>
        <v>2.5948979914390651</v>
      </c>
    </row>
    <row r="499" spans="1:18" x14ac:dyDescent="0.35">
      <c r="A499" s="9">
        <v>2254</v>
      </c>
      <c r="B499" s="5">
        <v>0.5</v>
      </c>
      <c r="C499" s="5">
        <v>6000000</v>
      </c>
      <c r="D499" s="5">
        <v>20</v>
      </c>
      <c r="E499" s="5">
        <v>0.25</v>
      </c>
      <c r="F499" s="5">
        <v>0.15</v>
      </c>
      <c r="G499" s="12">
        <f>(C499*$U$4)/($U$5*$U$3)</f>
        <v>88.16326530612244</v>
      </c>
      <c r="H499" s="11">
        <f>G499*COS(RADIANS(D499))</f>
        <v>82.846369832553549</v>
      </c>
      <c r="I499" s="11">
        <f>G499*SIN(RADIANS(D499))</f>
        <v>30.153612636058952</v>
      </c>
      <c r="J499" s="20">
        <v>0.23580000000000001</v>
      </c>
      <c r="K499" s="20">
        <v>49</v>
      </c>
      <c r="L499" s="12">
        <f>-(F499*G499*$U$3)/J499</f>
        <v>-56.083502103131323</v>
      </c>
      <c r="M499" s="11">
        <f>ABS(L499/$U$6)</f>
        <v>0.16350875248726332</v>
      </c>
      <c r="N499" s="12">
        <f>L499*SIN(RADIANS(K499))</f>
        <v>-42.326756329677195</v>
      </c>
      <c r="O499" s="12">
        <f>L499*COS(RADIANS(K499))</f>
        <v>-36.794087932167407</v>
      </c>
      <c r="P499" s="5">
        <v>5.771849298477786</v>
      </c>
      <c r="Q499" s="5">
        <v>0.89015811711736426</v>
      </c>
      <c r="R499" s="6">
        <f>P499/Q499</f>
        <v>6.4840719727063814</v>
      </c>
    </row>
    <row r="500" spans="1:18" x14ac:dyDescent="0.35">
      <c r="A500" s="9">
        <v>500</v>
      </c>
      <c r="B500" s="5">
        <v>0.25</v>
      </c>
      <c r="C500" s="5">
        <v>6000000</v>
      </c>
      <c r="D500" s="5">
        <v>0</v>
      </c>
      <c r="E500" s="5">
        <v>0.25</v>
      </c>
      <c r="F500" s="5">
        <v>2.5000000000000001E-2</v>
      </c>
      <c r="G500" s="12">
        <f>(C500*$U$4)/($U$5*$U$3)</f>
        <v>88.16326530612244</v>
      </c>
      <c r="H500" s="11">
        <f>G500*COS(RADIANS(D500))</f>
        <v>88.16326530612244</v>
      </c>
      <c r="I500" s="11">
        <f>G500*SIN(RADIANS(D500))</f>
        <v>0</v>
      </c>
      <c r="J500" s="12">
        <v>0.1913</v>
      </c>
      <c r="K500" s="11">
        <v>67</v>
      </c>
      <c r="L500" s="12">
        <f>-(F500*G500*$U$3)/J500</f>
        <v>-11.521597661542399</v>
      </c>
      <c r="M500" s="11">
        <f>ABS(L500/$U$6)</f>
        <v>3.3590663736275214E-2</v>
      </c>
      <c r="N500" s="12">
        <f>L500*SIN(RADIANS(K500))</f>
        <v>-10.605686566976066</v>
      </c>
      <c r="O500" s="12">
        <f>L500*COS(RADIANS(K500))</f>
        <v>-4.501846856293839</v>
      </c>
      <c r="P500" s="5">
        <v>1.9817810726455176</v>
      </c>
      <c r="Q500" s="5">
        <v>0.14824702571917425</v>
      </c>
      <c r="R500" s="6">
        <f>P500/Q500</f>
        <v>13.368100054834317</v>
      </c>
    </row>
    <row r="501" spans="1:18" x14ac:dyDescent="0.35">
      <c r="A501" s="9">
        <v>501</v>
      </c>
      <c r="B501" s="5">
        <v>1</v>
      </c>
      <c r="C501" s="5">
        <v>4000000</v>
      </c>
      <c r="D501" s="5">
        <v>20</v>
      </c>
      <c r="E501" s="5">
        <v>0.125</v>
      </c>
      <c r="F501" s="5">
        <v>0.15</v>
      </c>
      <c r="G501" s="12">
        <f>(C501*$U$4)/($U$5*$U$3)</f>
        <v>58.775510204081627</v>
      </c>
      <c r="H501" s="11">
        <f>G501*COS(RADIANS(D501))</f>
        <v>55.230913221702366</v>
      </c>
      <c r="I501" s="11">
        <f>G501*SIN(RADIANS(D501))</f>
        <v>20.102408424039304</v>
      </c>
      <c r="J501" s="11">
        <v>0.33379999999999999</v>
      </c>
      <c r="K501" s="12">
        <v>14</v>
      </c>
      <c r="L501" s="12">
        <f>-(F501*G501*$U$3)/J501</f>
        <v>-26.412002787933627</v>
      </c>
      <c r="M501" s="11">
        <f>ABS(L501/$U$6)</f>
        <v>7.7002923579981425E-2</v>
      </c>
      <c r="N501" s="12">
        <f>L501*SIN(RADIANS(K501))</f>
        <v>-6.3896417810406119</v>
      </c>
      <c r="O501" s="12">
        <f>L501*COS(RADIANS(K501))</f>
        <v>-25.627453427521701</v>
      </c>
      <c r="P501" s="5">
        <v>3.9955264722590305</v>
      </c>
      <c r="Q501" s="5">
        <v>0.80714929821152337</v>
      </c>
      <c r="R501" s="6">
        <f>P501/Q501</f>
        <v>4.9501702858594987</v>
      </c>
    </row>
    <row r="502" spans="1:18" x14ac:dyDescent="0.35">
      <c r="A502" s="9">
        <v>502</v>
      </c>
      <c r="B502" s="5">
        <v>0.75</v>
      </c>
      <c r="C502" s="5">
        <v>6000000</v>
      </c>
      <c r="D502" s="5">
        <v>30</v>
      </c>
      <c r="E502" s="5">
        <v>0.375</v>
      </c>
      <c r="F502" s="5">
        <v>0.1</v>
      </c>
      <c r="G502" s="12">
        <f>(C502*$U$4)/($U$5*$U$3)</f>
        <v>88.16326530612244</v>
      </c>
      <c r="H502" s="11">
        <f>G502*COS(RADIANS(D502))</f>
        <v>76.351627435689281</v>
      </c>
      <c r="I502" s="11">
        <f>G502*SIN(RADIANS(D502))</f>
        <v>44.081632653061213</v>
      </c>
      <c r="J502" s="11">
        <v>0.29299999999999998</v>
      </c>
      <c r="K502" s="12">
        <v>57</v>
      </c>
      <c r="L502" s="12">
        <f>-(F502*G502*$U$3)/J502</f>
        <v>-30.089851640314826</v>
      </c>
      <c r="M502" s="11">
        <f>ABS(L502/$U$6)</f>
        <v>8.7725514986340597E-2</v>
      </c>
      <c r="N502" s="12">
        <f>L502*SIN(RADIANS(K502))</f>
        <v>-25.235472964576385</v>
      </c>
      <c r="O502" s="12">
        <f>L502*COS(RADIANS(K502))</f>
        <v>-16.388107761126395</v>
      </c>
      <c r="P502" s="5">
        <v>5.7613908882186085</v>
      </c>
      <c r="Q502" s="5">
        <v>1.3856825424540238</v>
      </c>
      <c r="R502" s="6">
        <f>P502/Q502</f>
        <v>4.1578000095283505</v>
      </c>
    </row>
    <row r="503" spans="1:18" x14ac:dyDescent="0.35">
      <c r="A503" s="9">
        <v>503</v>
      </c>
      <c r="B503" s="5">
        <v>0.5</v>
      </c>
      <c r="C503" s="5">
        <v>2000000</v>
      </c>
      <c r="D503" s="5">
        <v>30</v>
      </c>
      <c r="E503" s="5">
        <v>0</v>
      </c>
      <c r="F503" s="5">
        <v>7.4999999999999997E-2</v>
      </c>
      <c r="G503" s="12">
        <f>(C503*$U$4)/($U$5*$U$3)</f>
        <v>29.387755102040813</v>
      </c>
      <c r="H503" s="11">
        <f>G503*COS(RADIANS(D503))</f>
        <v>25.450542478563094</v>
      </c>
      <c r="I503" s="11">
        <f>G503*SIN(RADIANS(D503))</f>
        <v>14.693877551020405</v>
      </c>
      <c r="J503" s="12">
        <v>0.23230000000000001</v>
      </c>
      <c r="K503" s="12">
        <v>0</v>
      </c>
      <c r="L503" s="12">
        <f>-(F503*G503*$U$3)/J503</f>
        <v>-9.4880827923076243</v>
      </c>
      <c r="M503" s="11">
        <f>ABS(L503/$U$6)</f>
        <v>2.7662048957165085E-2</v>
      </c>
      <c r="N503" s="12">
        <f>L503*SIN(RADIANS(K503))</f>
        <v>0</v>
      </c>
      <c r="O503" s="12">
        <f>L503*COS(RADIANS(K503))</f>
        <v>-9.4880827923076243</v>
      </c>
      <c r="P503" s="5">
        <v>4.3874696354250018</v>
      </c>
      <c r="Q503" s="5">
        <v>1.4800543962554382</v>
      </c>
      <c r="R503" s="6">
        <f>P503/Q503</f>
        <v>2.9643975562826417</v>
      </c>
    </row>
    <row r="504" spans="1:18" x14ac:dyDescent="0.35">
      <c r="A504" s="9">
        <v>875</v>
      </c>
      <c r="B504" s="5">
        <v>0.5</v>
      </c>
      <c r="C504" s="5">
        <v>6000000</v>
      </c>
      <c r="D504" s="5">
        <v>10</v>
      </c>
      <c r="E504" s="5">
        <v>0.375</v>
      </c>
      <c r="F504" s="5">
        <v>0.15</v>
      </c>
      <c r="G504" s="12">
        <f>(C504*$U$4)/($U$5*$U$3)</f>
        <v>88.16326530612244</v>
      </c>
      <c r="H504" s="11">
        <f>G504*COS(RADIANS(D504))</f>
        <v>86.823867204341596</v>
      </c>
      <c r="I504" s="11">
        <f>G504*SIN(RADIANS(D504))</f>
        <v>15.309390357574264</v>
      </c>
      <c r="J504" s="19">
        <v>0.24809999999999999</v>
      </c>
      <c r="K504" s="12">
        <v>67</v>
      </c>
      <c r="L504" s="12">
        <f>-(F504*G504*$U$3)/J504</f>
        <v>-53.303062458356983</v>
      </c>
      <c r="M504" s="11">
        <f>ABS(L504/$U$6)</f>
        <v>0.15540251445585126</v>
      </c>
      <c r="N504" s="12">
        <f>L504*SIN(RADIANS(K504))</f>
        <v>-49.065727696796174</v>
      </c>
      <c r="O504" s="12">
        <f>L504*COS(RADIANS(K504))</f>
        <v>-20.827165746288063</v>
      </c>
      <c r="P504" s="5">
        <v>4.8667326771028474</v>
      </c>
      <c r="Q504" s="5">
        <v>-2.4659405075670757E-2</v>
      </c>
      <c r="R504" s="6">
        <f>P504/Q504</f>
        <v>-197.35807340722994</v>
      </c>
    </row>
    <row r="505" spans="1:18" x14ac:dyDescent="0.35">
      <c r="A505" s="9">
        <v>505</v>
      </c>
      <c r="B505" s="5">
        <v>1</v>
      </c>
      <c r="C505" s="5">
        <v>6000000</v>
      </c>
      <c r="D505" s="5">
        <v>5</v>
      </c>
      <c r="E505" s="5">
        <v>0.375</v>
      </c>
      <c r="F505" s="5">
        <v>0</v>
      </c>
      <c r="G505" s="12">
        <f>(C505*$U$4)/($U$5*$U$3)</f>
        <v>88.16326530612244</v>
      </c>
      <c r="H505" s="11">
        <f>G505*COS(RADIANS(D505))</f>
        <v>87.827777464415107</v>
      </c>
      <c r="I505" s="11">
        <f>G505*SIN(RADIANS(D505))</f>
        <v>7.6839348708139434</v>
      </c>
      <c r="J505" s="12">
        <v>0.33379999999999999</v>
      </c>
      <c r="K505" s="11">
        <v>49</v>
      </c>
      <c r="L505" s="12">
        <f>-(F505*G505*$U$3)/J505</f>
        <v>0</v>
      </c>
      <c r="M505" s="11">
        <f>ABS(L505/$U$6)</f>
        <v>0</v>
      </c>
      <c r="N505" s="12">
        <f>L505*SIN(RADIANS(K505))</f>
        <v>0</v>
      </c>
      <c r="O505" s="12">
        <f>L505*COS(RADIANS(K505))</f>
        <v>0</v>
      </c>
      <c r="P505" s="5">
        <v>5.7756115084749853</v>
      </c>
      <c r="Q505" s="5">
        <v>0.73362083045675897</v>
      </c>
      <c r="R505" s="6">
        <f>P505/Q505</f>
        <v>7.8727474312296142</v>
      </c>
    </row>
    <row r="506" spans="1:18" x14ac:dyDescent="0.35">
      <c r="A506" s="9">
        <v>506</v>
      </c>
      <c r="B506" s="5">
        <v>1</v>
      </c>
      <c r="C506" s="5">
        <v>6000000</v>
      </c>
      <c r="D506" s="5">
        <v>20</v>
      </c>
      <c r="E506" s="5">
        <v>0.125</v>
      </c>
      <c r="F506" s="5">
        <v>0.05</v>
      </c>
      <c r="G506" s="12">
        <f>(C506*$U$4)/($U$5*$U$3)</f>
        <v>88.16326530612244</v>
      </c>
      <c r="H506" s="11">
        <f>G506*COS(RADIANS(D506))</f>
        <v>82.846369832553549</v>
      </c>
      <c r="I506" s="11">
        <f>G506*SIN(RADIANS(D506))</f>
        <v>30.153612636058952</v>
      </c>
      <c r="J506" s="11">
        <v>0.33379999999999999</v>
      </c>
      <c r="K506" s="12">
        <v>14</v>
      </c>
      <c r="L506" s="12">
        <f>-(F506*G506*$U$3)/J506</f>
        <v>-13.206001393966813</v>
      </c>
      <c r="M506" s="11">
        <f>ABS(L506/$U$6)</f>
        <v>3.8501461789990712E-2</v>
      </c>
      <c r="N506" s="12">
        <f>L506*SIN(RADIANS(K506))</f>
        <v>-3.1948208905203059</v>
      </c>
      <c r="O506" s="12">
        <f>L506*COS(RADIANS(K506))</f>
        <v>-12.81372671376085</v>
      </c>
      <c r="P506" s="5">
        <v>5.0339638021063786</v>
      </c>
      <c r="Q506" s="5">
        <v>0.62311625587007857</v>
      </c>
      <c r="R506" s="6">
        <f>P506/Q506</f>
        <v>8.0786911827188366</v>
      </c>
    </row>
    <row r="507" spans="1:18" x14ac:dyDescent="0.35">
      <c r="A507" s="9">
        <v>267</v>
      </c>
      <c r="B507" s="5">
        <v>0.1</v>
      </c>
      <c r="C507" s="5">
        <v>4000000</v>
      </c>
      <c r="D507" s="5">
        <v>15</v>
      </c>
      <c r="E507" s="5">
        <v>0</v>
      </c>
      <c r="F507" s="5">
        <v>0.15</v>
      </c>
      <c r="G507" s="12">
        <f>(C507*$U$4)/($U$5*$U$3)</f>
        <v>58.775510204081627</v>
      </c>
      <c r="H507" s="11">
        <f>G507*COS(RADIANS(D507))</f>
        <v>56.772783259439109</v>
      </c>
      <c r="I507" s="11">
        <f>G507*SIN(RADIANS(D507))</f>
        <v>15.212221426433871</v>
      </c>
      <c r="J507" s="20">
        <v>0.16569999999999999</v>
      </c>
      <c r="K507" s="19">
        <v>0</v>
      </c>
      <c r="L507" s="12">
        <f>-(F507*G507*$U$3)/J507</f>
        <v>-53.206557215523503</v>
      </c>
      <c r="M507" s="11">
        <f>ABS(L507/$U$6)</f>
        <v>0.15512115806275073</v>
      </c>
      <c r="N507" s="12">
        <f>L507*SIN(RADIANS(K507))</f>
        <v>0</v>
      </c>
      <c r="O507" s="12">
        <f>L507*COS(RADIANS(K507))</f>
        <v>-53.206557215523503</v>
      </c>
      <c r="P507" s="5">
        <v>1.7992658100442156</v>
      </c>
      <c r="Q507" s="5">
        <v>0.53958685973909704</v>
      </c>
      <c r="R507" s="6">
        <f>P507/Q507</f>
        <v>3.3345248824521097</v>
      </c>
    </row>
    <row r="508" spans="1:18" x14ac:dyDescent="0.35">
      <c r="A508" s="9">
        <v>508</v>
      </c>
      <c r="B508" s="5">
        <v>0.25</v>
      </c>
      <c r="C508" s="5">
        <v>6000000</v>
      </c>
      <c r="D508" s="5">
        <v>5</v>
      </c>
      <c r="E508" s="5">
        <v>0.125</v>
      </c>
      <c r="F508" s="5">
        <v>2.5000000000000001E-2</v>
      </c>
      <c r="G508" s="12">
        <f>(C508*$U$4)/($U$5*$U$3)</f>
        <v>88.16326530612244</v>
      </c>
      <c r="H508" s="11">
        <f>G508*COS(RADIANS(D508))</f>
        <v>87.827777464415107</v>
      </c>
      <c r="I508" s="11">
        <f>G508*SIN(RADIANS(D508))</f>
        <v>7.6839348708139434</v>
      </c>
      <c r="J508" s="11">
        <v>0.19020000000000001</v>
      </c>
      <c r="K508" s="12">
        <v>46</v>
      </c>
      <c r="L508" s="12">
        <f>-(F508*G508*$U$3)/J508</f>
        <v>-11.588231507113885</v>
      </c>
      <c r="M508" s="11">
        <f>ABS(L508/$U$6)</f>
        <v>3.3784931507620658E-2</v>
      </c>
      <c r="N508" s="12">
        <f>L508*SIN(RADIANS(K508))</f>
        <v>-8.3358761386053679</v>
      </c>
      <c r="O508" s="12">
        <f>L508*COS(RADIANS(K508))</f>
        <v>-8.0498620152333409</v>
      </c>
      <c r="P508" s="5">
        <v>2.0599122203052369</v>
      </c>
      <c r="Q508" s="5">
        <v>0.33267554276067068</v>
      </c>
      <c r="R508" s="6">
        <f>P508/Q508</f>
        <v>6.1919556911556715</v>
      </c>
    </row>
    <row r="509" spans="1:18" x14ac:dyDescent="0.35">
      <c r="A509" s="9">
        <v>509</v>
      </c>
      <c r="B509" s="5">
        <v>0.75</v>
      </c>
      <c r="C509" s="5">
        <v>2000000</v>
      </c>
      <c r="D509" s="5">
        <v>20</v>
      </c>
      <c r="E509" s="5">
        <v>0.25</v>
      </c>
      <c r="F509" s="5">
        <v>0</v>
      </c>
      <c r="G509" s="12">
        <f>(C509*$U$4)/($U$5*$U$3)</f>
        <v>29.387755102040813</v>
      </c>
      <c r="H509" s="11">
        <f>G509*COS(RADIANS(D509))</f>
        <v>27.615456610851183</v>
      </c>
      <c r="I509" s="11">
        <f>G509*SIN(RADIANS(D509))</f>
        <v>10.051204212019652</v>
      </c>
      <c r="J509" s="12">
        <v>0.28370000000000001</v>
      </c>
      <c r="K509" s="11">
        <v>38</v>
      </c>
      <c r="L509" s="12">
        <f>-(F509*G509*$U$3)/J509</f>
        <v>0</v>
      </c>
      <c r="M509" s="11">
        <f>ABS(L509/$U$6)</f>
        <v>0</v>
      </c>
      <c r="N509" s="12">
        <f>L509*SIN(RADIANS(K509))</f>
        <v>0</v>
      </c>
      <c r="O509" s="12">
        <f>L509*COS(RADIANS(K509))</f>
        <v>0</v>
      </c>
      <c r="P509" s="5">
        <v>5.7300201980490195</v>
      </c>
      <c r="Q509" s="5">
        <v>1.9989445760320499</v>
      </c>
      <c r="R509" s="6">
        <f>P509/Q509</f>
        <v>2.8665227974570655</v>
      </c>
    </row>
    <row r="510" spans="1:18" x14ac:dyDescent="0.35">
      <c r="A510" s="9">
        <v>510</v>
      </c>
      <c r="B510" s="5">
        <v>0.25</v>
      </c>
      <c r="C510" s="5">
        <v>2000000</v>
      </c>
      <c r="D510" s="5">
        <v>5</v>
      </c>
      <c r="E510" s="5">
        <v>0.25</v>
      </c>
      <c r="F510" s="5">
        <v>7.4999999999999997E-2</v>
      </c>
      <c r="G510" s="12">
        <f>(C510*$U$4)/($U$5*$U$3)</f>
        <v>29.387755102040813</v>
      </c>
      <c r="H510" s="11">
        <f>G510*COS(RADIANS(D510))</f>
        <v>29.275925821471702</v>
      </c>
      <c r="I510" s="11">
        <f>G510*SIN(RADIANS(D510))</f>
        <v>2.5613116236046478</v>
      </c>
      <c r="J510" s="12">
        <v>0.1913</v>
      </c>
      <c r="K510" s="11">
        <v>67</v>
      </c>
      <c r="L510" s="12">
        <f>-(F510*G510*$U$3)/J510</f>
        <v>-11.521597661542399</v>
      </c>
      <c r="M510" s="11">
        <f>ABS(L510/$U$6)</f>
        <v>3.3590663736275214E-2</v>
      </c>
      <c r="N510" s="12">
        <f>L510*SIN(RADIANS(K510))</f>
        <v>-10.605686566976066</v>
      </c>
      <c r="O510" s="12">
        <f>L510*COS(RADIANS(K510))</f>
        <v>-4.501846856293839</v>
      </c>
      <c r="P510" s="5">
        <v>2.1881751846523381</v>
      </c>
      <c r="Q510" s="5">
        <v>0.2824076730983261</v>
      </c>
      <c r="R510" s="6">
        <f>P510/Q510</f>
        <v>7.7482851674872144</v>
      </c>
    </row>
    <row r="511" spans="1:18" x14ac:dyDescent="0.35">
      <c r="A511" s="9">
        <v>511</v>
      </c>
      <c r="B511" s="5">
        <v>0.75</v>
      </c>
      <c r="C511" s="5">
        <v>2000000</v>
      </c>
      <c r="D511" s="5">
        <v>5</v>
      </c>
      <c r="E511" s="5">
        <v>0</v>
      </c>
      <c r="F511" s="5">
        <v>0.1</v>
      </c>
      <c r="G511" s="12">
        <f>(C511*$U$4)/($U$5*$U$3)</f>
        <v>29.387755102040813</v>
      </c>
      <c r="H511" s="11">
        <f>G511*COS(RADIANS(D511))</f>
        <v>29.275925821471702</v>
      </c>
      <c r="I511" s="11">
        <f>G511*SIN(RADIANS(D511))</f>
        <v>2.5613116236046478</v>
      </c>
      <c r="J511" s="11">
        <v>0.27929999999999999</v>
      </c>
      <c r="K511" s="12">
        <v>0</v>
      </c>
      <c r="L511" s="12">
        <f>-(F511*G511*$U$3)/J511</f>
        <v>-10.521931651285648</v>
      </c>
      <c r="M511" s="11">
        <f>ABS(L511/$U$6)</f>
        <v>3.0676185572261365E-2</v>
      </c>
      <c r="N511" s="12">
        <f>L511*SIN(RADIANS(K511))</f>
        <v>0</v>
      </c>
      <c r="O511" s="12">
        <f>L511*COS(RADIANS(K511))</f>
        <v>-10.521931651285648</v>
      </c>
      <c r="P511" s="5">
        <v>4.4176918432898136</v>
      </c>
      <c r="Q511" s="5">
        <v>0.49255147867707155</v>
      </c>
      <c r="R511" s="6">
        <f>P511/Q511</f>
        <v>8.9689951904218272</v>
      </c>
    </row>
    <row r="512" spans="1:18" x14ac:dyDescent="0.35">
      <c r="A512" s="9">
        <v>512</v>
      </c>
      <c r="B512" s="5">
        <v>0.5</v>
      </c>
      <c r="C512" s="5">
        <v>2000000</v>
      </c>
      <c r="D512" s="5">
        <v>10</v>
      </c>
      <c r="E512" s="5">
        <v>0.375</v>
      </c>
      <c r="F512" s="5">
        <v>0.15</v>
      </c>
      <c r="G512" s="12">
        <f>(C512*$U$4)/($U$5*$U$3)</f>
        <v>29.387755102040813</v>
      </c>
      <c r="H512" s="11">
        <f>G512*COS(RADIANS(D512))</f>
        <v>28.941289068113864</v>
      </c>
      <c r="I512" s="11">
        <f>G512*SIN(RADIANS(D512))</f>
        <v>5.1031301191914213</v>
      </c>
      <c r="J512" s="12">
        <v>0.24809999999999999</v>
      </c>
      <c r="K512" s="12">
        <v>67</v>
      </c>
      <c r="L512" s="12">
        <f>-(F512*G512*$U$3)/J512</f>
        <v>-17.767687486118994</v>
      </c>
      <c r="M512" s="11">
        <f>ABS(L512/$U$6)</f>
        <v>5.1800838151950419E-2</v>
      </c>
      <c r="N512" s="12">
        <f>L512*SIN(RADIANS(K512))</f>
        <v>-16.355242565598722</v>
      </c>
      <c r="O512" s="12">
        <f>L512*COS(RADIANS(K512))</f>
        <v>-6.9423885820960214</v>
      </c>
      <c r="P512" s="5">
        <v>4.8502502450667953</v>
      </c>
      <c r="Q512" s="5">
        <v>-2.3837214973813432E-2</v>
      </c>
      <c r="R512" s="6">
        <f>P512/Q512</f>
        <v>-203.4738643081869</v>
      </c>
    </row>
    <row r="513" spans="1:18" x14ac:dyDescent="0.35">
      <c r="A513" s="9">
        <v>513</v>
      </c>
      <c r="B513" s="5">
        <v>0.25</v>
      </c>
      <c r="C513" s="5">
        <v>4000000</v>
      </c>
      <c r="D513" s="5">
        <v>30</v>
      </c>
      <c r="E513" s="5">
        <v>0</v>
      </c>
      <c r="F513" s="5">
        <v>2.5000000000000001E-2</v>
      </c>
      <c r="G513" s="12">
        <f>(C513*$U$4)/($U$5*$U$3)</f>
        <v>58.775510204081627</v>
      </c>
      <c r="H513" s="11">
        <f>G513*COS(RADIANS(D513))</f>
        <v>50.901084957126187</v>
      </c>
      <c r="I513" s="11">
        <f>G513*SIN(RADIANS(D513))</f>
        <v>29.38775510204081</v>
      </c>
      <c r="J513" s="12">
        <v>0.18990000000000001</v>
      </c>
      <c r="K513" s="12">
        <v>0</v>
      </c>
      <c r="L513" s="12">
        <f>-(F513*G513*$U$3)/J513</f>
        <v>-7.73769223329142</v>
      </c>
      <c r="M513" s="11">
        <f>ABS(L513/$U$6)</f>
        <v>2.2558869484814635E-2</v>
      </c>
      <c r="N513" s="12">
        <f>L513*SIN(RADIANS(K513))</f>
        <v>0</v>
      </c>
      <c r="O513" s="12">
        <f>L513*COS(RADIANS(K513))</f>
        <v>-7.73769223329142</v>
      </c>
      <c r="P513" s="5">
        <v>2.0805577186148945</v>
      </c>
      <c r="Q513" s="5">
        <v>0.85510837374494342</v>
      </c>
      <c r="R513" s="6">
        <f>P513/Q513</f>
        <v>2.4330924389187079</v>
      </c>
    </row>
    <row r="514" spans="1:18" x14ac:dyDescent="0.35">
      <c r="A514" s="9">
        <v>514</v>
      </c>
      <c r="B514" s="5">
        <v>0.5</v>
      </c>
      <c r="C514" s="5">
        <v>6000000</v>
      </c>
      <c r="D514" s="5">
        <v>5</v>
      </c>
      <c r="E514" s="5">
        <v>0.25</v>
      </c>
      <c r="F514" s="5">
        <v>7.4999999999999997E-2</v>
      </c>
      <c r="G514" s="12">
        <f>(C514*$U$4)/($U$5*$U$3)</f>
        <v>88.16326530612244</v>
      </c>
      <c r="H514" s="11">
        <f>G514*COS(RADIANS(D514))</f>
        <v>87.827777464415107</v>
      </c>
      <c r="I514" s="11">
        <f>G514*SIN(RADIANS(D514))</f>
        <v>7.6839348708139434</v>
      </c>
      <c r="J514" s="11">
        <v>0.23580000000000001</v>
      </c>
      <c r="K514" s="11">
        <v>49</v>
      </c>
      <c r="L514" s="12">
        <f>-(F514*G514*$U$3)/J514</f>
        <v>-28.041751051565662</v>
      </c>
      <c r="M514" s="11">
        <f>ABS(L514/$U$6)</f>
        <v>8.175437624363166E-2</v>
      </c>
      <c r="N514" s="12">
        <f>L514*SIN(RADIANS(K514))</f>
        <v>-21.163378164838598</v>
      </c>
      <c r="O514" s="12">
        <f>L514*COS(RADIANS(K514))</f>
        <v>-18.397043966083704</v>
      </c>
      <c r="P514" s="5">
        <v>3.4725852410247673</v>
      </c>
      <c r="Q514" s="5">
        <v>0.16587275879620067</v>
      </c>
      <c r="R514" s="6">
        <f>P514/Q514</f>
        <v>20.935235334762559</v>
      </c>
    </row>
    <row r="515" spans="1:18" x14ac:dyDescent="0.35">
      <c r="A515" s="9">
        <v>803</v>
      </c>
      <c r="B515" s="5">
        <v>0.1</v>
      </c>
      <c r="C515" s="5">
        <v>4000000</v>
      </c>
      <c r="D515" s="5">
        <v>30</v>
      </c>
      <c r="E515" s="5">
        <v>0</v>
      </c>
      <c r="F515" s="5">
        <v>0.15</v>
      </c>
      <c r="G515" s="12">
        <f>(C515*$U$4)/($U$5*$U$3)</f>
        <v>58.775510204081627</v>
      </c>
      <c r="H515" s="11">
        <f>G515*COS(RADIANS(D515))</f>
        <v>50.901084957126187</v>
      </c>
      <c r="I515" s="11">
        <f>G515*SIN(RADIANS(D515))</f>
        <v>29.38775510204081</v>
      </c>
      <c r="J515" s="20">
        <v>0.16569999999999999</v>
      </c>
      <c r="K515" s="19">
        <v>0</v>
      </c>
      <c r="L515" s="12">
        <f>-(F515*G515*$U$3)/J515</f>
        <v>-53.206557215523503</v>
      </c>
      <c r="M515" s="11">
        <f>ABS(L515/$U$6)</f>
        <v>0.15512115806275073</v>
      </c>
      <c r="N515" s="12">
        <f>L515*SIN(RADIANS(K515))</f>
        <v>0</v>
      </c>
      <c r="O515" s="12">
        <f>L515*COS(RADIANS(K515))</f>
        <v>-53.206557215523503</v>
      </c>
      <c r="P515" s="5">
        <v>2.0909410967017612</v>
      </c>
      <c r="Q515" s="5">
        <v>1.1405279627492804</v>
      </c>
      <c r="R515" s="6">
        <f>P515/Q515</f>
        <v>1.8333098047517209</v>
      </c>
    </row>
    <row r="516" spans="1:18" x14ac:dyDescent="0.35">
      <c r="A516" s="9">
        <v>516</v>
      </c>
      <c r="B516" s="5">
        <v>1</v>
      </c>
      <c r="C516" s="5">
        <v>6000000</v>
      </c>
      <c r="D516" s="5">
        <v>15</v>
      </c>
      <c r="E516" s="5">
        <v>0.375</v>
      </c>
      <c r="F516" s="5">
        <v>3.5000000000000003E-2</v>
      </c>
      <c r="G516" s="12">
        <f>(C516*$U$4)/($U$5*$U$3)</f>
        <v>88.16326530612244</v>
      </c>
      <c r="H516" s="11">
        <f>G516*COS(RADIANS(D516))</f>
        <v>85.159174889158663</v>
      </c>
      <c r="I516" s="11">
        <f>G516*SIN(RADIANS(D516))</f>
        <v>22.818332139650806</v>
      </c>
      <c r="J516" s="12">
        <v>0.33379999999999999</v>
      </c>
      <c r="K516" s="11">
        <v>49</v>
      </c>
      <c r="L516" s="12">
        <f>-(F516*G516*$U$3)/J516</f>
        <v>-9.2442009757767707</v>
      </c>
      <c r="M516" s="11">
        <f>ABS(L516/$U$6)</f>
        <v>2.6951023252993502E-2</v>
      </c>
      <c r="N516" s="12">
        <f>L516*SIN(RADIANS(K516))</f>
        <v>-6.9766870379234263</v>
      </c>
      <c r="O516" s="12">
        <f>L516*COS(RADIANS(K516))</f>
        <v>-6.0647415159612077</v>
      </c>
      <c r="P516" s="5">
        <v>4.9500721604683982</v>
      </c>
      <c r="Q516" s="5">
        <v>0.47315189993641199</v>
      </c>
      <c r="R516" s="6">
        <f>P516/Q516</f>
        <v>10.461909084870314</v>
      </c>
    </row>
    <row r="517" spans="1:18" x14ac:dyDescent="0.35">
      <c r="A517" s="9">
        <v>517</v>
      </c>
      <c r="B517" s="5">
        <v>1</v>
      </c>
      <c r="C517" s="5">
        <v>2000000</v>
      </c>
      <c r="D517" s="5">
        <v>15</v>
      </c>
      <c r="E517" s="5">
        <v>0</v>
      </c>
      <c r="F517" s="5">
        <v>7.4999999999999997E-2</v>
      </c>
      <c r="G517" s="12">
        <f>(C517*$U$4)/($U$5*$U$3)</f>
        <v>29.387755102040813</v>
      </c>
      <c r="H517" s="11">
        <f>G517*COS(RADIANS(D517))</f>
        <v>28.386391629719554</v>
      </c>
      <c r="I517" s="11">
        <f>G517*SIN(RADIANS(D517))</f>
        <v>7.6061107132169354</v>
      </c>
      <c r="J517" s="11">
        <v>0.33379999999999999</v>
      </c>
      <c r="K517" s="12">
        <v>0</v>
      </c>
      <c r="L517" s="12">
        <f>-(F517*G517*$U$3)/J517</f>
        <v>-6.6030006969834067</v>
      </c>
      <c r="M517" s="11">
        <f>ABS(L517/$U$6)</f>
        <v>1.9250730894995356E-2</v>
      </c>
      <c r="N517" s="12">
        <f>L517*SIN(RADIANS(K517))</f>
        <v>0</v>
      </c>
      <c r="O517" s="12">
        <f>L517*COS(RADIANS(K517))</f>
        <v>-6.6030006969834067</v>
      </c>
      <c r="P517" s="5">
        <v>6.4757120155112657</v>
      </c>
      <c r="Q517" s="5">
        <v>1.1868567822066187</v>
      </c>
      <c r="R517" s="6">
        <f>P517/Q517</f>
        <v>5.4561865530831293</v>
      </c>
    </row>
    <row r="518" spans="1:18" x14ac:dyDescent="0.35">
      <c r="A518" s="9">
        <v>518</v>
      </c>
      <c r="B518" s="5">
        <v>0.75</v>
      </c>
      <c r="C518" s="5">
        <v>6000000</v>
      </c>
      <c r="D518" s="5">
        <v>5</v>
      </c>
      <c r="E518" s="5">
        <v>0.25</v>
      </c>
      <c r="F518" s="5">
        <v>3.5000000000000003E-2</v>
      </c>
      <c r="G518" s="12">
        <f>(C518*$U$4)/($U$5*$U$3)</f>
        <v>88.16326530612244</v>
      </c>
      <c r="H518" s="11">
        <f>G518*COS(RADIANS(D518))</f>
        <v>87.827777464415107</v>
      </c>
      <c r="I518" s="11">
        <f>G518*SIN(RADIANS(D518))</f>
        <v>7.6839348708139434</v>
      </c>
      <c r="J518" s="12">
        <v>0.28370000000000001</v>
      </c>
      <c r="K518" s="11">
        <v>38</v>
      </c>
      <c r="L518" s="12">
        <f>-(F518*G518*$U$3)/J518</f>
        <v>-10.876680598217433</v>
      </c>
      <c r="M518" s="11">
        <f>ABS(L518/$U$6)</f>
        <v>3.1710439061858407E-2</v>
      </c>
      <c r="N518" s="12">
        <f>L518*SIN(RADIANS(K518))</f>
        <v>-6.6963532237445085</v>
      </c>
      <c r="O518" s="12">
        <f>L518*COS(RADIANS(K518))</f>
        <v>-8.5709412749409299</v>
      </c>
      <c r="P518" s="5">
        <v>3.2966368916277604</v>
      </c>
      <c r="Q518" s="5">
        <v>0.25084689125232612</v>
      </c>
      <c r="R518" s="6">
        <f>P518/Q518</f>
        <v>13.142028091995302</v>
      </c>
    </row>
    <row r="519" spans="1:18" x14ac:dyDescent="0.35">
      <c r="A519" s="9">
        <v>519</v>
      </c>
      <c r="B519" s="5">
        <v>0.1</v>
      </c>
      <c r="C519" s="5">
        <v>2000000</v>
      </c>
      <c r="D519" s="5">
        <v>0</v>
      </c>
      <c r="E519" s="5">
        <v>0</v>
      </c>
      <c r="F519" s="5">
        <v>0.1</v>
      </c>
      <c r="G519" s="12">
        <f>(C519*$U$4)/($U$5*$U$3)</f>
        <v>29.387755102040813</v>
      </c>
      <c r="H519" s="11">
        <f>G519*COS(RADIANS(D519))</f>
        <v>29.387755102040813</v>
      </c>
      <c r="I519" s="11">
        <f>G519*SIN(RADIANS(D519))</f>
        <v>0</v>
      </c>
      <c r="J519" s="11">
        <v>0.16569999999999999</v>
      </c>
      <c r="K519" s="12">
        <v>0</v>
      </c>
      <c r="L519" s="12">
        <f>-(F519*G519*$U$3)/J519</f>
        <v>-17.735519071841168</v>
      </c>
      <c r="M519" s="11">
        <f>ABS(L519/$U$6)</f>
        <v>5.1707052687583577E-2</v>
      </c>
      <c r="N519" s="12">
        <f>L519*SIN(RADIANS(K519))</f>
        <v>0</v>
      </c>
      <c r="O519" s="12">
        <f>L519*COS(RADIANS(K519))</f>
        <v>-17.735519071841168</v>
      </c>
      <c r="P519" s="5">
        <v>1.3237585208306315</v>
      </c>
      <c r="Q519" s="5">
        <v>0.18145357399841816</v>
      </c>
      <c r="R519" s="6">
        <f>P519/Q519</f>
        <v>7.2953014463202113</v>
      </c>
    </row>
    <row r="520" spans="1:18" x14ac:dyDescent="0.35">
      <c r="A520" s="9">
        <v>520</v>
      </c>
      <c r="B520" s="5">
        <v>0.5</v>
      </c>
      <c r="C520" s="5">
        <v>6000000</v>
      </c>
      <c r="D520" s="5">
        <v>15</v>
      </c>
      <c r="E520" s="5">
        <v>0.125</v>
      </c>
      <c r="F520" s="5">
        <v>1.4999999999999999E-2</v>
      </c>
      <c r="G520" s="12">
        <f>(C520*$U$4)/($U$5*$U$3)</f>
        <v>88.16326530612244</v>
      </c>
      <c r="H520" s="11">
        <f>G520*COS(RADIANS(D520))</f>
        <v>85.159174889158663</v>
      </c>
      <c r="I520" s="11">
        <f>G520*SIN(RADIANS(D520))</f>
        <v>22.818332139650806</v>
      </c>
      <c r="J520" s="12">
        <v>0.23300000000000001</v>
      </c>
      <c r="K520" s="11">
        <v>27</v>
      </c>
      <c r="L520" s="12">
        <f>-(F520*G520*$U$3)/J520</f>
        <v>-5.6757466935271959</v>
      </c>
      <c r="M520" s="11">
        <f>ABS(L520/$U$6)</f>
        <v>1.6547366453432057E-2</v>
      </c>
      <c r="N520" s="12">
        <f>L520*SIN(RADIANS(K520))</f>
        <v>-2.5767350777894915</v>
      </c>
      <c r="O520" s="12">
        <f>L520*COS(RADIANS(K520))</f>
        <v>-5.0571273335732885</v>
      </c>
      <c r="P520" s="5">
        <v>3.3133649027107523</v>
      </c>
      <c r="Q520" s="5">
        <v>0.80477912286929587</v>
      </c>
      <c r="R520" s="6">
        <f>P520/Q520</f>
        <v>4.1171109047878165</v>
      </c>
    </row>
    <row r="521" spans="1:18" x14ac:dyDescent="0.35">
      <c r="A521" s="9">
        <v>521</v>
      </c>
      <c r="B521" s="5">
        <v>0.25</v>
      </c>
      <c r="C521" s="5">
        <v>4000000</v>
      </c>
      <c r="D521" s="5">
        <v>15</v>
      </c>
      <c r="E521" s="5">
        <v>0</v>
      </c>
      <c r="F521" s="5">
        <v>0.05</v>
      </c>
      <c r="G521" s="12">
        <f>(C521*$U$4)/($U$5*$U$3)</f>
        <v>58.775510204081627</v>
      </c>
      <c r="H521" s="11">
        <f>G521*COS(RADIANS(D521))</f>
        <v>56.772783259439109</v>
      </c>
      <c r="I521" s="11">
        <f>G521*SIN(RADIANS(D521))</f>
        <v>15.212221426433871</v>
      </c>
      <c r="J521" s="12">
        <v>0.18990000000000001</v>
      </c>
      <c r="K521" s="12">
        <v>0</v>
      </c>
      <c r="L521" s="12">
        <f>-(F521*G521*$U$3)/J521</f>
        <v>-15.47538446658284</v>
      </c>
      <c r="M521" s="11">
        <f>ABS(L521/$U$6)</f>
        <v>4.511773896962927E-2</v>
      </c>
      <c r="N521" s="12">
        <f>L521*SIN(RADIANS(K521))</f>
        <v>0</v>
      </c>
      <c r="O521" s="12">
        <f>L521*COS(RADIANS(K521))</f>
        <v>-15.47538446658284</v>
      </c>
      <c r="P521" s="5">
        <v>2.2860943961654998</v>
      </c>
      <c r="Q521" s="5">
        <v>0.52631121579802864</v>
      </c>
      <c r="R521" s="6">
        <f>P521/Q521</f>
        <v>4.3436170986764342</v>
      </c>
    </row>
    <row r="522" spans="1:18" x14ac:dyDescent="0.35">
      <c r="A522" s="9">
        <v>522</v>
      </c>
      <c r="B522" s="5">
        <v>0.75</v>
      </c>
      <c r="C522" s="5">
        <v>4000000</v>
      </c>
      <c r="D522" s="5">
        <v>15</v>
      </c>
      <c r="E522" s="5">
        <v>0</v>
      </c>
      <c r="F522" s="5">
        <v>0.05</v>
      </c>
      <c r="G522" s="12">
        <f>(C522*$U$4)/($U$5*$U$3)</f>
        <v>58.775510204081627</v>
      </c>
      <c r="H522" s="11">
        <f>G522*COS(RADIANS(D522))</f>
        <v>56.772783259439109</v>
      </c>
      <c r="I522" s="11">
        <f>G522*SIN(RADIANS(D522))</f>
        <v>15.212221426433871</v>
      </c>
      <c r="J522" s="11">
        <v>0.27929999999999999</v>
      </c>
      <c r="K522" s="12">
        <v>0</v>
      </c>
      <c r="L522" s="12">
        <f>-(F522*G522*$U$3)/J522</f>
        <v>-10.521931651285648</v>
      </c>
      <c r="M522" s="11">
        <f>ABS(L522/$U$6)</f>
        <v>3.0676185572261365E-2</v>
      </c>
      <c r="N522" s="12">
        <f>L522*SIN(RADIANS(K522))</f>
        <v>0</v>
      </c>
      <c r="O522" s="12">
        <f>L522*COS(RADIANS(K522))</f>
        <v>-10.521931651285648</v>
      </c>
      <c r="P522" s="5">
        <v>3.9474197613862234</v>
      </c>
      <c r="Q522" s="5">
        <v>1.0478854406119114</v>
      </c>
      <c r="R522" s="6">
        <f>P522/Q522</f>
        <v>3.7670336931880004</v>
      </c>
    </row>
    <row r="523" spans="1:18" x14ac:dyDescent="0.35">
      <c r="A523" s="9">
        <v>523</v>
      </c>
      <c r="B523" s="5">
        <v>0.1</v>
      </c>
      <c r="C523" s="5">
        <v>2000000</v>
      </c>
      <c r="D523" s="5">
        <v>15</v>
      </c>
      <c r="E523" s="5">
        <v>0</v>
      </c>
      <c r="F523" s="5">
        <v>0.05</v>
      </c>
      <c r="G523" s="12">
        <f>(C523*$U$4)/($U$5*$U$3)</f>
        <v>29.387755102040813</v>
      </c>
      <c r="H523" s="11">
        <f>G523*COS(RADIANS(D523))</f>
        <v>28.386391629719554</v>
      </c>
      <c r="I523" s="11">
        <f>G523*SIN(RADIANS(D523))</f>
        <v>7.6061107132169354</v>
      </c>
      <c r="J523" s="11">
        <v>0.16569999999999999</v>
      </c>
      <c r="K523" s="12">
        <v>0</v>
      </c>
      <c r="L523" s="12">
        <f>-(F523*G523*$U$3)/J523</f>
        <v>-8.8677595359205839</v>
      </c>
      <c r="M523" s="11">
        <f>ABS(L523/$U$6)</f>
        <v>2.5853526343791788E-2</v>
      </c>
      <c r="N523" s="12">
        <f>L523*SIN(RADIANS(K523))</f>
        <v>0</v>
      </c>
      <c r="O523" s="12">
        <f>L523*COS(RADIANS(K523))</f>
        <v>-8.8677595359205839</v>
      </c>
      <c r="P523" s="5">
        <v>1.5030743884214006</v>
      </c>
      <c r="Q523" s="5">
        <v>0.54186313663104757</v>
      </c>
      <c r="R523" s="6">
        <f>P523/Q523</f>
        <v>2.7739004313276214</v>
      </c>
    </row>
    <row r="524" spans="1:18" x14ac:dyDescent="0.35">
      <c r="A524" s="9">
        <v>524</v>
      </c>
      <c r="B524" s="5">
        <v>0.25</v>
      </c>
      <c r="C524" s="5">
        <v>4000000</v>
      </c>
      <c r="D524" s="5">
        <v>15</v>
      </c>
      <c r="E524" s="5">
        <v>0.25</v>
      </c>
      <c r="F524" s="5">
        <v>0.1</v>
      </c>
      <c r="G524" s="12">
        <f>(C524*$U$4)/($U$5*$U$3)</f>
        <v>58.775510204081627</v>
      </c>
      <c r="H524" s="11">
        <f>G524*COS(RADIANS(D524))</f>
        <v>56.772783259439109</v>
      </c>
      <c r="I524" s="11">
        <f>G524*SIN(RADIANS(D524))</f>
        <v>15.212221426433871</v>
      </c>
      <c r="J524" s="12">
        <v>0.1913</v>
      </c>
      <c r="K524" s="11">
        <v>67</v>
      </c>
      <c r="L524" s="12">
        <f>-(F524*G524*$U$3)/J524</f>
        <v>-30.724260430779733</v>
      </c>
      <c r="M524" s="11">
        <f>ABS(L524/$U$6)</f>
        <v>8.9575103296733918E-2</v>
      </c>
      <c r="N524" s="12">
        <f>L524*SIN(RADIANS(K524))</f>
        <v>-28.281830845269511</v>
      </c>
      <c r="O524" s="12">
        <f>L524*COS(RADIANS(K524))</f>
        <v>-12.004924950116903</v>
      </c>
      <c r="P524" s="5">
        <v>2.4829961677815451</v>
      </c>
      <c r="Q524" s="5">
        <v>0.52797274630192481</v>
      </c>
      <c r="R524" s="6">
        <f>P524/Q524</f>
        <v>4.7028870053864988</v>
      </c>
    </row>
    <row r="525" spans="1:18" x14ac:dyDescent="0.35">
      <c r="A525" s="9">
        <v>525</v>
      </c>
      <c r="B525" s="5">
        <v>0.25</v>
      </c>
      <c r="C525" s="5">
        <v>4000000</v>
      </c>
      <c r="D525" s="5">
        <v>5</v>
      </c>
      <c r="E525" s="5">
        <v>0.375</v>
      </c>
      <c r="F525" s="5">
        <v>7.4999999999999997E-2</v>
      </c>
      <c r="G525" s="12">
        <f>(C525*$U$4)/($U$5*$U$3)</f>
        <v>58.775510204081627</v>
      </c>
      <c r="H525" s="11">
        <f>G525*COS(RADIANS(D525))</f>
        <v>58.551851642943404</v>
      </c>
      <c r="I525" s="11">
        <f>G525*SIN(RADIANS(D525))</f>
        <v>5.1226232472092956</v>
      </c>
      <c r="J525" s="11">
        <v>0.1976</v>
      </c>
      <c r="K525" s="12">
        <v>78</v>
      </c>
      <c r="L525" s="12">
        <f>-(F525*G525*$U$3)/J525</f>
        <v>-22.308518549120052</v>
      </c>
      <c r="M525" s="11">
        <f>ABS(L525/$U$6)</f>
        <v>6.5039412679650299E-2</v>
      </c>
      <c r="N525" s="12">
        <f>L525*SIN(RADIANS(K525))</f>
        <v>-21.821023894747377</v>
      </c>
      <c r="O525" s="12">
        <f>L525*COS(RADIANS(K525))</f>
        <v>-4.6382018111869003</v>
      </c>
      <c r="P525" s="5">
        <v>2.434534605073392</v>
      </c>
      <c r="Q525" s="5">
        <v>0.13144828854114851</v>
      </c>
      <c r="R525" s="6">
        <f>P525/Q525</f>
        <v>18.520854338177909</v>
      </c>
    </row>
    <row r="526" spans="1:18" x14ac:dyDescent="0.35">
      <c r="A526" s="9">
        <v>526</v>
      </c>
      <c r="B526" s="5">
        <v>0.25</v>
      </c>
      <c r="C526" s="5">
        <v>4000000</v>
      </c>
      <c r="D526" s="5">
        <v>0</v>
      </c>
      <c r="E526" s="5">
        <v>0</v>
      </c>
      <c r="F526" s="5">
        <v>0</v>
      </c>
      <c r="G526" s="12">
        <f>(C526*$U$4)/($U$5*$U$3)</f>
        <v>58.775510204081627</v>
      </c>
      <c r="H526" s="11">
        <f>G526*COS(RADIANS(D526))</f>
        <v>58.775510204081627</v>
      </c>
      <c r="I526" s="11">
        <f>G526*SIN(RADIANS(D526))</f>
        <v>0</v>
      </c>
      <c r="J526" s="12">
        <v>0.18990000000000001</v>
      </c>
      <c r="K526" s="12">
        <v>0</v>
      </c>
      <c r="L526" s="12">
        <f>-(F526*G526*$U$3)/J526</f>
        <v>0</v>
      </c>
      <c r="M526" s="11">
        <f>ABS(L526/$U$6)</f>
        <v>0</v>
      </c>
      <c r="N526" s="12">
        <f>L526*SIN(RADIANS(K526))</f>
        <v>0</v>
      </c>
      <c r="O526" s="12">
        <f>L526*COS(RADIANS(K526))</f>
        <v>0</v>
      </c>
      <c r="P526" s="5">
        <v>2.2009383639903399</v>
      </c>
      <c r="Q526" s="5">
        <v>0.2558995309879657</v>
      </c>
      <c r="R526" s="6">
        <f>P526/Q526</f>
        <v>8.600790925614648</v>
      </c>
    </row>
    <row r="527" spans="1:18" x14ac:dyDescent="0.35">
      <c r="A527" s="9">
        <v>527</v>
      </c>
      <c r="B527" s="5">
        <v>0.75</v>
      </c>
      <c r="C527" s="5">
        <v>6000000</v>
      </c>
      <c r="D527" s="5">
        <v>20</v>
      </c>
      <c r="E527" s="5">
        <v>0.25</v>
      </c>
      <c r="F527" s="5">
        <v>7.4999999999999997E-2</v>
      </c>
      <c r="G527" s="12">
        <f>(C527*$U$4)/($U$5*$U$3)</f>
        <v>88.16326530612244</v>
      </c>
      <c r="H527" s="11">
        <f>G527*COS(RADIANS(D527))</f>
        <v>82.846369832553549</v>
      </c>
      <c r="I527" s="11">
        <f>G527*SIN(RADIANS(D527))</f>
        <v>30.153612636058952</v>
      </c>
      <c r="J527" s="12">
        <v>0.28370000000000001</v>
      </c>
      <c r="K527" s="11">
        <v>38</v>
      </c>
      <c r="L527" s="12">
        <f>-(F527*G527*$U$3)/J527</f>
        <v>-23.307172710465924</v>
      </c>
      <c r="M527" s="11">
        <f>ABS(L527/$U$6)</f>
        <v>6.7950940846839433E-2</v>
      </c>
      <c r="N527" s="12">
        <f>L527*SIN(RADIANS(K527))</f>
        <v>-14.349328336595372</v>
      </c>
      <c r="O527" s="12">
        <f>L527*COS(RADIANS(K527))</f>
        <v>-18.366302732016276</v>
      </c>
      <c r="P527" s="5">
        <v>3.8995102671526505</v>
      </c>
      <c r="Q527" s="5">
        <v>0.78565347663927143</v>
      </c>
      <c r="R527" s="6">
        <f>P527/Q527</f>
        <v>4.9633972013123158</v>
      </c>
    </row>
    <row r="528" spans="1:18" x14ac:dyDescent="0.35">
      <c r="A528" s="9">
        <v>844</v>
      </c>
      <c r="B528" s="5">
        <v>0.1</v>
      </c>
      <c r="C528" s="5">
        <v>4000000</v>
      </c>
      <c r="D528" s="5">
        <v>10</v>
      </c>
      <c r="E528" s="5">
        <v>0</v>
      </c>
      <c r="F528" s="5">
        <v>0.15</v>
      </c>
      <c r="G528" s="12">
        <f>(C528*$U$4)/($U$5*$U$3)</f>
        <v>58.775510204081627</v>
      </c>
      <c r="H528" s="11">
        <f>G528*COS(RADIANS(D528))</f>
        <v>57.882578136227728</v>
      </c>
      <c r="I528" s="11">
        <f>G528*SIN(RADIANS(D528))</f>
        <v>10.206260238382843</v>
      </c>
      <c r="J528" s="20">
        <v>0.16569999999999999</v>
      </c>
      <c r="K528" s="12">
        <v>0</v>
      </c>
      <c r="L528" s="12">
        <f>-(F528*G528*$U$3)/J528</f>
        <v>-53.206557215523503</v>
      </c>
      <c r="M528" s="11">
        <f>ABS(L528/$U$6)</f>
        <v>0.15512115806275073</v>
      </c>
      <c r="N528" s="12">
        <f>L528*SIN(RADIANS(K528))</f>
        <v>0</v>
      </c>
      <c r="O528" s="12">
        <f>L528*COS(RADIANS(K528))</f>
        <v>-53.206557215523503</v>
      </c>
      <c r="P528" s="5">
        <v>1.6880648339601612</v>
      </c>
      <c r="Q528" s="5">
        <v>0.3884484125024133</v>
      </c>
      <c r="R528" s="6">
        <f>P528/Q528</f>
        <v>4.3456602720693933</v>
      </c>
    </row>
    <row r="529" spans="1:18" x14ac:dyDescent="0.35">
      <c r="A529" s="9">
        <v>529</v>
      </c>
      <c r="B529" s="5">
        <v>0.1</v>
      </c>
      <c r="C529" s="5">
        <v>4000000</v>
      </c>
      <c r="D529" s="5">
        <v>20</v>
      </c>
      <c r="E529" s="5">
        <v>0.125</v>
      </c>
      <c r="F529" s="5">
        <v>3.5000000000000003E-2</v>
      </c>
      <c r="G529" s="12">
        <f>(C529*$U$4)/($U$5*$U$3)</f>
        <v>58.775510204081627</v>
      </c>
      <c r="H529" s="11">
        <f>G529*COS(RADIANS(D529))</f>
        <v>55.230913221702366</v>
      </c>
      <c r="I529" s="11">
        <f>G529*SIN(RADIANS(D529))</f>
        <v>20.102408424039304</v>
      </c>
      <c r="J529" s="12">
        <v>0.1658</v>
      </c>
      <c r="K529" s="12">
        <v>69</v>
      </c>
      <c r="L529" s="12">
        <f>-(F529*G529*$U$3)/J529</f>
        <v>-12.407375495433396</v>
      </c>
      <c r="M529" s="11">
        <f>ABS(L529/$U$6)</f>
        <v>3.6173106400680451E-2</v>
      </c>
      <c r="N529" s="12">
        <f>L529*SIN(RADIANS(K529))</f>
        <v>-11.58328290673764</v>
      </c>
      <c r="O529" s="12">
        <f>L529*COS(RADIANS(K529))</f>
        <v>-4.4464057155370718</v>
      </c>
      <c r="P529" s="5">
        <v>1.3907394572379053</v>
      </c>
      <c r="Q529" s="5">
        <v>0.70637526022353725</v>
      </c>
      <c r="R529" s="6">
        <f>P529/Q529</f>
        <v>1.9688394194295484</v>
      </c>
    </row>
    <row r="530" spans="1:18" x14ac:dyDescent="0.35">
      <c r="A530" s="9">
        <v>530</v>
      </c>
      <c r="B530" s="5">
        <v>0.1</v>
      </c>
      <c r="C530" s="5">
        <v>2000000</v>
      </c>
      <c r="D530" s="5">
        <v>0</v>
      </c>
      <c r="E530" s="5">
        <v>0.125</v>
      </c>
      <c r="F530" s="5">
        <v>1.4999999999999999E-2</v>
      </c>
      <c r="G530" s="12">
        <f>(C530*$U$4)/($U$5*$U$3)</f>
        <v>29.387755102040813</v>
      </c>
      <c r="H530" s="11">
        <f>G530*COS(RADIANS(D530))</f>
        <v>29.387755102040813</v>
      </c>
      <c r="I530" s="11">
        <f>G530*SIN(RADIANS(D530))</f>
        <v>0</v>
      </c>
      <c r="J530" s="12">
        <v>0.1658</v>
      </c>
      <c r="K530" s="12">
        <v>69</v>
      </c>
      <c r="L530" s="12">
        <f>-(F530*G530*$U$3)/J530</f>
        <v>-2.6587233204500134</v>
      </c>
      <c r="M530" s="11">
        <f>ABS(L530/$U$6)</f>
        <v>7.7513799430029545E-3</v>
      </c>
      <c r="N530" s="12">
        <f>L530*SIN(RADIANS(K530))</f>
        <v>-2.4821320514437799</v>
      </c>
      <c r="O530" s="12">
        <f>L530*COS(RADIANS(K530))</f>
        <v>-0.95280122475794393</v>
      </c>
      <c r="P530" s="5">
        <v>1.1103323101471902</v>
      </c>
      <c r="Q530" s="5">
        <v>0.23338561498714774</v>
      </c>
      <c r="R530" s="6">
        <f>P530/Q530</f>
        <v>4.7575010576737338</v>
      </c>
    </row>
    <row r="531" spans="1:18" x14ac:dyDescent="0.35">
      <c r="A531" s="9">
        <v>531</v>
      </c>
      <c r="B531" s="5">
        <v>0.25</v>
      </c>
      <c r="C531" s="5">
        <v>6000000</v>
      </c>
      <c r="D531" s="5">
        <v>20</v>
      </c>
      <c r="E531" s="5">
        <v>0.125</v>
      </c>
      <c r="F531" s="5">
        <v>2.5000000000000001E-2</v>
      </c>
      <c r="G531" s="12">
        <f>(C531*$U$4)/($U$5*$U$3)</f>
        <v>88.16326530612244</v>
      </c>
      <c r="H531" s="11">
        <f>G531*COS(RADIANS(D531))</f>
        <v>82.846369832553549</v>
      </c>
      <c r="I531" s="11">
        <f>G531*SIN(RADIANS(D531))</f>
        <v>30.153612636058952</v>
      </c>
      <c r="J531" s="11">
        <v>0.19020000000000001</v>
      </c>
      <c r="K531" s="12">
        <v>46</v>
      </c>
      <c r="L531" s="12">
        <f>-(F531*G531*$U$3)/J531</f>
        <v>-11.588231507113885</v>
      </c>
      <c r="M531" s="11">
        <f>ABS(L531/$U$6)</f>
        <v>3.3784931507620658E-2</v>
      </c>
      <c r="N531" s="12">
        <f>L531*SIN(RADIANS(K531))</f>
        <v>-8.3358761386053679</v>
      </c>
      <c r="O531" s="12">
        <f>L531*COS(RADIANS(K531))</f>
        <v>-8.0498620152333409</v>
      </c>
      <c r="P531" s="5">
        <v>2.1316939906036589</v>
      </c>
      <c r="Q531" s="5">
        <v>0.68886569163485778</v>
      </c>
      <c r="R531" s="6">
        <f>P531/Q531</f>
        <v>3.0944987048848285</v>
      </c>
    </row>
    <row r="532" spans="1:18" x14ac:dyDescent="0.35">
      <c r="A532" s="9">
        <v>532</v>
      </c>
      <c r="B532" s="5">
        <v>1</v>
      </c>
      <c r="C532" s="5">
        <v>4000000</v>
      </c>
      <c r="D532" s="5">
        <v>5</v>
      </c>
      <c r="E532" s="5">
        <v>0</v>
      </c>
      <c r="F532" s="5">
        <v>0.15</v>
      </c>
      <c r="G532" s="12">
        <f>(C532*$U$4)/($U$5*$U$3)</f>
        <v>58.775510204081627</v>
      </c>
      <c r="H532" s="11">
        <f>G532*COS(RADIANS(D532))</f>
        <v>58.551851642943404</v>
      </c>
      <c r="I532" s="11">
        <f>G532*SIN(RADIANS(D532))</f>
        <v>5.1226232472092956</v>
      </c>
      <c r="J532" s="11">
        <v>0.33379999999999999</v>
      </c>
      <c r="K532" s="12">
        <v>0</v>
      </c>
      <c r="L532" s="12">
        <f>-(F532*G532*$U$3)/J532</f>
        <v>-26.412002787933627</v>
      </c>
      <c r="M532" s="11">
        <f>ABS(L532/$U$6)</f>
        <v>7.7002923579981425E-2</v>
      </c>
      <c r="N532" s="12">
        <f>L532*SIN(RADIANS(K532))</f>
        <v>0</v>
      </c>
      <c r="O532" s="12">
        <f>L532*COS(RADIANS(K532))</f>
        <v>-26.412002787933627</v>
      </c>
      <c r="P532" s="5">
        <v>2.4949496526118971</v>
      </c>
      <c r="Q532" s="5">
        <v>1.2288243799975826</v>
      </c>
      <c r="R532" s="6">
        <f>P532/Q532</f>
        <v>2.0303549418646831</v>
      </c>
    </row>
    <row r="533" spans="1:18" x14ac:dyDescent="0.35">
      <c r="A533" s="9">
        <v>533</v>
      </c>
      <c r="B533" s="5">
        <v>0.1</v>
      </c>
      <c r="C533" s="5">
        <v>2000000</v>
      </c>
      <c r="D533" s="5">
        <v>20</v>
      </c>
      <c r="E533" s="5">
        <v>0.125</v>
      </c>
      <c r="F533" s="5">
        <v>3.5000000000000003E-2</v>
      </c>
      <c r="G533" s="12">
        <f>(C533*$U$4)/($U$5*$U$3)</f>
        <v>29.387755102040813</v>
      </c>
      <c r="H533" s="11">
        <f>G533*COS(RADIANS(D533))</f>
        <v>27.615456610851183</v>
      </c>
      <c r="I533" s="11">
        <f>G533*SIN(RADIANS(D533))</f>
        <v>10.051204212019652</v>
      </c>
      <c r="J533" s="12">
        <v>0.1658</v>
      </c>
      <c r="K533" s="12">
        <v>69</v>
      </c>
      <c r="L533" s="12">
        <f>-(F533*G533*$U$3)/J533</f>
        <v>-6.2036877477166978</v>
      </c>
      <c r="M533" s="11">
        <f>ABS(L533/$U$6)</f>
        <v>1.8086553200340225E-2</v>
      </c>
      <c r="N533" s="12">
        <f>L533*SIN(RADIANS(K533))</f>
        <v>-5.7916414533688201</v>
      </c>
      <c r="O533" s="12">
        <f>L533*COS(RADIANS(K533))</f>
        <v>-2.2232028577685359</v>
      </c>
      <c r="P533" s="5">
        <v>1.3357273133540846</v>
      </c>
      <c r="Q533" s="5">
        <v>0.69276601378024194</v>
      </c>
      <c r="R533" s="6">
        <f>P533/Q533</f>
        <v>1.9281074515554999</v>
      </c>
    </row>
    <row r="534" spans="1:18" x14ac:dyDescent="0.35">
      <c r="A534" s="9">
        <v>1260</v>
      </c>
      <c r="B534" s="5">
        <v>0.1</v>
      </c>
      <c r="C534" s="5">
        <v>6000000</v>
      </c>
      <c r="D534" s="5">
        <v>15</v>
      </c>
      <c r="E534" s="5">
        <v>0</v>
      </c>
      <c r="F534" s="5">
        <v>0.1</v>
      </c>
      <c r="G534" s="12">
        <f>(C534*$U$4)/($U$5*$U$3)</f>
        <v>88.16326530612244</v>
      </c>
      <c r="H534" s="11">
        <f>G534*COS(RADIANS(D534))</f>
        <v>85.159174889158663</v>
      </c>
      <c r="I534" s="11">
        <f>G534*SIN(RADIANS(D534))</f>
        <v>22.818332139650806</v>
      </c>
      <c r="J534" s="20">
        <v>0.16569999999999999</v>
      </c>
      <c r="K534" s="12">
        <v>0</v>
      </c>
      <c r="L534" s="12">
        <f>-(F534*G534*$U$3)/J534</f>
        <v>-53.206557215523503</v>
      </c>
      <c r="M534" s="11">
        <f>ABS(L534/$U$6)</f>
        <v>0.15512115806275073</v>
      </c>
      <c r="N534" s="12">
        <f>L534*SIN(RADIANS(K534))</f>
        <v>0</v>
      </c>
      <c r="O534" s="12">
        <f>L534*COS(RADIANS(K534))</f>
        <v>-53.206557215523503</v>
      </c>
      <c r="P534" s="5">
        <v>1.6669184732062088</v>
      </c>
      <c r="Q534" s="5">
        <v>0.54445136338659128</v>
      </c>
      <c r="R534" s="6">
        <f>P534/Q534</f>
        <v>3.0616480833800437</v>
      </c>
    </row>
    <row r="535" spans="1:18" x14ac:dyDescent="0.35">
      <c r="A535" s="9">
        <v>535</v>
      </c>
      <c r="B535" s="5">
        <v>1</v>
      </c>
      <c r="C535" s="5">
        <v>2000000</v>
      </c>
      <c r="D535" s="5">
        <v>5</v>
      </c>
      <c r="E535" s="5">
        <v>0</v>
      </c>
      <c r="F535" s="5">
        <v>1.4999999999999999E-2</v>
      </c>
      <c r="G535" s="12">
        <f>(C535*$U$4)/($U$5*$U$3)</f>
        <v>29.387755102040813</v>
      </c>
      <c r="H535" s="11">
        <f>G535*COS(RADIANS(D535))</f>
        <v>29.275925821471702</v>
      </c>
      <c r="I535" s="11">
        <f>G535*SIN(RADIANS(D535))</f>
        <v>2.5613116236046478</v>
      </c>
      <c r="J535" s="11">
        <v>0.33379999999999999</v>
      </c>
      <c r="K535" s="12">
        <v>0</v>
      </c>
      <c r="L535" s="12">
        <f>-(F535*G535*$U$3)/J535</f>
        <v>-1.3206001393966813</v>
      </c>
      <c r="M535" s="11">
        <f>ABS(L535/$U$6)</f>
        <v>3.8501461789990708E-3</v>
      </c>
      <c r="N535" s="12">
        <f>L535*SIN(RADIANS(K535))</f>
        <v>0</v>
      </c>
      <c r="O535" s="12">
        <f>L535*COS(RADIANS(K535))</f>
        <v>-1.3206001393966813</v>
      </c>
      <c r="P535" s="5">
        <v>0.90188949686177178</v>
      </c>
      <c r="Q535" s="5">
        <v>2.2670214339557555</v>
      </c>
      <c r="R535" s="6">
        <f>P535/Q535</f>
        <v>0.39783015870655131</v>
      </c>
    </row>
    <row r="536" spans="1:18" x14ac:dyDescent="0.35">
      <c r="A536" s="9">
        <v>536</v>
      </c>
      <c r="B536" s="5">
        <v>0.5</v>
      </c>
      <c r="C536" s="5">
        <v>4000000</v>
      </c>
      <c r="D536" s="5">
        <v>30</v>
      </c>
      <c r="E536" s="5">
        <v>0.25</v>
      </c>
      <c r="F536" s="5">
        <v>1.4999999999999999E-2</v>
      </c>
      <c r="G536" s="12">
        <f>(C536*$U$4)/($U$5*$U$3)</f>
        <v>58.775510204081627</v>
      </c>
      <c r="H536" s="11">
        <f>G536*COS(RADIANS(D536))</f>
        <v>50.901084957126187</v>
      </c>
      <c r="I536" s="11">
        <f>G536*SIN(RADIANS(D536))</f>
        <v>29.38775510204081</v>
      </c>
      <c r="J536" s="11">
        <v>0.23580000000000001</v>
      </c>
      <c r="K536" s="11">
        <v>49</v>
      </c>
      <c r="L536" s="12">
        <f>-(F536*G536*$U$3)/J536</f>
        <v>-3.7389001402087549</v>
      </c>
      <c r="M536" s="11">
        <f>ABS(L536/$U$6)</f>
        <v>1.0900583499150889E-2</v>
      </c>
      <c r="N536" s="12">
        <f>L536*SIN(RADIANS(K536))</f>
        <v>-2.821783755311813</v>
      </c>
      <c r="O536" s="12">
        <f>L536*COS(RADIANS(K536))</f>
        <v>-2.4529391954778275</v>
      </c>
      <c r="P536" s="5">
        <v>2.8196239403172005</v>
      </c>
      <c r="Q536" s="5">
        <v>1.1321510497835607</v>
      </c>
      <c r="R536" s="6">
        <f>P536/Q536</f>
        <v>2.4905015464643547</v>
      </c>
    </row>
    <row r="537" spans="1:18" x14ac:dyDescent="0.35">
      <c r="A537" s="9">
        <v>1365</v>
      </c>
      <c r="B537" s="5">
        <v>0.1</v>
      </c>
      <c r="C537" s="5">
        <v>6000000</v>
      </c>
      <c r="D537" s="5">
        <v>5</v>
      </c>
      <c r="E537" s="5">
        <v>0</v>
      </c>
      <c r="F537" s="5">
        <v>0.1</v>
      </c>
      <c r="G537" s="12">
        <f>(C537*$U$4)/($U$5*$U$3)</f>
        <v>88.16326530612244</v>
      </c>
      <c r="H537" s="11">
        <f>G537*COS(RADIANS(D537))</f>
        <v>87.827777464415107</v>
      </c>
      <c r="I537" s="11">
        <f>G537*SIN(RADIANS(D537))</f>
        <v>7.6839348708139434</v>
      </c>
      <c r="J537" s="20">
        <v>0.16569999999999999</v>
      </c>
      <c r="K537" s="12">
        <v>0</v>
      </c>
      <c r="L537" s="12">
        <f>-(F537*G537*$U$3)/J537</f>
        <v>-53.206557215523503</v>
      </c>
      <c r="M537" s="11">
        <f>ABS(L537/$U$6)</f>
        <v>0.15512115806275073</v>
      </c>
      <c r="N537" s="12">
        <f>L537*SIN(RADIANS(K537))</f>
        <v>0</v>
      </c>
      <c r="O537" s="12">
        <f>L537*COS(RADIANS(K537))</f>
        <v>-53.206557215523503</v>
      </c>
      <c r="P537" s="5">
        <v>1.4517285778412323</v>
      </c>
      <c r="Q537" s="5">
        <v>0.28354752939434652</v>
      </c>
      <c r="R537" s="6">
        <f>P537/Q537</f>
        <v>5.1198773656822327</v>
      </c>
    </row>
    <row r="538" spans="1:18" x14ac:dyDescent="0.35">
      <c r="A538" s="9">
        <v>538</v>
      </c>
      <c r="B538" s="5">
        <v>0.1</v>
      </c>
      <c r="C538" s="5">
        <v>2000000</v>
      </c>
      <c r="D538" s="5">
        <v>10</v>
      </c>
      <c r="E538" s="5">
        <v>0</v>
      </c>
      <c r="F538" s="5">
        <v>0.1</v>
      </c>
      <c r="G538" s="12">
        <f>(C538*$U$4)/($U$5*$U$3)</f>
        <v>29.387755102040813</v>
      </c>
      <c r="H538" s="11">
        <f>G538*COS(RADIANS(D538))</f>
        <v>28.941289068113864</v>
      </c>
      <c r="I538" s="11">
        <f>G538*SIN(RADIANS(D538))</f>
        <v>5.1031301191914213</v>
      </c>
      <c r="J538" s="11">
        <v>0.16569999999999999</v>
      </c>
      <c r="K538" s="12">
        <v>0</v>
      </c>
      <c r="L538" s="12">
        <f>-(F538*G538*$U$3)/J538</f>
        <v>-17.735519071841168</v>
      </c>
      <c r="M538" s="11">
        <f>ABS(L538/$U$6)</f>
        <v>5.1707052687583577E-2</v>
      </c>
      <c r="N538" s="12">
        <f>L538*SIN(RADIANS(K538))</f>
        <v>0</v>
      </c>
      <c r="O538" s="12">
        <f>L538*COS(RADIANS(K538))</f>
        <v>-17.735519071841168</v>
      </c>
      <c r="P538" s="5">
        <v>1.5658692968436152</v>
      </c>
      <c r="Q538" s="5">
        <v>0.40423279166437659</v>
      </c>
      <c r="R538" s="6">
        <f>P538/Q538</f>
        <v>3.8736820197004542</v>
      </c>
    </row>
    <row r="539" spans="1:18" x14ac:dyDescent="0.35">
      <c r="A539" s="9">
        <v>539</v>
      </c>
      <c r="B539" s="5">
        <v>0.1</v>
      </c>
      <c r="C539" s="5">
        <v>6000000</v>
      </c>
      <c r="D539" s="5">
        <v>10</v>
      </c>
      <c r="E539" s="5">
        <v>0</v>
      </c>
      <c r="F539" s="5">
        <v>2.5000000000000001E-2</v>
      </c>
      <c r="G539" s="12">
        <f>(C539*$U$4)/($U$5*$U$3)</f>
        <v>88.16326530612244</v>
      </c>
      <c r="H539" s="11">
        <f>G539*COS(RADIANS(D539))</f>
        <v>86.823867204341596</v>
      </c>
      <c r="I539" s="11">
        <f>G539*SIN(RADIANS(D539))</f>
        <v>15.309390357574264</v>
      </c>
      <c r="J539" s="11">
        <v>0.16569999999999999</v>
      </c>
      <c r="K539" s="12">
        <v>0</v>
      </c>
      <c r="L539" s="12">
        <f>-(F539*G539*$U$3)/J539</f>
        <v>-13.301639303880876</v>
      </c>
      <c r="M539" s="11">
        <f>ABS(L539/$U$6)</f>
        <v>3.8780289515687683E-2</v>
      </c>
      <c r="N539" s="12">
        <f>L539*SIN(RADIANS(K539))</f>
        <v>0</v>
      </c>
      <c r="O539" s="12">
        <f>L539*COS(RADIANS(K539))</f>
        <v>-13.301639303880876</v>
      </c>
      <c r="P539" s="5">
        <v>1.3005247910455087</v>
      </c>
      <c r="Q539" s="5">
        <v>0.40672629119685721</v>
      </c>
      <c r="R539" s="6">
        <f>P539/Q539</f>
        <v>3.1975429648732723</v>
      </c>
    </row>
    <row r="540" spans="1:18" x14ac:dyDescent="0.35">
      <c r="A540" s="9">
        <v>540</v>
      </c>
      <c r="B540" s="5">
        <v>0.1</v>
      </c>
      <c r="C540" s="5">
        <v>6000000</v>
      </c>
      <c r="D540" s="5">
        <v>15</v>
      </c>
      <c r="E540" s="5">
        <v>0.125</v>
      </c>
      <c r="F540" s="5">
        <v>0.05</v>
      </c>
      <c r="G540" s="12">
        <f>(C540*$U$4)/($U$5*$U$3)</f>
        <v>88.16326530612244</v>
      </c>
      <c r="H540" s="11">
        <f>G540*COS(RADIANS(D540))</f>
        <v>85.159174889158663</v>
      </c>
      <c r="I540" s="11">
        <f>G540*SIN(RADIANS(D540))</f>
        <v>22.818332139650806</v>
      </c>
      <c r="J540" s="12">
        <v>0.1658</v>
      </c>
      <c r="K540" s="12">
        <v>69</v>
      </c>
      <c r="L540" s="12">
        <f>-(F540*G540*$U$3)/J540</f>
        <v>-26.587233204500134</v>
      </c>
      <c r="M540" s="11">
        <f>ABS(L540/$U$6)</f>
        <v>7.7513799430029548E-2</v>
      </c>
      <c r="N540" s="12">
        <f>L540*SIN(RADIANS(K540))</f>
        <v>-24.821320514437797</v>
      </c>
      <c r="O540" s="12">
        <f>L540*COS(RADIANS(K540))</f>
        <v>-9.5280122475794382</v>
      </c>
      <c r="P540" s="5">
        <v>1.5933206457081239</v>
      </c>
      <c r="Q540" s="5">
        <v>0.58966976150375205</v>
      </c>
      <c r="R540" s="6">
        <f>P540/Q540</f>
        <v>2.7020558789463816</v>
      </c>
    </row>
    <row r="541" spans="1:18" x14ac:dyDescent="0.35">
      <c r="A541" s="9">
        <v>1411</v>
      </c>
      <c r="B541" s="5">
        <v>0.1</v>
      </c>
      <c r="C541" s="5">
        <v>6000000</v>
      </c>
      <c r="D541" s="5">
        <v>30</v>
      </c>
      <c r="E541" s="5">
        <v>0</v>
      </c>
      <c r="F541" s="5">
        <v>0.1</v>
      </c>
      <c r="G541" s="12">
        <f>(C541*$U$4)/($U$5*$U$3)</f>
        <v>88.16326530612244</v>
      </c>
      <c r="H541" s="11">
        <f>G541*COS(RADIANS(D541))</f>
        <v>76.351627435689281</v>
      </c>
      <c r="I541" s="11">
        <f>G541*SIN(RADIANS(D541))</f>
        <v>44.081632653061213</v>
      </c>
      <c r="J541" s="20">
        <v>0.16569999999999999</v>
      </c>
      <c r="K541" s="19">
        <v>0</v>
      </c>
      <c r="L541" s="12">
        <f>-(F541*G541*$U$3)/J541</f>
        <v>-53.206557215523503</v>
      </c>
      <c r="M541" s="11">
        <f>ABS(L541/$U$6)</f>
        <v>0.15512115806275073</v>
      </c>
      <c r="N541" s="12">
        <f>L541*SIN(RADIANS(K541))</f>
        <v>0</v>
      </c>
      <c r="O541" s="12">
        <f>L541*COS(RADIANS(K541))</f>
        <v>-53.206557215523503</v>
      </c>
      <c r="P541" s="5">
        <v>1.8905546377509492</v>
      </c>
      <c r="Q541" s="5">
        <v>1.0747771380261373</v>
      </c>
      <c r="R541" s="6">
        <f>P541/Q541</f>
        <v>1.7590201455373469</v>
      </c>
    </row>
    <row r="542" spans="1:18" x14ac:dyDescent="0.35">
      <c r="A542" s="9">
        <v>542</v>
      </c>
      <c r="B542" s="5">
        <v>1</v>
      </c>
      <c r="C542" s="5">
        <v>6000000</v>
      </c>
      <c r="D542" s="5">
        <v>5</v>
      </c>
      <c r="E542" s="5">
        <v>0.375</v>
      </c>
      <c r="F542" s="5">
        <v>1.4999999999999999E-2</v>
      </c>
      <c r="G542" s="12">
        <f>(C542*$U$4)/($U$5*$U$3)</f>
        <v>88.16326530612244</v>
      </c>
      <c r="H542" s="11">
        <f>G542*COS(RADIANS(D542))</f>
        <v>87.827777464415107</v>
      </c>
      <c r="I542" s="11">
        <f>G542*SIN(RADIANS(D542))</f>
        <v>7.6839348708139434</v>
      </c>
      <c r="J542" s="12">
        <v>0.33379999999999999</v>
      </c>
      <c r="K542" s="11">
        <v>49</v>
      </c>
      <c r="L542" s="12">
        <f>-(F542*G542*$U$3)/J542</f>
        <v>-3.9618004181900441</v>
      </c>
      <c r="M542" s="11">
        <f>ABS(L542/$U$6)</f>
        <v>1.1550438536997214E-2</v>
      </c>
      <c r="N542" s="12">
        <f>L542*SIN(RADIANS(K542))</f>
        <v>-2.9900087305386109</v>
      </c>
      <c r="O542" s="12">
        <f>L542*COS(RADIANS(K542))</f>
        <v>-2.5991749354119462</v>
      </c>
      <c r="P542" s="5">
        <v>4.9109532043650237</v>
      </c>
      <c r="Q542" s="5">
        <v>-0.24418174110782118</v>
      </c>
      <c r="R542" s="6">
        <f>P542/Q542</f>
        <v>-20.111877252101898</v>
      </c>
    </row>
    <row r="543" spans="1:18" x14ac:dyDescent="0.35">
      <c r="A543" s="9">
        <v>543</v>
      </c>
      <c r="B543" s="5">
        <v>0.5</v>
      </c>
      <c r="C543" s="5">
        <v>6000000</v>
      </c>
      <c r="D543" s="5">
        <v>0</v>
      </c>
      <c r="E543" s="5">
        <v>0.375</v>
      </c>
      <c r="F543" s="5">
        <v>7.4999999999999997E-2</v>
      </c>
      <c r="G543" s="12">
        <f>(C543*$U$4)/($U$5*$U$3)</f>
        <v>88.16326530612244</v>
      </c>
      <c r="H543" s="11">
        <f>G543*COS(RADIANS(D543))</f>
        <v>88.16326530612244</v>
      </c>
      <c r="I543" s="11">
        <f>G543*SIN(RADIANS(D543))</f>
        <v>0</v>
      </c>
      <c r="J543" s="12">
        <v>0.24809999999999999</v>
      </c>
      <c r="K543" s="12">
        <v>67</v>
      </c>
      <c r="L543" s="12">
        <f>-(F543*G543*$U$3)/J543</f>
        <v>-26.651531229178492</v>
      </c>
      <c r="M543" s="11">
        <f>ABS(L543/$U$6)</f>
        <v>7.7701257227925632E-2</v>
      </c>
      <c r="N543" s="12">
        <f>L543*SIN(RADIANS(K543))</f>
        <v>-24.532863848398087</v>
      </c>
      <c r="O543" s="12">
        <f>L543*COS(RADIANS(K543))</f>
        <v>-10.413582873144032</v>
      </c>
      <c r="P543" s="5">
        <v>3.5707973626433374</v>
      </c>
      <c r="Q543" s="5">
        <v>-0.33830597485006247</v>
      </c>
      <c r="R543" s="6">
        <f>P543/Q543</f>
        <v>-10.554934373316694</v>
      </c>
    </row>
    <row r="544" spans="1:18" x14ac:dyDescent="0.35">
      <c r="A544" s="9">
        <v>1551</v>
      </c>
      <c r="B544" s="5">
        <v>0.1</v>
      </c>
      <c r="C544" s="5">
        <v>4000000</v>
      </c>
      <c r="D544" s="5">
        <v>5</v>
      </c>
      <c r="E544" s="5">
        <v>0</v>
      </c>
      <c r="F544" s="5">
        <v>0.15</v>
      </c>
      <c r="G544" s="12">
        <f>(C544*$U$4)/($U$5*$U$3)</f>
        <v>58.775510204081627</v>
      </c>
      <c r="H544" s="11">
        <f>G544*COS(RADIANS(D544))</f>
        <v>58.551851642943404</v>
      </c>
      <c r="I544" s="11">
        <f>G544*SIN(RADIANS(D544))</f>
        <v>5.1226232472092956</v>
      </c>
      <c r="J544" s="20">
        <v>0.16569999999999999</v>
      </c>
      <c r="K544" s="12">
        <v>0</v>
      </c>
      <c r="L544" s="12">
        <f>-(F544*G544*$U$3)/J544</f>
        <v>-53.206557215523503</v>
      </c>
      <c r="M544" s="11">
        <f>ABS(L544/$U$6)</f>
        <v>0.15512115806275073</v>
      </c>
      <c r="N544" s="12">
        <f>L544*SIN(RADIANS(K544))</f>
        <v>0</v>
      </c>
      <c r="O544" s="12">
        <f>L544*COS(RADIANS(K544))</f>
        <v>-53.206557215523503</v>
      </c>
      <c r="P544" s="5">
        <v>1.572521179328588</v>
      </c>
      <c r="Q544" s="5">
        <v>0.25848048364282544</v>
      </c>
      <c r="R544" s="6">
        <f>P544/Q544</f>
        <v>6.0837133897564799</v>
      </c>
    </row>
    <row r="545" spans="1:18" x14ac:dyDescent="0.35">
      <c r="A545" s="9">
        <v>1806</v>
      </c>
      <c r="B545" s="5">
        <v>0.1</v>
      </c>
      <c r="C545" s="5">
        <v>6000000</v>
      </c>
      <c r="D545" s="5">
        <v>0</v>
      </c>
      <c r="E545" s="5">
        <v>0</v>
      </c>
      <c r="F545" s="5">
        <v>0.1</v>
      </c>
      <c r="G545" s="12">
        <f>(C545*$U$4)/($U$5*$U$3)</f>
        <v>88.16326530612244</v>
      </c>
      <c r="H545" s="11">
        <f>G545*COS(RADIANS(D545))</f>
        <v>88.16326530612244</v>
      </c>
      <c r="I545" s="11">
        <f>G545*SIN(RADIANS(D545))</f>
        <v>0</v>
      </c>
      <c r="J545" s="20">
        <v>0.16569999999999999</v>
      </c>
      <c r="K545" s="19">
        <v>0</v>
      </c>
      <c r="L545" s="12">
        <f>-(F545*G545*$U$3)/J545</f>
        <v>-53.206557215523503</v>
      </c>
      <c r="M545" s="11">
        <f>ABS(L545/$U$6)</f>
        <v>0.15512115806275073</v>
      </c>
      <c r="N545" s="12">
        <f>L545*SIN(RADIANS(K545))</f>
        <v>0</v>
      </c>
      <c r="O545" s="12">
        <f>L545*COS(RADIANS(K545))</f>
        <v>-53.206557215523503</v>
      </c>
      <c r="P545" s="5">
        <v>1.3287256507913128</v>
      </c>
      <c r="Q545" s="5">
        <v>0.18213412764701556</v>
      </c>
      <c r="R545" s="6">
        <f>P545/Q545</f>
        <v>7.2953139972012551</v>
      </c>
    </row>
    <row r="546" spans="1:18" x14ac:dyDescent="0.35">
      <c r="A546" s="9">
        <v>2104</v>
      </c>
      <c r="B546" s="5">
        <v>0.1</v>
      </c>
      <c r="C546" s="5">
        <v>6000000</v>
      </c>
      <c r="D546" s="5">
        <v>10</v>
      </c>
      <c r="E546" s="5">
        <v>0</v>
      </c>
      <c r="F546" s="5">
        <v>0.1</v>
      </c>
      <c r="G546" s="12">
        <f>(C546*$U$4)/($U$5*$U$3)</f>
        <v>88.16326530612244</v>
      </c>
      <c r="H546" s="11">
        <f>G546*COS(RADIANS(D546))</f>
        <v>86.823867204341596</v>
      </c>
      <c r="I546" s="11">
        <f>G546*SIN(RADIANS(D546))</f>
        <v>15.309390357574264</v>
      </c>
      <c r="J546" s="20">
        <v>0.16569999999999999</v>
      </c>
      <c r="K546" s="19">
        <v>0</v>
      </c>
      <c r="L546" s="12">
        <f>-(F546*G546*$U$3)/J546</f>
        <v>-53.206557215523503</v>
      </c>
      <c r="M546" s="11">
        <f>ABS(L546/$U$6)</f>
        <v>0.15512115806275073</v>
      </c>
      <c r="N546" s="12">
        <f>L546*SIN(RADIANS(K546))</f>
        <v>0</v>
      </c>
      <c r="O546" s="12">
        <f>L546*COS(RADIANS(K546))</f>
        <v>-53.206557215523503</v>
      </c>
      <c r="P546" s="5">
        <v>1.5706507633437317</v>
      </c>
      <c r="Q546" s="5">
        <v>0.4044790396926059</v>
      </c>
      <c r="R546" s="6">
        <f>P546/Q546</f>
        <v>3.8831450068151554</v>
      </c>
    </row>
    <row r="547" spans="1:18" x14ac:dyDescent="0.35">
      <c r="A547" s="9">
        <v>547</v>
      </c>
      <c r="B547" s="5">
        <v>0.75</v>
      </c>
      <c r="C547" s="5">
        <v>4000000</v>
      </c>
      <c r="D547" s="5">
        <v>5</v>
      </c>
      <c r="E547" s="5">
        <v>0.125</v>
      </c>
      <c r="F547" s="5">
        <v>3.5000000000000003E-2</v>
      </c>
      <c r="G547" s="12">
        <f>(C547*$U$4)/($U$5*$U$3)</f>
        <v>58.775510204081627</v>
      </c>
      <c r="H547" s="11">
        <f>G547*COS(RADIANS(D547))</f>
        <v>58.551851642943404</v>
      </c>
      <c r="I547" s="11">
        <f>G547*SIN(RADIANS(D547))</f>
        <v>5.1226232472092956</v>
      </c>
      <c r="J547" s="12">
        <v>0.2802</v>
      </c>
      <c r="K547" s="12">
        <v>19</v>
      </c>
      <c r="L547" s="12">
        <f>-(F547*G547*$U$3)/J547</f>
        <v>-7.3416947078617305</v>
      </c>
      <c r="M547" s="11">
        <f>ABS(L547/$U$6)</f>
        <v>2.1404357748868019E-2</v>
      </c>
      <c r="N547" s="12">
        <f>L547*SIN(RADIANS(K547))</f>
        <v>-2.3902219966264178</v>
      </c>
      <c r="O547" s="12">
        <f>L547*COS(RADIANS(K547))</f>
        <v>-6.9417087226624661</v>
      </c>
      <c r="P547" s="5">
        <v>2.6206095461710399</v>
      </c>
      <c r="Q547" s="5">
        <v>0.80651501290248351</v>
      </c>
      <c r="R547" s="6">
        <f>P547/Q547</f>
        <v>3.2493003902556001</v>
      </c>
    </row>
    <row r="548" spans="1:18" x14ac:dyDescent="0.35">
      <c r="A548" s="9">
        <v>548</v>
      </c>
      <c r="B548" s="5">
        <v>1</v>
      </c>
      <c r="C548" s="5">
        <v>6000000</v>
      </c>
      <c r="D548" s="5">
        <v>30</v>
      </c>
      <c r="E548" s="5">
        <v>0.125</v>
      </c>
      <c r="F548" s="5">
        <v>3.5000000000000003E-2</v>
      </c>
      <c r="G548" s="12">
        <f>(C548*$U$4)/($U$5*$U$3)</f>
        <v>88.16326530612244</v>
      </c>
      <c r="H548" s="11">
        <f>G548*COS(RADIANS(D548))</f>
        <v>76.351627435689281</v>
      </c>
      <c r="I548" s="11">
        <f>G548*SIN(RADIANS(D548))</f>
        <v>44.081632653061213</v>
      </c>
      <c r="J548" s="11">
        <v>0.33379999999999999</v>
      </c>
      <c r="K548" s="12">
        <v>14</v>
      </c>
      <c r="L548" s="12">
        <f>-(F548*G548*$U$3)/J548</f>
        <v>-9.2442009757767707</v>
      </c>
      <c r="M548" s="11">
        <f>ABS(L548/$U$6)</f>
        <v>2.6951023252993502E-2</v>
      </c>
      <c r="N548" s="12">
        <f>L548*SIN(RADIANS(K548))</f>
        <v>-2.2363746233642146</v>
      </c>
      <c r="O548" s="12">
        <f>L548*COS(RADIANS(K548))</f>
        <v>-8.9696086996325963</v>
      </c>
      <c r="P548" s="5">
        <v>3.4108355009012694</v>
      </c>
      <c r="Q548" s="5">
        <v>1.3076631967763563</v>
      </c>
      <c r="R548" s="6">
        <f>P548/Q548</f>
        <v>2.6083440363769825</v>
      </c>
    </row>
    <row r="549" spans="1:18" x14ac:dyDescent="0.35">
      <c r="A549" s="9">
        <v>549</v>
      </c>
      <c r="B549" s="5">
        <v>1</v>
      </c>
      <c r="C549" s="5">
        <v>2000000</v>
      </c>
      <c r="D549" s="5">
        <v>20</v>
      </c>
      <c r="E549" s="5">
        <v>0.125</v>
      </c>
      <c r="F549" s="5">
        <v>0.1</v>
      </c>
      <c r="G549" s="12">
        <f>(C549*$U$4)/($U$5*$U$3)</f>
        <v>29.387755102040813</v>
      </c>
      <c r="H549" s="11">
        <f>G549*COS(RADIANS(D549))</f>
        <v>27.615456610851183</v>
      </c>
      <c r="I549" s="11">
        <f>G549*SIN(RADIANS(D549))</f>
        <v>10.051204212019652</v>
      </c>
      <c r="J549" s="11">
        <v>0.33379999999999999</v>
      </c>
      <c r="K549" s="12">
        <v>14</v>
      </c>
      <c r="L549" s="12">
        <f>-(F549*G549*$U$3)/J549</f>
        <v>-8.8040009293112096</v>
      </c>
      <c r="M549" s="11">
        <f>ABS(L549/$U$6)</f>
        <v>2.566764119332714E-2</v>
      </c>
      <c r="N549" s="12">
        <f>L549*SIN(RADIANS(K549))</f>
        <v>-2.1298805936802041</v>
      </c>
      <c r="O549" s="12">
        <f>L549*COS(RADIANS(K549))</f>
        <v>-8.5424844758405687</v>
      </c>
      <c r="P549" s="5">
        <v>2.9465292993623344</v>
      </c>
      <c r="Q549" s="5">
        <v>1.0657448766276243</v>
      </c>
      <c r="R549" s="6">
        <f>P549/Q549</f>
        <v>2.7647604637670371</v>
      </c>
    </row>
    <row r="550" spans="1:18" x14ac:dyDescent="0.35">
      <c r="A550" s="9">
        <v>550</v>
      </c>
      <c r="B550" s="5">
        <v>1</v>
      </c>
      <c r="C550" s="5">
        <v>6000000</v>
      </c>
      <c r="D550" s="5">
        <v>10</v>
      </c>
      <c r="E550" s="5">
        <v>0.25</v>
      </c>
      <c r="F550" s="5">
        <v>2.5000000000000001E-2</v>
      </c>
      <c r="G550" s="12">
        <f>(C550*$U$4)/($U$5*$U$3)</f>
        <v>88.16326530612244</v>
      </c>
      <c r="H550" s="11">
        <f>G550*COS(RADIANS(D550))</f>
        <v>86.823867204341596</v>
      </c>
      <c r="I550" s="11">
        <f>G550*SIN(RADIANS(D550))</f>
        <v>15.309390357574264</v>
      </c>
      <c r="J550" s="13">
        <v>0.33379999999999999</v>
      </c>
      <c r="K550" s="12">
        <v>30</v>
      </c>
      <c r="L550" s="12">
        <f>-(F550*G550*$U$3)/J550</f>
        <v>-6.6030006969834067</v>
      </c>
      <c r="M550" s="11">
        <f>ABS(L550/$U$6)</f>
        <v>1.9250730894995356E-2</v>
      </c>
      <c r="N550" s="12">
        <f>L550*SIN(RADIANS(K550))</f>
        <v>-3.3015003484917029</v>
      </c>
      <c r="O550" s="12">
        <f>L550*COS(RADIANS(K550))</f>
        <v>-5.718366344793985</v>
      </c>
      <c r="P550" s="5">
        <v>4.6118621632917707</v>
      </c>
      <c r="Q550" s="5">
        <v>0.37026194856429817</v>
      </c>
      <c r="R550" s="6">
        <f>P550/Q550</f>
        <v>12.455674100928828</v>
      </c>
    </row>
    <row r="551" spans="1:18" x14ac:dyDescent="0.35">
      <c r="A551" s="9">
        <v>896</v>
      </c>
      <c r="B551" s="5">
        <v>0.1</v>
      </c>
      <c r="C551" s="5">
        <v>4000000</v>
      </c>
      <c r="D551" s="5">
        <v>15</v>
      </c>
      <c r="E551" s="5">
        <v>0.125</v>
      </c>
      <c r="F551" s="5">
        <v>0.15</v>
      </c>
      <c r="G551" s="12">
        <f>(C551*$U$4)/($U$5*$U$3)</f>
        <v>58.775510204081627</v>
      </c>
      <c r="H551" s="11">
        <f>G551*COS(RADIANS(D551))</f>
        <v>56.772783259439109</v>
      </c>
      <c r="I551" s="11">
        <f>G551*SIN(RADIANS(D551))</f>
        <v>15.212221426433871</v>
      </c>
      <c r="J551" s="19">
        <v>0.1658</v>
      </c>
      <c r="K551" s="12">
        <v>69</v>
      </c>
      <c r="L551" s="12">
        <f>-(F551*G551*$U$3)/J551</f>
        <v>-53.174466409000267</v>
      </c>
      <c r="M551" s="11">
        <f>ABS(L551/$U$6)</f>
        <v>0.1550275988600591</v>
      </c>
      <c r="N551" s="12">
        <f>L551*SIN(RADIANS(K551))</f>
        <v>-49.642641028875595</v>
      </c>
      <c r="O551" s="12">
        <f>L551*COS(RADIANS(K551))</f>
        <v>-19.056024495158876</v>
      </c>
      <c r="P551" s="5">
        <v>1.8736122268792377</v>
      </c>
      <c r="Q551" s="5">
        <v>0.63461715121231366</v>
      </c>
      <c r="R551" s="6">
        <f>P551/Q551</f>
        <v>2.95235044199493</v>
      </c>
    </row>
    <row r="552" spans="1:18" x14ac:dyDescent="0.35">
      <c r="A552" s="9">
        <v>552</v>
      </c>
      <c r="B552" s="5">
        <v>0.5</v>
      </c>
      <c r="C552" s="5">
        <v>4000000</v>
      </c>
      <c r="D552" s="5">
        <v>0</v>
      </c>
      <c r="E552" s="5">
        <v>0.375</v>
      </c>
      <c r="F552" s="5">
        <v>1.4999999999999999E-2</v>
      </c>
      <c r="G552" s="12">
        <f>(C552*$U$4)/($U$5*$U$3)</f>
        <v>58.775510204081627</v>
      </c>
      <c r="H552" s="11">
        <f>G552*COS(RADIANS(D552))</f>
        <v>58.775510204081627</v>
      </c>
      <c r="I552" s="11">
        <f>G552*SIN(RADIANS(D552))</f>
        <v>0</v>
      </c>
      <c r="J552" s="12">
        <v>0.24809999999999999</v>
      </c>
      <c r="K552" s="12">
        <v>67</v>
      </c>
      <c r="L552" s="12">
        <f>-(F552*G552*$U$3)/J552</f>
        <v>-3.5535374972237985</v>
      </c>
      <c r="M552" s="11">
        <f>ABS(L552/$U$6)</f>
        <v>1.0360167630390084E-2</v>
      </c>
      <c r="N552" s="12">
        <f>L552*SIN(RADIANS(K552))</f>
        <v>-3.2710485131197444</v>
      </c>
      <c r="O552" s="12">
        <f>L552*COS(RADIANS(K552))</f>
        <v>-1.3884777164192041</v>
      </c>
      <c r="P552" s="5">
        <v>2.994471579033529</v>
      </c>
      <c r="Q552" s="5">
        <v>-0.13010796568514021</v>
      </c>
      <c r="R552" s="6">
        <f>P552/Q552</f>
        <v>-23.015282448425303</v>
      </c>
    </row>
    <row r="553" spans="1:18" x14ac:dyDescent="0.35">
      <c r="A553" s="9">
        <v>553</v>
      </c>
      <c r="B553" s="5">
        <v>0.5</v>
      </c>
      <c r="C553" s="5">
        <v>2000000</v>
      </c>
      <c r="D553" s="5">
        <v>15</v>
      </c>
      <c r="E553" s="5">
        <v>0.375</v>
      </c>
      <c r="F553" s="5">
        <v>7.4999999999999997E-2</v>
      </c>
      <c r="G553" s="12">
        <f>(C553*$U$4)/($U$5*$U$3)</f>
        <v>29.387755102040813</v>
      </c>
      <c r="H553" s="11">
        <f>G553*COS(RADIANS(D553))</f>
        <v>28.386391629719554</v>
      </c>
      <c r="I553" s="11">
        <f>G553*SIN(RADIANS(D553))</f>
        <v>7.6061107132169354</v>
      </c>
      <c r="J553" s="12">
        <v>0.24809999999999999</v>
      </c>
      <c r="K553" s="12">
        <v>67</v>
      </c>
      <c r="L553" s="12">
        <f>-(F553*G553*$U$3)/J553</f>
        <v>-8.8838437430594972</v>
      </c>
      <c r="M553" s="11">
        <f>ABS(L553/$U$6)</f>
        <v>2.590041907597521E-2</v>
      </c>
      <c r="N553" s="12">
        <f>L553*SIN(RADIANS(K553))</f>
        <v>-8.1776212827993611</v>
      </c>
      <c r="O553" s="12">
        <f>L553*COS(RADIANS(K553))</f>
        <v>-3.4711942910480107</v>
      </c>
      <c r="P553" s="5">
        <v>3.9592962781248535</v>
      </c>
      <c r="Q553" s="5">
        <v>0.37581545372106345</v>
      </c>
      <c r="R553" s="6">
        <f>P553/Q553</f>
        <v>10.535214129495349</v>
      </c>
    </row>
    <row r="554" spans="1:18" x14ac:dyDescent="0.35">
      <c r="A554" s="9">
        <v>554</v>
      </c>
      <c r="B554" s="5">
        <v>0.1</v>
      </c>
      <c r="C554" s="5">
        <v>4000000</v>
      </c>
      <c r="D554" s="5">
        <v>5</v>
      </c>
      <c r="E554" s="5">
        <v>0</v>
      </c>
      <c r="F554" s="5">
        <v>3.5000000000000003E-2</v>
      </c>
      <c r="G554" s="12">
        <f>(C554*$U$4)/($U$5*$U$3)</f>
        <v>58.775510204081627</v>
      </c>
      <c r="H554" s="11">
        <f>G554*COS(RADIANS(D554))</f>
        <v>58.551851642943404</v>
      </c>
      <c r="I554" s="11">
        <f>G554*SIN(RADIANS(D554))</f>
        <v>5.1226232472092956</v>
      </c>
      <c r="J554" s="11">
        <v>0.16569999999999999</v>
      </c>
      <c r="K554" s="12">
        <v>0</v>
      </c>
      <c r="L554" s="12">
        <f>-(F554*G554*$U$3)/J554</f>
        <v>-12.414863350288817</v>
      </c>
      <c r="M554" s="11">
        <f>ABS(L554/$U$6)</f>
        <v>3.6194936881308502E-2</v>
      </c>
      <c r="N554" s="12">
        <f>L554*SIN(RADIANS(K554))</f>
        <v>0</v>
      </c>
      <c r="O554" s="12">
        <f>L554*COS(RADIANS(K554))</f>
        <v>-12.414863350288817</v>
      </c>
      <c r="P554" s="5">
        <v>1.2757477725334194</v>
      </c>
      <c r="Q554" s="5">
        <v>0.31272823710430159</v>
      </c>
      <c r="R554" s="6">
        <f>P554/Q554</f>
        <v>4.0794134368746819</v>
      </c>
    </row>
    <row r="555" spans="1:18" x14ac:dyDescent="0.35">
      <c r="A555" s="9">
        <v>555</v>
      </c>
      <c r="B555" s="5">
        <v>1</v>
      </c>
      <c r="C555" s="5">
        <v>6000000</v>
      </c>
      <c r="D555" s="5">
        <v>10</v>
      </c>
      <c r="E555" s="5">
        <v>0.375</v>
      </c>
      <c r="F555" s="5">
        <v>0</v>
      </c>
      <c r="G555" s="12">
        <f>(C555*$U$4)/($U$5*$U$3)</f>
        <v>88.16326530612244</v>
      </c>
      <c r="H555" s="11">
        <f>G555*COS(RADIANS(D555))</f>
        <v>86.823867204341596</v>
      </c>
      <c r="I555" s="11">
        <f>G555*SIN(RADIANS(D555))</f>
        <v>15.309390357574264</v>
      </c>
      <c r="J555" s="12">
        <v>0.33379999999999999</v>
      </c>
      <c r="K555" s="11">
        <v>49</v>
      </c>
      <c r="L555" s="12">
        <f>-(F555*G555*$U$3)/J555</f>
        <v>0</v>
      </c>
      <c r="M555" s="11">
        <f>ABS(L555/$U$6)</f>
        <v>0</v>
      </c>
      <c r="N555" s="12">
        <f>L555*SIN(RADIANS(K555))</f>
        <v>0</v>
      </c>
      <c r="O555" s="12">
        <f>L555*COS(RADIANS(K555))</f>
        <v>0</v>
      </c>
      <c r="P555" s="5">
        <v>5.7636317945188793</v>
      </c>
      <c r="Q555" s="5">
        <v>1.1649751617050552</v>
      </c>
      <c r="R555" s="6">
        <f>P555/Q555</f>
        <v>4.947428910057825</v>
      </c>
    </row>
    <row r="556" spans="1:18" x14ac:dyDescent="0.35">
      <c r="A556" s="9">
        <v>1102</v>
      </c>
      <c r="B556" s="5">
        <v>0.1</v>
      </c>
      <c r="C556" s="5">
        <v>4000000</v>
      </c>
      <c r="D556" s="5">
        <v>20</v>
      </c>
      <c r="E556" s="5">
        <v>0.125</v>
      </c>
      <c r="F556" s="5">
        <v>0.15</v>
      </c>
      <c r="G556" s="12">
        <f>(C556*$U$4)/($U$5*$U$3)</f>
        <v>58.775510204081627</v>
      </c>
      <c r="H556" s="11">
        <f>G556*COS(RADIANS(D556))</f>
        <v>55.230913221702366</v>
      </c>
      <c r="I556" s="11">
        <f>G556*SIN(RADIANS(D556))</f>
        <v>20.102408424039304</v>
      </c>
      <c r="J556" s="19">
        <v>0.1658</v>
      </c>
      <c r="K556" s="19">
        <v>69</v>
      </c>
      <c r="L556" s="12">
        <f>-(F556*G556*$U$3)/J556</f>
        <v>-53.174466409000267</v>
      </c>
      <c r="M556" s="11">
        <f>ABS(L556/$U$6)</f>
        <v>0.1550275988600591</v>
      </c>
      <c r="N556" s="12">
        <f>L556*SIN(RADIANS(K556))</f>
        <v>-49.642641028875595</v>
      </c>
      <c r="O556" s="12">
        <f>L556*COS(RADIANS(K556))</f>
        <v>-19.056024495158876</v>
      </c>
      <c r="P556" s="5">
        <v>1.97979004782875</v>
      </c>
      <c r="Q556" s="5">
        <v>0.81060194379052164</v>
      </c>
      <c r="R556" s="6">
        <f>P556/Q556</f>
        <v>2.4423702200501678</v>
      </c>
    </row>
    <row r="557" spans="1:18" x14ac:dyDescent="0.35">
      <c r="A557" s="9">
        <v>557</v>
      </c>
      <c r="B557" s="5">
        <v>0.25</v>
      </c>
      <c r="C557" s="5">
        <v>6000000</v>
      </c>
      <c r="D557" s="5">
        <v>5</v>
      </c>
      <c r="E557" s="5">
        <v>0.375</v>
      </c>
      <c r="F557" s="5">
        <v>2.5000000000000001E-2</v>
      </c>
      <c r="G557" s="12">
        <f>(C557*$U$4)/($U$5*$U$3)</f>
        <v>88.16326530612244</v>
      </c>
      <c r="H557" s="11">
        <f>G557*COS(RADIANS(D557))</f>
        <v>87.827777464415107</v>
      </c>
      <c r="I557" s="11">
        <f>G557*SIN(RADIANS(D557))</f>
        <v>7.6839348708139434</v>
      </c>
      <c r="J557" s="11">
        <v>0.1976</v>
      </c>
      <c r="K557" s="12">
        <v>78</v>
      </c>
      <c r="L557" s="12">
        <f>-(F557*G557*$U$3)/J557</f>
        <v>-11.154259274560026</v>
      </c>
      <c r="M557" s="11">
        <f>ABS(L557/$U$6)</f>
        <v>3.251970633982515E-2</v>
      </c>
      <c r="N557" s="12">
        <f>L557*SIN(RADIANS(K557))</f>
        <v>-10.910511947373688</v>
      </c>
      <c r="O557" s="12">
        <f>L557*COS(RADIANS(K557))</f>
        <v>-2.3191009055934502</v>
      </c>
      <c r="P557" s="5">
        <v>2.1605092195575715</v>
      </c>
      <c r="Q557" s="5">
        <v>0.34068566378338083</v>
      </c>
      <c r="R557" s="6">
        <f>P557/Q557</f>
        <v>6.3416499407832267</v>
      </c>
    </row>
    <row r="558" spans="1:18" x14ac:dyDescent="0.35">
      <c r="A558" s="9">
        <v>558</v>
      </c>
      <c r="B558" s="5">
        <v>0.25</v>
      </c>
      <c r="C558" s="5">
        <v>4000000</v>
      </c>
      <c r="D558" s="5">
        <v>0</v>
      </c>
      <c r="E558" s="5">
        <v>0.25</v>
      </c>
      <c r="F558" s="5">
        <v>0</v>
      </c>
      <c r="G558" s="12">
        <f>(C558*$U$4)/($U$5*$U$3)</f>
        <v>58.775510204081627</v>
      </c>
      <c r="H558" s="11">
        <f>G558*COS(RADIANS(D558))</f>
        <v>58.775510204081627</v>
      </c>
      <c r="I558" s="11">
        <f>G558*SIN(RADIANS(D558))</f>
        <v>0</v>
      </c>
      <c r="J558" s="12">
        <v>0.1913</v>
      </c>
      <c r="K558" s="11">
        <v>67</v>
      </c>
      <c r="L558" s="12">
        <f>-(F558*G558*$U$3)/J558</f>
        <v>0</v>
      </c>
      <c r="M558" s="11">
        <f>ABS(L558/$U$6)</f>
        <v>0</v>
      </c>
      <c r="N558" s="12">
        <f>L558*SIN(RADIANS(K558))</f>
        <v>0</v>
      </c>
      <c r="O558" s="12">
        <f>L558*COS(RADIANS(K558))</f>
        <v>0</v>
      </c>
      <c r="P558" s="5">
        <v>2.4007022860927618</v>
      </c>
      <c r="Q558" s="5">
        <v>0.24042592564177373</v>
      </c>
      <c r="R558" s="6">
        <f>P558/Q558</f>
        <v>9.9852055458849502</v>
      </c>
    </row>
    <row r="559" spans="1:18" x14ac:dyDescent="0.35">
      <c r="A559" s="9">
        <v>559</v>
      </c>
      <c r="B559" s="5">
        <v>0.75</v>
      </c>
      <c r="C559" s="5">
        <v>2000000</v>
      </c>
      <c r="D559" s="5">
        <v>5</v>
      </c>
      <c r="E559" s="5">
        <v>0.125</v>
      </c>
      <c r="F559" s="5">
        <v>7.4999999999999997E-2</v>
      </c>
      <c r="G559" s="12">
        <f>(C559*$U$4)/($U$5*$U$3)</f>
        <v>29.387755102040813</v>
      </c>
      <c r="H559" s="11">
        <f>G559*COS(RADIANS(D559))</f>
        <v>29.275925821471702</v>
      </c>
      <c r="I559" s="11">
        <f>G559*SIN(RADIANS(D559))</f>
        <v>2.5613116236046478</v>
      </c>
      <c r="J559" s="12">
        <v>0.2802</v>
      </c>
      <c r="K559" s="12">
        <v>19</v>
      </c>
      <c r="L559" s="12">
        <f>-(F559*G559*$U$3)/J559</f>
        <v>-7.8661014727089968</v>
      </c>
      <c r="M559" s="11">
        <f>ABS(L559/$U$6)</f>
        <v>2.2933240445215733E-2</v>
      </c>
      <c r="N559" s="12">
        <f>L559*SIN(RADIANS(K559))</f>
        <v>-2.5609521392425907</v>
      </c>
      <c r="O559" s="12">
        <f>L559*COS(RADIANS(K559))</f>
        <v>-7.4375450599954993</v>
      </c>
      <c r="P559" s="5">
        <v>6.2149758947134837</v>
      </c>
      <c r="Q559" s="5">
        <v>4.1362127658459681E-2</v>
      </c>
      <c r="R559" s="6">
        <f>P559/Q559</f>
        <v>150.25764501363489</v>
      </c>
    </row>
    <row r="560" spans="1:18" x14ac:dyDescent="0.35">
      <c r="A560" s="9">
        <v>560</v>
      </c>
      <c r="B560" s="5">
        <v>1</v>
      </c>
      <c r="C560" s="5">
        <v>4000000</v>
      </c>
      <c r="D560" s="5">
        <v>30</v>
      </c>
      <c r="E560" s="5">
        <v>0</v>
      </c>
      <c r="F560" s="5">
        <v>3.5000000000000003E-2</v>
      </c>
      <c r="G560" s="12">
        <f>(C560*$U$4)/($U$5*$U$3)</f>
        <v>58.775510204081627</v>
      </c>
      <c r="H560" s="11">
        <f>G560*COS(RADIANS(D560))</f>
        <v>50.901084957126187</v>
      </c>
      <c r="I560" s="11">
        <f>G560*SIN(RADIANS(D560))</f>
        <v>29.38775510204081</v>
      </c>
      <c r="J560" s="11">
        <v>0.33379999999999999</v>
      </c>
      <c r="K560" s="12">
        <v>0</v>
      </c>
      <c r="L560" s="12">
        <f>-(F560*G560*$U$3)/J560</f>
        <v>-6.1628006505178465</v>
      </c>
      <c r="M560" s="11">
        <f>ABS(L560/$U$6)</f>
        <v>1.7967348835328998E-2</v>
      </c>
      <c r="N560" s="12">
        <f>L560*SIN(RADIANS(K560))</f>
        <v>0</v>
      </c>
      <c r="O560" s="12">
        <f>L560*COS(RADIANS(K560))</f>
        <v>-6.1628006505178465</v>
      </c>
      <c r="P560" s="5">
        <v>-0.1072525607846445</v>
      </c>
      <c r="Q560" s="5">
        <v>1.9169970920927442</v>
      </c>
      <c r="R560" s="6">
        <f>P560/Q560</f>
        <v>-5.5948212559654542E-2</v>
      </c>
    </row>
    <row r="561" spans="1:18" x14ac:dyDescent="0.35">
      <c r="A561" s="9">
        <v>561</v>
      </c>
      <c r="B561" s="5">
        <v>1</v>
      </c>
      <c r="C561" s="5">
        <v>4000000</v>
      </c>
      <c r="D561" s="5">
        <v>30</v>
      </c>
      <c r="E561" s="5">
        <v>0</v>
      </c>
      <c r="F561" s="5">
        <v>0.1</v>
      </c>
      <c r="G561" s="12">
        <f>(C561*$U$4)/($U$5*$U$3)</f>
        <v>58.775510204081627</v>
      </c>
      <c r="H561" s="11">
        <f>G561*COS(RADIANS(D561))</f>
        <v>50.901084957126187</v>
      </c>
      <c r="I561" s="11">
        <f>G561*SIN(RADIANS(D561))</f>
        <v>29.38775510204081</v>
      </c>
      <c r="J561" s="11">
        <v>0.33379999999999999</v>
      </c>
      <c r="K561" s="12">
        <v>0</v>
      </c>
      <c r="L561" s="12">
        <f>-(F561*G561*$U$3)/J561</f>
        <v>-17.608001858622419</v>
      </c>
      <c r="M561" s="11">
        <f>ABS(L561/$U$6)</f>
        <v>5.1335282386654281E-2</v>
      </c>
      <c r="N561" s="12">
        <f>L561*SIN(RADIANS(K561))</f>
        <v>0</v>
      </c>
      <c r="O561" s="12">
        <f>L561*COS(RADIANS(K561))</f>
        <v>-17.608001858622419</v>
      </c>
      <c r="P561" s="5">
        <v>0.77884921326409573</v>
      </c>
      <c r="Q561" s="5">
        <v>1.6345193290193205</v>
      </c>
      <c r="R561" s="6">
        <f>P561/Q561</f>
        <v>0.47650046067756813</v>
      </c>
    </row>
    <row r="562" spans="1:18" x14ac:dyDescent="0.35">
      <c r="A562" s="9">
        <v>1169</v>
      </c>
      <c r="B562" s="5">
        <v>0.1</v>
      </c>
      <c r="C562" s="5">
        <v>6000000</v>
      </c>
      <c r="D562" s="5">
        <v>20</v>
      </c>
      <c r="E562" s="5">
        <v>0.125</v>
      </c>
      <c r="F562" s="5">
        <v>0.1</v>
      </c>
      <c r="G562" s="12">
        <f>(C562*$U$4)/($U$5*$U$3)</f>
        <v>88.16326530612244</v>
      </c>
      <c r="H562" s="11">
        <f>G562*COS(RADIANS(D562))</f>
        <v>82.846369832553549</v>
      </c>
      <c r="I562" s="11">
        <f>G562*SIN(RADIANS(D562))</f>
        <v>30.153612636058952</v>
      </c>
      <c r="J562" s="12">
        <v>0.1658</v>
      </c>
      <c r="K562" s="19">
        <v>69</v>
      </c>
      <c r="L562" s="12">
        <f>-(F562*G562*$U$3)/J562</f>
        <v>-53.174466409000267</v>
      </c>
      <c r="M562" s="11">
        <f>ABS(L562/$U$6)</f>
        <v>0.1550275988600591</v>
      </c>
      <c r="N562" s="12">
        <f>L562*SIN(RADIANS(K562))</f>
        <v>-49.642641028875595</v>
      </c>
      <c r="O562" s="12">
        <f>L562*COS(RADIANS(K562))</f>
        <v>-19.056024495158876</v>
      </c>
      <c r="P562" s="5">
        <v>1.817496617698688</v>
      </c>
      <c r="Q562" s="5">
        <v>0.77571741072307265</v>
      </c>
      <c r="R562" s="6">
        <f>P562/Q562</f>
        <v>2.3429880425199396</v>
      </c>
    </row>
    <row r="563" spans="1:18" x14ac:dyDescent="0.35">
      <c r="A563" s="9">
        <v>563</v>
      </c>
      <c r="B563" s="5">
        <v>0.25</v>
      </c>
      <c r="C563" s="5">
        <v>6000000</v>
      </c>
      <c r="D563" s="5">
        <v>0</v>
      </c>
      <c r="E563" s="5">
        <v>0</v>
      </c>
      <c r="F563" s="5">
        <v>2.5000000000000001E-2</v>
      </c>
      <c r="G563" s="12">
        <f>(C563*$U$4)/($U$5*$U$3)</f>
        <v>88.16326530612244</v>
      </c>
      <c r="H563" s="11">
        <f>G563*COS(RADIANS(D563))</f>
        <v>88.16326530612244</v>
      </c>
      <c r="I563" s="11">
        <f>G563*SIN(RADIANS(D563))</f>
        <v>0</v>
      </c>
      <c r="J563" s="12">
        <v>0.18990000000000001</v>
      </c>
      <c r="K563" s="12">
        <v>0</v>
      </c>
      <c r="L563" s="12">
        <f>-(F563*G563*$U$3)/J563</f>
        <v>-11.606538349937129</v>
      </c>
      <c r="M563" s="11">
        <f>ABS(L563/$U$6)</f>
        <v>3.3838304227221949E-2</v>
      </c>
      <c r="N563" s="12">
        <f>L563*SIN(RADIANS(K563))</f>
        <v>0</v>
      </c>
      <c r="O563" s="12">
        <f>L563*COS(RADIANS(K563))</f>
        <v>-11.606538349937129</v>
      </c>
      <c r="P563" s="5">
        <v>1.95317484254083</v>
      </c>
      <c r="Q563" s="5">
        <v>0.21513677979037246</v>
      </c>
      <c r="R563" s="6">
        <f>P563/Q563</f>
        <v>9.0787583808030767</v>
      </c>
    </row>
    <row r="564" spans="1:18" x14ac:dyDescent="0.35">
      <c r="A564" s="9">
        <v>564</v>
      </c>
      <c r="B564" s="5">
        <v>0.5</v>
      </c>
      <c r="C564" s="5">
        <v>2000000</v>
      </c>
      <c r="D564" s="5">
        <v>30</v>
      </c>
      <c r="E564" s="5">
        <v>0.375</v>
      </c>
      <c r="F564" s="5">
        <v>7.4999999999999997E-2</v>
      </c>
      <c r="G564" s="12">
        <f>(C564*$U$4)/($U$5*$U$3)</f>
        <v>29.387755102040813</v>
      </c>
      <c r="H564" s="11">
        <f>G564*COS(RADIANS(D564))</f>
        <v>25.450542478563094</v>
      </c>
      <c r="I564" s="11">
        <f>G564*SIN(RADIANS(D564))</f>
        <v>14.693877551020405</v>
      </c>
      <c r="J564" s="12">
        <v>0.24809999999999999</v>
      </c>
      <c r="K564" s="12">
        <v>67</v>
      </c>
      <c r="L564" s="12">
        <f>-(F564*G564*$U$3)/J564</f>
        <v>-8.8838437430594972</v>
      </c>
      <c r="M564" s="11">
        <f>ABS(L564/$U$6)</f>
        <v>2.590041907597521E-2</v>
      </c>
      <c r="N564" s="12">
        <f>L564*SIN(RADIANS(K564))</f>
        <v>-8.1776212827993611</v>
      </c>
      <c r="O564" s="12">
        <f>L564*COS(RADIANS(K564))</f>
        <v>-3.4711942910480107</v>
      </c>
      <c r="P564" s="5">
        <v>4.2764376909150545</v>
      </c>
      <c r="Q564" s="5">
        <v>1.1836690092892321</v>
      </c>
      <c r="R564" s="6">
        <f>P564/Q564</f>
        <v>3.6128661453111488</v>
      </c>
    </row>
    <row r="565" spans="1:18" x14ac:dyDescent="0.35">
      <c r="A565" s="9">
        <v>565</v>
      </c>
      <c r="B565" s="5">
        <v>0.1</v>
      </c>
      <c r="C565" s="5">
        <v>2000000</v>
      </c>
      <c r="D565" s="5">
        <v>30</v>
      </c>
      <c r="E565" s="5">
        <v>0.25</v>
      </c>
      <c r="F565" s="5">
        <v>0.1</v>
      </c>
      <c r="G565" s="12">
        <f>(C565*$U$4)/($U$5*$U$3)</f>
        <v>29.387755102040813</v>
      </c>
      <c r="H565" s="11">
        <f>G565*COS(RADIANS(D565))</f>
        <v>25.450542478563094</v>
      </c>
      <c r="I565" s="11">
        <f>G565*SIN(RADIANS(D565))</f>
        <v>14.693877551020405</v>
      </c>
      <c r="J565" s="11">
        <v>0.1661</v>
      </c>
      <c r="K565" s="12">
        <v>80</v>
      </c>
      <c r="L565" s="12">
        <f>-(F565*G565*$U$3)/J565</f>
        <v>-17.69280861050019</v>
      </c>
      <c r="M565" s="11">
        <f>ABS(L565/$U$6)</f>
        <v>5.1582532392128837E-2</v>
      </c>
      <c r="N565" s="12">
        <f>L565*SIN(RADIANS(K565))</f>
        <v>-17.42401509218174</v>
      </c>
      <c r="O565" s="12">
        <f>L565*COS(RADIANS(K565))</f>
        <v>-3.0723239730231331</v>
      </c>
      <c r="P565" s="5">
        <v>1.4649386891052538</v>
      </c>
      <c r="Q565" s="5">
        <v>1.0779243353692878</v>
      </c>
      <c r="R565" s="6">
        <f>P565/Q565</f>
        <v>1.3590366605865505</v>
      </c>
    </row>
    <row r="566" spans="1:18" x14ac:dyDescent="0.35">
      <c r="A566" s="9">
        <v>566</v>
      </c>
      <c r="B566" s="5">
        <v>0.25</v>
      </c>
      <c r="C566" s="5">
        <v>6000000</v>
      </c>
      <c r="D566" s="5">
        <v>10</v>
      </c>
      <c r="E566" s="5">
        <v>0.25</v>
      </c>
      <c r="F566" s="5">
        <v>1.4999999999999999E-2</v>
      </c>
      <c r="G566" s="12">
        <f>(C566*$U$4)/($U$5*$U$3)</f>
        <v>88.16326530612244</v>
      </c>
      <c r="H566" s="11">
        <f>G566*COS(RADIANS(D566))</f>
        <v>86.823867204341596</v>
      </c>
      <c r="I566" s="11">
        <f>G566*SIN(RADIANS(D566))</f>
        <v>15.309390357574264</v>
      </c>
      <c r="J566" s="12">
        <v>0.1913</v>
      </c>
      <c r="K566" s="11">
        <v>67</v>
      </c>
      <c r="L566" s="12">
        <f>-(F566*G566*$U$3)/J566</f>
        <v>-6.9129585969254395</v>
      </c>
      <c r="M566" s="11">
        <f>ABS(L566/$U$6)</f>
        <v>2.0154398241765129E-2</v>
      </c>
      <c r="N566" s="12">
        <f>L566*SIN(RADIANS(K566))</f>
        <v>-6.3634119401856397</v>
      </c>
      <c r="O566" s="12">
        <f>L566*COS(RADIANS(K566))</f>
        <v>-2.7011081137763031</v>
      </c>
      <c r="P566" s="5">
        <v>2.1798530988148137</v>
      </c>
      <c r="Q566" s="5">
        <v>0.42207788632915239</v>
      </c>
      <c r="R566" s="6">
        <f>P566/Q566</f>
        <v>5.1645754715395853</v>
      </c>
    </row>
    <row r="567" spans="1:18" x14ac:dyDescent="0.35">
      <c r="A567" s="9">
        <v>567</v>
      </c>
      <c r="B567" s="5">
        <v>0.25</v>
      </c>
      <c r="C567" s="5">
        <v>4000000</v>
      </c>
      <c r="D567" s="5">
        <v>20</v>
      </c>
      <c r="E567" s="5">
        <v>0.125</v>
      </c>
      <c r="F567" s="5">
        <v>0</v>
      </c>
      <c r="G567" s="12">
        <f>(C567*$U$4)/($U$5*$U$3)</f>
        <v>58.775510204081627</v>
      </c>
      <c r="H567" s="11">
        <f>G567*COS(RADIANS(D567))</f>
        <v>55.230913221702366</v>
      </c>
      <c r="I567" s="11">
        <f>G567*SIN(RADIANS(D567))</f>
        <v>20.102408424039304</v>
      </c>
      <c r="J567" s="11">
        <v>0.19020000000000001</v>
      </c>
      <c r="K567" s="12">
        <v>46</v>
      </c>
      <c r="L567" s="12">
        <f>-(F567*G567*$U$3)/J567</f>
        <v>0</v>
      </c>
      <c r="M567" s="11">
        <f>ABS(L567/$U$6)</f>
        <v>0</v>
      </c>
      <c r="N567" s="12">
        <f>L567*SIN(RADIANS(K567))</f>
        <v>0</v>
      </c>
      <c r="O567" s="12">
        <f>L567*COS(RADIANS(K567))</f>
        <v>0</v>
      </c>
      <c r="P567" s="5">
        <v>2.3673783614366655</v>
      </c>
      <c r="Q567" s="5">
        <v>0.83621209438063882</v>
      </c>
      <c r="R567" s="6">
        <f>P567/Q567</f>
        <v>2.8310740508843306</v>
      </c>
    </row>
    <row r="568" spans="1:18" x14ac:dyDescent="0.35">
      <c r="A568" s="9">
        <v>1177</v>
      </c>
      <c r="B568" s="5">
        <v>0.1</v>
      </c>
      <c r="C568" s="5">
        <v>4000000</v>
      </c>
      <c r="D568" s="5">
        <v>0</v>
      </c>
      <c r="E568" s="5">
        <v>0.125</v>
      </c>
      <c r="F568" s="5">
        <v>0.15</v>
      </c>
      <c r="G568" s="12">
        <f>(C568*$U$4)/($U$5*$U$3)</f>
        <v>58.775510204081627</v>
      </c>
      <c r="H568" s="11">
        <f>G568*COS(RADIANS(D568))</f>
        <v>58.775510204081627</v>
      </c>
      <c r="I568" s="11">
        <f>G568*SIN(RADIANS(D568))</f>
        <v>0</v>
      </c>
      <c r="J568" s="19">
        <v>0.1658</v>
      </c>
      <c r="K568" s="12">
        <v>69</v>
      </c>
      <c r="L568" s="12">
        <f>-(F568*G568*$U$3)/J568</f>
        <v>-53.174466409000267</v>
      </c>
      <c r="M568" s="11">
        <f>ABS(L568/$U$6)</f>
        <v>0.1550275988600591</v>
      </c>
      <c r="N568" s="12">
        <f>L568*SIN(RADIANS(K568))</f>
        <v>-49.642641028875595</v>
      </c>
      <c r="O568" s="12">
        <f>L568*COS(RADIANS(K568))</f>
        <v>-19.056024495158876</v>
      </c>
      <c r="P568" s="5">
        <v>1.4431479871815889</v>
      </c>
      <c r="Q568" s="5">
        <v>0.21361262044066642</v>
      </c>
      <c r="R568" s="6">
        <f>P568/Q568</f>
        <v>6.755911632021018</v>
      </c>
    </row>
    <row r="569" spans="1:18" x14ac:dyDescent="0.35">
      <c r="A569" s="9">
        <v>569</v>
      </c>
      <c r="B569" s="5">
        <v>0.5</v>
      </c>
      <c r="C569" s="5">
        <v>4000000</v>
      </c>
      <c r="D569" s="5">
        <v>0</v>
      </c>
      <c r="E569" s="5">
        <v>0.125</v>
      </c>
      <c r="F569" s="5">
        <v>0.05</v>
      </c>
      <c r="G569" s="12">
        <f>(C569*$U$4)/($U$5*$U$3)</f>
        <v>58.775510204081627</v>
      </c>
      <c r="H569" s="11">
        <f>G569*COS(RADIANS(D569))</f>
        <v>58.775510204081627</v>
      </c>
      <c r="I569" s="11">
        <f>G569*SIN(RADIANS(D569))</f>
        <v>0</v>
      </c>
      <c r="J569" s="12">
        <v>0.23300000000000001</v>
      </c>
      <c r="K569" s="11">
        <v>27</v>
      </c>
      <c r="L569" s="12">
        <f>-(F569*G569*$U$3)/J569</f>
        <v>-12.612770430060435</v>
      </c>
      <c r="M569" s="11">
        <f>ABS(L569/$U$6)</f>
        <v>3.6771925452071239E-2</v>
      </c>
      <c r="N569" s="12">
        <f>L569*SIN(RADIANS(K569))</f>
        <v>-5.7260779506433144</v>
      </c>
      <c r="O569" s="12">
        <f>L569*COS(RADIANS(K569))</f>
        <v>-11.238060741273975</v>
      </c>
      <c r="P569" s="5">
        <v>4.7790148068883447</v>
      </c>
      <c r="Q569" s="5">
        <v>2.6119642859962759E-2</v>
      </c>
      <c r="R569" s="6">
        <f>P569/Q569</f>
        <v>182.96631514107764</v>
      </c>
    </row>
    <row r="570" spans="1:18" x14ac:dyDescent="0.35">
      <c r="A570" s="9">
        <v>570</v>
      </c>
      <c r="B570" s="5">
        <v>0.5</v>
      </c>
      <c r="C570" s="5">
        <v>2000000</v>
      </c>
      <c r="D570" s="5">
        <v>20</v>
      </c>
      <c r="E570" s="5">
        <v>0</v>
      </c>
      <c r="F570" s="5">
        <v>7.4999999999999997E-2</v>
      </c>
      <c r="G570" s="12">
        <f>(C570*$U$4)/($U$5*$U$3)</f>
        <v>29.387755102040813</v>
      </c>
      <c r="H570" s="11">
        <f>G570*COS(RADIANS(D570))</f>
        <v>27.615456610851183</v>
      </c>
      <c r="I570" s="11">
        <f>G570*SIN(RADIANS(D570))</f>
        <v>10.051204212019652</v>
      </c>
      <c r="J570" s="12">
        <v>0.23230000000000001</v>
      </c>
      <c r="K570" s="12">
        <v>0</v>
      </c>
      <c r="L570" s="12">
        <f>-(F570*G570*$U$3)/J570</f>
        <v>-9.4880827923076243</v>
      </c>
      <c r="M570" s="11">
        <f>ABS(L570/$U$6)</f>
        <v>2.7662048957165085E-2</v>
      </c>
      <c r="N570" s="12">
        <f>L570*SIN(RADIANS(K570))</f>
        <v>0</v>
      </c>
      <c r="O570" s="12">
        <f>L570*COS(RADIANS(K570))</f>
        <v>-9.4880827923076243</v>
      </c>
      <c r="P570" s="5">
        <v>4.527540318326186</v>
      </c>
      <c r="Q570" s="5">
        <v>1.0905590867838511</v>
      </c>
      <c r="R570" s="6">
        <f>P570/Q570</f>
        <v>4.1515772718727941</v>
      </c>
    </row>
    <row r="571" spans="1:18" x14ac:dyDescent="0.35">
      <c r="A571" s="9">
        <v>571</v>
      </c>
      <c r="B571" s="5">
        <v>0.75</v>
      </c>
      <c r="C571" s="5">
        <v>6000000</v>
      </c>
      <c r="D571" s="5">
        <v>0</v>
      </c>
      <c r="E571" s="5">
        <v>0</v>
      </c>
      <c r="F571" s="5">
        <v>0.05</v>
      </c>
      <c r="G571" s="12">
        <f>(C571*$U$4)/($U$5*$U$3)</f>
        <v>88.16326530612244</v>
      </c>
      <c r="H571" s="11">
        <f>G571*COS(RADIANS(D571))</f>
        <v>88.16326530612244</v>
      </c>
      <c r="I571" s="11">
        <f>G571*SIN(RADIANS(D571))</f>
        <v>0</v>
      </c>
      <c r="J571" s="11">
        <v>0.27929999999999999</v>
      </c>
      <c r="K571" s="12">
        <v>0</v>
      </c>
      <c r="L571" s="12">
        <f>-(F571*G571*$U$3)/J571</f>
        <v>-15.782897476928472</v>
      </c>
      <c r="M571" s="11">
        <f>ABS(L571/$U$6)</f>
        <v>4.6014278358392044E-2</v>
      </c>
      <c r="N571" s="12">
        <f>L571*SIN(RADIANS(K571))</f>
        <v>0</v>
      </c>
      <c r="O571" s="12">
        <f>L571*COS(RADIANS(K571))</f>
        <v>-15.782897476928472</v>
      </c>
      <c r="P571" s="5">
        <v>4.2333030464710344</v>
      </c>
      <c r="Q571" s="5">
        <v>0.48302069368717909</v>
      </c>
      <c r="R571" s="6">
        <f>P571/Q571</f>
        <v>8.7642270855017816</v>
      </c>
    </row>
    <row r="572" spans="1:18" x14ac:dyDescent="0.35">
      <c r="A572" s="9">
        <v>572</v>
      </c>
      <c r="B572" s="5">
        <v>1</v>
      </c>
      <c r="C572" s="5">
        <v>2000000</v>
      </c>
      <c r="D572" s="5">
        <v>10</v>
      </c>
      <c r="E572" s="5">
        <v>0.125</v>
      </c>
      <c r="F572" s="5">
        <v>3.5000000000000003E-2</v>
      </c>
      <c r="G572" s="12">
        <f>(C572*$U$4)/($U$5*$U$3)</f>
        <v>29.387755102040813</v>
      </c>
      <c r="H572" s="11">
        <f>G572*COS(RADIANS(D572))</f>
        <v>28.941289068113864</v>
      </c>
      <c r="I572" s="11">
        <f>G572*SIN(RADIANS(D572))</f>
        <v>5.1031301191914213</v>
      </c>
      <c r="J572" s="11">
        <v>0.33379999999999999</v>
      </c>
      <c r="K572" s="12">
        <v>14</v>
      </c>
      <c r="L572" s="12">
        <f>-(F572*G572*$U$3)/J572</f>
        <v>-3.0814003252589233</v>
      </c>
      <c r="M572" s="11">
        <f>ABS(L572/$U$6)</f>
        <v>8.983674417664499E-3</v>
      </c>
      <c r="N572" s="12">
        <f>L572*SIN(RADIANS(K572))</f>
        <v>-0.74545820778807137</v>
      </c>
      <c r="O572" s="12">
        <f>L572*COS(RADIANS(K572))</f>
        <v>-2.9898695665441988</v>
      </c>
      <c r="P572" s="5">
        <v>4.3505953113208076</v>
      </c>
      <c r="Q572" s="5">
        <v>0.55747189164434774</v>
      </c>
      <c r="R572" s="6">
        <f>P572/Q572</f>
        <v>7.8041518801747438</v>
      </c>
    </row>
    <row r="573" spans="1:18" x14ac:dyDescent="0.35">
      <c r="A573" s="9">
        <v>573</v>
      </c>
      <c r="B573" s="5">
        <v>1</v>
      </c>
      <c r="C573" s="5">
        <v>2000000</v>
      </c>
      <c r="D573" s="5">
        <v>5</v>
      </c>
      <c r="E573" s="5">
        <v>0</v>
      </c>
      <c r="F573" s="5">
        <v>0</v>
      </c>
      <c r="G573" s="12">
        <f>(C573*$U$4)/($U$5*$U$3)</f>
        <v>29.387755102040813</v>
      </c>
      <c r="H573" s="11">
        <f>G573*COS(RADIANS(D573))</f>
        <v>29.275925821471702</v>
      </c>
      <c r="I573" s="11">
        <f>G573*SIN(RADIANS(D573))</f>
        <v>2.5613116236046478</v>
      </c>
      <c r="J573" s="11">
        <v>0.33379999999999999</v>
      </c>
      <c r="K573" s="12">
        <v>0</v>
      </c>
      <c r="L573" s="12">
        <f>-(F573*G573*$U$3)/J573</f>
        <v>0</v>
      </c>
      <c r="M573" s="11">
        <f>ABS(L573/$U$6)</f>
        <v>0</v>
      </c>
      <c r="N573" s="12">
        <f>L573*SIN(RADIANS(K573))</f>
        <v>0</v>
      </c>
      <c r="O573" s="12">
        <f>L573*COS(RADIANS(K573))</f>
        <v>0</v>
      </c>
      <c r="P573" s="5">
        <v>5.9453480436691919</v>
      </c>
      <c r="Q573" s="5">
        <v>1.632631373462774</v>
      </c>
      <c r="R573" s="6">
        <f>P573/Q573</f>
        <v>3.6415740505214256</v>
      </c>
    </row>
    <row r="574" spans="1:18" x14ac:dyDescent="0.35">
      <c r="A574" s="9">
        <v>574</v>
      </c>
      <c r="B574" s="5">
        <v>0.25</v>
      </c>
      <c r="C574" s="5">
        <v>6000000</v>
      </c>
      <c r="D574" s="5">
        <v>15</v>
      </c>
      <c r="E574" s="5">
        <v>0.375</v>
      </c>
      <c r="F574" s="5">
        <v>0.05</v>
      </c>
      <c r="G574" s="12">
        <f>(C574*$U$4)/($U$5*$U$3)</f>
        <v>88.16326530612244</v>
      </c>
      <c r="H574" s="11">
        <f>G574*COS(RADIANS(D574))</f>
        <v>85.159174889158663</v>
      </c>
      <c r="I574" s="11">
        <f>G574*SIN(RADIANS(D574))</f>
        <v>22.818332139650806</v>
      </c>
      <c r="J574" s="11">
        <v>0.1976</v>
      </c>
      <c r="K574" s="12">
        <v>78</v>
      </c>
      <c r="L574" s="12">
        <f>-(F574*G574*$U$3)/J574</f>
        <v>-22.308518549120052</v>
      </c>
      <c r="M574" s="11">
        <f>ABS(L574/$U$6)</f>
        <v>6.5039412679650299E-2</v>
      </c>
      <c r="N574" s="12">
        <f>L574*SIN(RADIANS(K574))</f>
        <v>-21.821023894747377</v>
      </c>
      <c r="O574" s="12">
        <f>L574*COS(RADIANS(K574))</f>
        <v>-4.6382018111869003</v>
      </c>
      <c r="P574" s="5">
        <v>2.5111001395115089</v>
      </c>
      <c r="Q574" s="5">
        <v>0.52426528926710947</v>
      </c>
      <c r="R574" s="6">
        <f>P574/Q574</f>
        <v>4.7897508969588127</v>
      </c>
    </row>
    <row r="575" spans="1:18" x14ac:dyDescent="0.35">
      <c r="A575" s="9">
        <v>575</v>
      </c>
      <c r="B575" s="5">
        <v>1</v>
      </c>
      <c r="C575" s="5">
        <v>6000000</v>
      </c>
      <c r="D575" s="5">
        <v>0</v>
      </c>
      <c r="E575" s="5">
        <v>0.25</v>
      </c>
      <c r="F575" s="5">
        <v>0.1</v>
      </c>
      <c r="G575" s="12">
        <f>(C575*$U$4)/($U$5*$U$3)</f>
        <v>88.16326530612244</v>
      </c>
      <c r="H575" s="11">
        <f>G575*COS(RADIANS(D575))</f>
        <v>88.16326530612244</v>
      </c>
      <c r="I575" s="11">
        <f>G575*SIN(RADIANS(D575))</f>
        <v>0</v>
      </c>
      <c r="J575" s="13">
        <v>0.33379999999999999</v>
      </c>
      <c r="K575" s="12">
        <v>30</v>
      </c>
      <c r="L575" s="12">
        <f>-(F575*G575*$U$3)/J575</f>
        <v>-26.412002787933627</v>
      </c>
      <c r="M575" s="11">
        <f>ABS(L575/$U$6)</f>
        <v>7.7002923579981425E-2</v>
      </c>
      <c r="N575" s="12">
        <f>L575*SIN(RADIANS(K575))</f>
        <v>-13.206001393966812</v>
      </c>
      <c r="O575" s="12">
        <f>L575*COS(RADIANS(K575))</f>
        <v>-22.87346537917594</v>
      </c>
      <c r="P575" s="5">
        <v>9.3395982476352177</v>
      </c>
      <c r="Q575" s="5">
        <v>-1.7956960948960083</v>
      </c>
      <c r="R575" s="6">
        <f>P575/Q575</f>
        <v>-5.2011018313074233</v>
      </c>
    </row>
    <row r="576" spans="1:18" x14ac:dyDescent="0.35">
      <c r="A576" s="9">
        <v>576</v>
      </c>
      <c r="B576" s="5">
        <v>0.25</v>
      </c>
      <c r="C576" s="5">
        <v>4000000</v>
      </c>
      <c r="D576" s="5">
        <v>0</v>
      </c>
      <c r="E576" s="5">
        <v>0.375</v>
      </c>
      <c r="F576" s="5">
        <v>0</v>
      </c>
      <c r="G576" s="12">
        <f>(C576*$U$4)/($U$5*$U$3)</f>
        <v>58.775510204081627</v>
      </c>
      <c r="H576" s="11">
        <f>G576*COS(RADIANS(D576))</f>
        <v>58.775510204081627</v>
      </c>
      <c r="I576" s="11">
        <f>G576*SIN(RADIANS(D576))</f>
        <v>0</v>
      </c>
      <c r="J576" s="11">
        <v>0.1976</v>
      </c>
      <c r="K576" s="12">
        <v>78</v>
      </c>
      <c r="L576" s="12">
        <f>-(F576*G576*$U$3)/J576</f>
        <v>0</v>
      </c>
      <c r="M576" s="11">
        <f>ABS(L576/$U$6)</f>
        <v>0</v>
      </c>
      <c r="N576" s="12">
        <f>L576*SIN(RADIANS(K576))</f>
        <v>0</v>
      </c>
      <c r="O576" s="12">
        <f>L576*COS(RADIANS(K576))</f>
        <v>0</v>
      </c>
      <c r="P576" s="5">
        <v>2.6933357308798085</v>
      </c>
      <c r="Q576" s="5">
        <v>0.29503647704176333</v>
      </c>
      <c r="R576" s="6">
        <f>P576/Q576</f>
        <v>9.1288228421279527</v>
      </c>
    </row>
    <row r="577" spans="1:18" x14ac:dyDescent="0.35">
      <c r="A577" s="9">
        <v>577</v>
      </c>
      <c r="B577" s="5">
        <v>0.5</v>
      </c>
      <c r="C577" s="5">
        <v>2000000</v>
      </c>
      <c r="D577" s="5">
        <v>0</v>
      </c>
      <c r="E577" s="5">
        <v>0.125</v>
      </c>
      <c r="F577" s="5">
        <v>3.5000000000000003E-2</v>
      </c>
      <c r="G577" s="12">
        <f>(C577*$U$4)/($U$5*$U$3)</f>
        <v>29.387755102040813</v>
      </c>
      <c r="H577" s="11">
        <f>G577*COS(RADIANS(D577))</f>
        <v>29.387755102040813</v>
      </c>
      <c r="I577" s="11">
        <f>G577*SIN(RADIANS(D577))</f>
        <v>0</v>
      </c>
      <c r="J577" s="12">
        <v>0.23300000000000001</v>
      </c>
      <c r="K577" s="11">
        <v>27</v>
      </c>
      <c r="L577" s="12">
        <f>-(F577*G577*$U$3)/J577</f>
        <v>-4.414469650521152</v>
      </c>
      <c r="M577" s="11">
        <f>ABS(L577/$U$6)</f>
        <v>1.2870173908224933E-2</v>
      </c>
      <c r="N577" s="12">
        <f>L577*SIN(RADIANS(K577))</f>
        <v>-2.0041272827251602</v>
      </c>
      <c r="O577" s="12">
        <f>L577*COS(RADIANS(K577))</f>
        <v>-3.9333212594458908</v>
      </c>
      <c r="P577" s="5">
        <v>4.2004026449055827</v>
      </c>
      <c r="Q577" s="5">
        <v>8.7599320211603965E-2</v>
      </c>
      <c r="R577" s="6">
        <f>P577/Q577</f>
        <v>47.950173982619226</v>
      </c>
    </row>
    <row r="578" spans="1:18" x14ac:dyDescent="0.35">
      <c r="A578" s="9">
        <v>578</v>
      </c>
      <c r="B578" s="5">
        <v>0.1</v>
      </c>
      <c r="C578" s="5">
        <v>4000000</v>
      </c>
      <c r="D578" s="5">
        <v>10</v>
      </c>
      <c r="E578" s="5">
        <v>0.25</v>
      </c>
      <c r="F578" s="5">
        <v>7.4999999999999997E-2</v>
      </c>
      <c r="G578" s="12">
        <f>(C578*$U$4)/($U$5*$U$3)</f>
        <v>58.775510204081627</v>
      </c>
      <c r="H578" s="11">
        <f>G578*COS(RADIANS(D578))</f>
        <v>57.882578136227728</v>
      </c>
      <c r="I578" s="11">
        <f>G578*SIN(RADIANS(D578))</f>
        <v>10.206260238382843</v>
      </c>
      <c r="J578" s="11">
        <v>0.1661</v>
      </c>
      <c r="K578" s="12">
        <v>80</v>
      </c>
      <c r="L578" s="12">
        <f>-(F578*G578*$U$3)/J578</f>
        <v>-26.539212915750284</v>
      </c>
      <c r="M578" s="11">
        <f>ABS(L578/$U$6)</f>
        <v>7.7373798588193252E-2</v>
      </c>
      <c r="N578" s="12">
        <f>L578*SIN(RADIANS(K578))</f>
        <v>-26.136022638272607</v>
      </c>
      <c r="O578" s="12">
        <f>L578*COS(RADIANS(K578))</f>
        <v>-4.6084859595346996</v>
      </c>
      <c r="P578" s="5">
        <v>1.8040951256830067</v>
      </c>
      <c r="Q578" s="5">
        <v>0.49477195877796004</v>
      </c>
      <c r="R578" s="6">
        <f>P578/Q578</f>
        <v>3.6463164366447747</v>
      </c>
    </row>
    <row r="579" spans="1:18" x14ac:dyDescent="0.35">
      <c r="A579" s="9">
        <v>579</v>
      </c>
      <c r="B579" s="5">
        <v>0.1</v>
      </c>
      <c r="C579" s="5">
        <v>6000000</v>
      </c>
      <c r="D579" s="5">
        <v>15</v>
      </c>
      <c r="E579" s="5">
        <v>0.25</v>
      </c>
      <c r="F579" s="5">
        <v>1.4999999999999999E-2</v>
      </c>
      <c r="G579" s="12">
        <f>(C579*$U$4)/($U$5*$U$3)</f>
        <v>88.16326530612244</v>
      </c>
      <c r="H579" s="11">
        <f>G579*COS(RADIANS(D579))</f>
        <v>85.159174889158663</v>
      </c>
      <c r="I579" s="11">
        <f>G579*SIN(RADIANS(D579))</f>
        <v>22.818332139650806</v>
      </c>
      <c r="J579" s="11">
        <v>0.1661</v>
      </c>
      <c r="K579" s="12">
        <v>80</v>
      </c>
      <c r="L579" s="12">
        <f>-(F579*G579*$U$3)/J579</f>
        <v>-7.9617638747250847</v>
      </c>
      <c r="M579" s="11">
        <f>ABS(L579/$U$6)</f>
        <v>2.3212139576457971E-2</v>
      </c>
      <c r="N579" s="12">
        <f>L579*SIN(RADIANS(K579))</f>
        <v>-7.8408067914817812</v>
      </c>
      <c r="O579" s="12">
        <f>L579*COS(RADIANS(K579))</f>
        <v>-1.3825457878604097</v>
      </c>
      <c r="P579" s="5">
        <v>1.5112975200057008</v>
      </c>
      <c r="Q579" s="5">
        <v>0.61730743493132567</v>
      </c>
      <c r="R579" s="6">
        <f>P579/Q579</f>
        <v>2.4482088413106995</v>
      </c>
    </row>
    <row r="580" spans="1:18" x14ac:dyDescent="0.35">
      <c r="A580" s="9">
        <v>580</v>
      </c>
      <c r="B580" s="5">
        <v>0.25</v>
      </c>
      <c r="C580" s="5">
        <v>2000000</v>
      </c>
      <c r="D580" s="5">
        <v>20</v>
      </c>
      <c r="E580" s="5">
        <v>0.125</v>
      </c>
      <c r="F580" s="5">
        <v>2.5000000000000001E-2</v>
      </c>
      <c r="G580" s="12">
        <f>(C580*$U$4)/($U$5*$U$3)</f>
        <v>29.387755102040813</v>
      </c>
      <c r="H580" s="11">
        <f>G580*COS(RADIANS(D580))</f>
        <v>27.615456610851183</v>
      </c>
      <c r="I580" s="11">
        <f>G580*SIN(RADIANS(D580))</f>
        <v>10.051204212019652</v>
      </c>
      <c r="J580" s="11">
        <v>0.19020000000000001</v>
      </c>
      <c r="K580" s="12">
        <v>46</v>
      </c>
      <c r="L580" s="12">
        <f>-(F580*G580*$U$3)/J580</f>
        <v>-3.8627438357046282</v>
      </c>
      <c r="M580" s="11">
        <f>ABS(L580/$U$6)</f>
        <v>1.1261643835873551E-2</v>
      </c>
      <c r="N580" s="12">
        <f>L580*SIN(RADIANS(K580))</f>
        <v>-2.7786253795351223</v>
      </c>
      <c r="O580" s="12">
        <f>L580*COS(RADIANS(K580))</f>
        <v>-2.6832873384111138</v>
      </c>
      <c r="P580" s="5">
        <v>2.127240634283015</v>
      </c>
      <c r="Q580" s="5">
        <v>0.69002691618755263</v>
      </c>
      <c r="R580" s="6">
        <f>P580/Q580</f>
        <v>3.0828371826945093</v>
      </c>
    </row>
    <row r="581" spans="1:18" x14ac:dyDescent="0.35">
      <c r="A581" s="9">
        <v>581</v>
      </c>
      <c r="B581" s="5">
        <v>0.5</v>
      </c>
      <c r="C581" s="5">
        <v>2000000</v>
      </c>
      <c r="D581" s="5">
        <v>20</v>
      </c>
      <c r="E581" s="5">
        <v>0.25</v>
      </c>
      <c r="F581" s="5">
        <v>0.15</v>
      </c>
      <c r="G581" s="12">
        <f>(C581*$U$4)/($U$5*$U$3)</f>
        <v>29.387755102040813</v>
      </c>
      <c r="H581" s="11">
        <f>G581*COS(RADIANS(D581))</f>
        <v>27.615456610851183</v>
      </c>
      <c r="I581" s="11">
        <f>G581*SIN(RADIANS(D581))</f>
        <v>10.051204212019652</v>
      </c>
      <c r="J581" s="11">
        <v>0.23580000000000001</v>
      </c>
      <c r="K581" s="11">
        <v>49</v>
      </c>
      <c r="L581" s="12">
        <f>-(F581*G581*$U$3)/J581</f>
        <v>-18.694500701043772</v>
      </c>
      <c r="M581" s="11">
        <f>ABS(L581/$U$6)</f>
        <v>5.4502917495754435E-2</v>
      </c>
      <c r="N581" s="12">
        <f>L581*SIN(RADIANS(K581))</f>
        <v>-14.108918776559062</v>
      </c>
      <c r="O581" s="12">
        <f>L581*COS(RADIANS(K581))</f>
        <v>-12.264695977389135</v>
      </c>
      <c r="P581" s="5">
        <v>5.52427569749893</v>
      </c>
      <c r="Q581" s="5">
        <v>0.85147659199248782</v>
      </c>
      <c r="R581" s="6">
        <f>P581/Q581</f>
        <v>6.4878773526491358</v>
      </c>
    </row>
    <row r="582" spans="1:18" x14ac:dyDescent="0.35">
      <c r="A582" s="9">
        <v>582</v>
      </c>
      <c r="B582" s="5">
        <v>0.5</v>
      </c>
      <c r="C582" s="5">
        <v>4000000</v>
      </c>
      <c r="D582" s="5">
        <v>10</v>
      </c>
      <c r="E582" s="5">
        <v>0</v>
      </c>
      <c r="F582" s="5">
        <v>3.5000000000000003E-2</v>
      </c>
      <c r="G582" s="12">
        <f>(C582*$U$4)/($U$5*$U$3)</f>
        <v>58.775510204081627</v>
      </c>
      <c r="H582" s="11">
        <f>G582*COS(RADIANS(D582))</f>
        <v>57.882578136227728</v>
      </c>
      <c r="I582" s="11">
        <f>G582*SIN(RADIANS(D582))</f>
        <v>10.206260238382843</v>
      </c>
      <c r="J582" s="12">
        <v>0.23230000000000001</v>
      </c>
      <c r="K582" s="12">
        <v>0</v>
      </c>
      <c r="L582" s="12">
        <f>-(F582*G582*$U$3)/J582</f>
        <v>-8.8555439394871147</v>
      </c>
      <c r="M582" s="11">
        <f>ABS(L582/$U$6)</f>
        <v>2.5817912360020744E-2</v>
      </c>
      <c r="N582" s="12">
        <f>L582*SIN(RADIANS(K582))</f>
        <v>0</v>
      </c>
      <c r="O582" s="12">
        <f>L582*COS(RADIANS(K582))</f>
        <v>-8.8555439394871147</v>
      </c>
      <c r="P582" s="5">
        <v>3.3836578519962961</v>
      </c>
      <c r="Q582" s="5">
        <v>0.64635150785143369</v>
      </c>
      <c r="R582" s="6">
        <f>P582/Q582</f>
        <v>5.2350119260092178</v>
      </c>
    </row>
    <row r="583" spans="1:18" x14ac:dyDescent="0.35">
      <c r="A583" s="9">
        <v>583</v>
      </c>
      <c r="B583" s="5">
        <v>1</v>
      </c>
      <c r="C583" s="5">
        <v>6000000</v>
      </c>
      <c r="D583" s="5">
        <v>30</v>
      </c>
      <c r="E583" s="5">
        <v>0</v>
      </c>
      <c r="F583" s="5">
        <v>7.4999999999999997E-2</v>
      </c>
      <c r="G583" s="12">
        <f>(C583*$U$4)/($U$5*$U$3)</f>
        <v>88.16326530612244</v>
      </c>
      <c r="H583" s="11">
        <f>G583*COS(RADIANS(D583))</f>
        <v>76.351627435689281</v>
      </c>
      <c r="I583" s="11">
        <f>G583*SIN(RADIANS(D583))</f>
        <v>44.081632653061213</v>
      </c>
      <c r="J583" s="11">
        <v>0.33379999999999999</v>
      </c>
      <c r="K583" s="12">
        <v>0</v>
      </c>
      <c r="L583" s="12">
        <f>-(F583*G583*$U$3)/J583</f>
        <v>-19.809002090950219</v>
      </c>
      <c r="M583" s="11">
        <f>ABS(L583/$U$6)</f>
        <v>5.7752192684986062E-2</v>
      </c>
      <c r="N583" s="12">
        <f>L583*SIN(RADIANS(K583))</f>
        <v>0</v>
      </c>
      <c r="O583" s="12">
        <f>L583*COS(RADIANS(K583))</f>
        <v>-19.809002090950219</v>
      </c>
      <c r="P583" s="5">
        <v>6.8419884797117154</v>
      </c>
      <c r="Q583" s="5">
        <v>2.1542972944870007</v>
      </c>
      <c r="R583" s="6">
        <f>P583/Q583</f>
        <v>3.1759722751455191</v>
      </c>
    </row>
    <row r="584" spans="1:18" x14ac:dyDescent="0.35">
      <c r="A584" s="9">
        <v>584</v>
      </c>
      <c r="B584" s="5">
        <v>0.5</v>
      </c>
      <c r="C584" s="5">
        <v>6000000</v>
      </c>
      <c r="D584" s="5">
        <v>0</v>
      </c>
      <c r="E584" s="5">
        <v>0.125</v>
      </c>
      <c r="F584" s="5">
        <v>3.5000000000000003E-2</v>
      </c>
      <c r="G584" s="12">
        <f>(C584*$U$4)/($U$5*$U$3)</f>
        <v>88.16326530612244</v>
      </c>
      <c r="H584" s="11">
        <f>G584*COS(RADIANS(D584))</f>
        <v>88.16326530612244</v>
      </c>
      <c r="I584" s="11">
        <f>G584*SIN(RADIANS(D584))</f>
        <v>0</v>
      </c>
      <c r="J584" s="12">
        <v>0.23300000000000001</v>
      </c>
      <c r="K584" s="11">
        <v>27</v>
      </c>
      <c r="L584" s="12">
        <f>-(F584*G584*$U$3)/J584</f>
        <v>-13.243408951563458</v>
      </c>
      <c r="M584" s="11">
        <f>ABS(L584/$U$6)</f>
        <v>3.8610521724674801E-2</v>
      </c>
      <c r="N584" s="12">
        <f>L584*SIN(RADIANS(K584))</f>
        <v>-6.0123818481754814</v>
      </c>
      <c r="O584" s="12">
        <f>L584*COS(RADIANS(K584))</f>
        <v>-11.799963778337673</v>
      </c>
      <c r="P584" s="5">
        <v>4.1851594285682099</v>
      </c>
      <c r="Q584" s="5">
        <v>9.1561833223370775E-2</v>
      </c>
      <c r="R584" s="6">
        <f>P584/Q584</f>
        <v>45.708558699979868</v>
      </c>
    </row>
    <row r="585" spans="1:18" x14ac:dyDescent="0.35">
      <c r="A585" s="9">
        <v>585</v>
      </c>
      <c r="B585" s="5">
        <v>1</v>
      </c>
      <c r="C585" s="5">
        <v>4000000</v>
      </c>
      <c r="D585" s="5">
        <v>20</v>
      </c>
      <c r="E585" s="5">
        <v>0.25</v>
      </c>
      <c r="F585" s="5">
        <v>0.1</v>
      </c>
      <c r="G585" s="12">
        <f>(C585*$U$4)/($U$5*$U$3)</f>
        <v>58.775510204081627</v>
      </c>
      <c r="H585" s="11">
        <f>G585*COS(RADIANS(D585))</f>
        <v>55.230913221702366</v>
      </c>
      <c r="I585" s="11">
        <f>G585*SIN(RADIANS(D585))</f>
        <v>20.102408424039304</v>
      </c>
      <c r="J585" s="13">
        <v>0.33379999999999999</v>
      </c>
      <c r="K585" s="12">
        <v>30</v>
      </c>
      <c r="L585" s="12">
        <f>-(F585*G585*$U$3)/J585</f>
        <v>-17.608001858622419</v>
      </c>
      <c r="M585" s="11">
        <f>ABS(L585/$U$6)</f>
        <v>5.1335282386654281E-2</v>
      </c>
      <c r="N585" s="12">
        <f>L585*SIN(RADIANS(K585))</f>
        <v>-8.8040009293112078</v>
      </c>
      <c r="O585" s="12">
        <f>L585*COS(RADIANS(K585))</f>
        <v>-15.248976919450628</v>
      </c>
      <c r="P585" s="5">
        <v>9.5888885404233868</v>
      </c>
      <c r="Q585" s="5">
        <v>0.4763264108789953</v>
      </c>
      <c r="R585" s="6">
        <f>P585/Q585</f>
        <v>20.130919305373816</v>
      </c>
    </row>
    <row r="586" spans="1:18" x14ac:dyDescent="0.35">
      <c r="A586" s="9">
        <v>586</v>
      </c>
      <c r="B586" s="5">
        <v>0.75</v>
      </c>
      <c r="C586" s="5">
        <v>2000000</v>
      </c>
      <c r="D586" s="5">
        <v>30</v>
      </c>
      <c r="E586" s="5">
        <v>0</v>
      </c>
      <c r="F586" s="5">
        <v>0.1</v>
      </c>
      <c r="G586" s="12">
        <f>(C586*$U$4)/($U$5*$U$3)</f>
        <v>29.387755102040813</v>
      </c>
      <c r="H586" s="11">
        <f>G586*COS(RADIANS(D586))</f>
        <v>25.450542478563094</v>
      </c>
      <c r="I586" s="11">
        <f>G586*SIN(RADIANS(D586))</f>
        <v>14.693877551020405</v>
      </c>
      <c r="J586" s="11">
        <v>0.27929999999999999</v>
      </c>
      <c r="K586" s="12">
        <v>0</v>
      </c>
      <c r="L586" s="12">
        <f>-(F586*G586*$U$3)/J586</f>
        <v>-10.521931651285648</v>
      </c>
      <c r="M586" s="11">
        <f>ABS(L586/$U$6)</f>
        <v>3.0676185572261365E-2</v>
      </c>
      <c r="N586" s="12">
        <f>L586*SIN(RADIANS(K586))</f>
        <v>0</v>
      </c>
      <c r="O586" s="12">
        <f>L586*COS(RADIANS(K586))</f>
        <v>-10.521931651285648</v>
      </c>
      <c r="P586" s="5">
        <v>2.5400067713170622</v>
      </c>
      <c r="Q586" s="5">
        <v>1.1030395402543649</v>
      </c>
      <c r="R586" s="6">
        <f>P586/Q586</f>
        <v>2.3027341075473391</v>
      </c>
    </row>
    <row r="587" spans="1:18" x14ac:dyDescent="0.35">
      <c r="A587" s="9">
        <v>587</v>
      </c>
      <c r="B587" s="5">
        <v>0.5</v>
      </c>
      <c r="C587" s="5">
        <v>4000000</v>
      </c>
      <c r="D587" s="5">
        <v>15</v>
      </c>
      <c r="E587" s="5">
        <v>0.375</v>
      </c>
      <c r="F587" s="5">
        <v>0.1</v>
      </c>
      <c r="G587" s="12">
        <f>(C587*$U$4)/($U$5*$U$3)</f>
        <v>58.775510204081627</v>
      </c>
      <c r="H587" s="11">
        <f>G587*COS(RADIANS(D587))</f>
        <v>56.772783259439109</v>
      </c>
      <c r="I587" s="11">
        <f>G587*SIN(RADIANS(D587))</f>
        <v>15.212221426433871</v>
      </c>
      <c r="J587" s="12">
        <v>0.24809999999999999</v>
      </c>
      <c r="K587" s="12">
        <v>67</v>
      </c>
      <c r="L587" s="12">
        <f>-(F587*G587*$U$3)/J587</f>
        <v>-23.690249981491991</v>
      </c>
      <c r="M587" s="11">
        <f>ABS(L587/$U$6)</f>
        <v>6.9067784202600555E-2</v>
      </c>
      <c r="N587" s="12">
        <f>L587*SIN(RADIANS(K587))</f>
        <v>-21.806990087464964</v>
      </c>
      <c r="O587" s="12">
        <f>L587*COS(RADIANS(K587))</f>
        <v>-9.2565181094613607</v>
      </c>
      <c r="P587" s="5">
        <v>4.2504473653203974</v>
      </c>
      <c r="Q587" s="5">
        <v>0.35556577644460413</v>
      </c>
      <c r="R587" s="6">
        <f>P587/Q587</f>
        <v>11.954039581147939</v>
      </c>
    </row>
    <row r="588" spans="1:18" x14ac:dyDescent="0.35">
      <c r="A588" s="9">
        <v>588</v>
      </c>
      <c r="B588" s="5">
        <v>0.5</v>
      </c>
      <c r="C588" s="5">
        <v>4000000</v>
      </c>
      <c r="D588" s="5">
        <v>5</v>
      </c>
      <c r="E588" s="5">
        <v>0.25</v>
      </c>
      <c r="F588" s="5">
        <v>0.05</v>
      </c>
      <c r="G588" s="12">
        <f>(C588*$U$4)/($U$5*$U$3)</f>
        <v>58.775510204081627</v>
      </c>
      <c r="H588" s="11">
        <f>G588*COS(RADIANS(D588))</f>
        <v>58.551851642943404</v>
      </c>
      <c r="I588" s="11">
        <f>G588*SIN(RADIANS(D588))</f>
        <v>5.1226232472092956</v>
      </c>
      <c r="J588" s="11">
        <v>0.23580000000000001</v>
      </c>
      <c r="K588" s="11">
        <v>49</v>
      </c>
      <c r="L588" s="12">
        <f>-(F588*G588*$U$3)/J588</f>
        <v>-12.463000467362516</v>
      </c>
      <c r="M588" s="11">
        <f>ABS(L588/$U$6)</f>
        <v>3.6335278330502964E-2</v>
      </c>
      <c r="N588" s="12">
        <f>L588*SIN(RADIANS(K588))</f>
        <v>-9.405945851039375</v>
      </c>
      <c r="O588" s="12">
        <f>L588*COS(RADIANS(K588))</f>
        <v>-8.1764639849260909</v>
      </c>
      <c r="P588" s="5">
        <v>3.0850700299183895</v>
      </c>
      <c r="Q588" s="5">
        <v>0.17386685749510292</v>
      </c>
      <c r="R588" s="6">
        <f>P588/Q588</f>
        <v>17.743864899641856</v>
      </c>
    </row>
    <row r="589" spans="1:18" x14ac:dyDescent="0.35">
      <c r="A589" s="9">
        <v>589</v>
      </c>
      <c r="B589" s="5">
        <v>0.5</v>
      </c>
      <c r="C589" s="5">
        <v>2000000</v>
      </c>
      <c r="D589" s="5">
        <v>30</v>
      </c>
      <c r="E589" s="5">
        <v>0.25</v>
      </c>
      <c r="F589" s="5">
        <v>1.4999999999999999E-2</v>
      </c>
      <c r="G589" s="12">
        <f>(C589*$U$4)/($U$5*$U$3)</f>
        <v>29.387755102040813</v>
      </c>
      <c r="H589" s="11">
        <f>G589*COS(RADIANS(D589))</f>
        <v>25.450542478563094</v>
      </c>
      <c r="I589" s="11">
        <f>G589*SIN(RADIANS(D589))</f>
        <v>14.693877551020405</v>
      </c>
      <c r="J589" s="11">
        <v>0.23580000000000001</v>
      </c>
      <c r="K589" s="11">
        <v>49</v>
      </c>
      <c r="L589" s="12">
        <f>-(F589*G589*$U$3)/J589</f>
        <v>-1.8694500701043775</v>
      </c>
      <c r="M589" s="11">
        <f>ABS(L589/$U$6)</f>
        <v>5.4502917495754446E-3</v>
      </c>
      <c r="N589" s="12">
        <f>L589*SIN(RADIANS(K589))</f>
        <v>-1.4108918776559065</v>
      </c>
      <c r="O589" s="12">
        <f>L589*COS(RADIANS(K589))</f>
        <v>-1.2264695977389137</v>
      </c>
      <c r="P589" s="5">
        <v>2.813256419241088</v>
      </c>
      <c r="Q589" s="5">
        <v>1.1230577459111257</v>
      </c>
      <c r="R589" s="6">
        <f>P589/Q589</f>
        <v>2.504997120124683</v>
      </c>
    </row>
    <row r="590" spans="1:18" x14ac:dyDescent="0.35">
      <c r="A590" s="9">
        <v>1261</v>
      </c>
      <c r="B590" s="5">
        <v>0.1</v>
      </c>
      <c r="C590" s="5">
        <v>6000000</v>
      </c>
      <c r="D590" s="5">
        <v>15</v>
      </c>
      <c r="E590" s="5">
        <v>0.125</v>
      </c>
      <c r="F590" s="5">
        <v>0.1</v>
      </c>
      <c r="G590" s="12">
        <f>(C590*$U$4)/($U$5*$U$3)</f>
        <v>88.16326530612244</v>
      </c>
      <c r="H590" s="11">
        <f>G590*COS(RADIANS(D590))</f>
        <v>85.159174889158663</v>
      </c>
      <c r="I590" s="11">
        <f>G590*SIN(RADIANS(D590))</f>
        <v>22.818332139650806</v>
      </c>
      <c r="J590" s="19">
        <v>0.1658</v>
      </c>
      <c r="K590" s="12">
        <v>69</v>
      </c>
      <c r="L590" s="12">
        <f>-(F590*G590*$U$3)/J590</f>
        <v>-53.174466409000267</v>
      </c>
      <c r="M590" s="11">
        <f>ABS(L590/$U$6)</f>
        <v>0.1550275988600591</v>
      </c>
      <c r="N590" s="12">
        <f>L590*SIN(RADIANS(K590))</f>
        <v>-49.642641028875595</v>
      </c>
      <c r="O590" s="12">
        <f>L590*COS(RADIANS(K590))</f>
        <v>-19.056024495158876</v>
      </c>
      <c r="P590" s="5">
        <v>1.7803364134596413</v>
      </c>
      <c r="Q590" s="5">
        <v>0.61748611858783031</v>
      </c>
      <c r="R590" s="6">
        <f>P590/Q590</f>
        <v>2.8832007066510417</v>
      </c>
    </row>
    <row r="591" spans="1:18" x14ac:dyDescent="0.35">
      <c r="A591" s="9">
        <v>591</v>
      </c>
      <c r="B591" s="5">
        <v>0.75</v>
      </c>
      <c r="C591" s="5">
        <v>2000000</v>
      </c>
      <c r="D591" s="5">
        <v>20</v>
      </c>
      <c r="E591" s="5">
        <v>0.125</v>
      </c>
      <c r="F591" s="5">
        <v>0</v>
      </c>
      <c r="G591" s="12">
        <f>(C591*$U$4)/($U$5*$U$3)</f>
        <v>29.387755102040813</v>
      </c>
      <c r="H591" s="11">
        <f>G591*COS(RADIANS(D591))</f>
        <v>27.615456610851183</v>
      </c>
      <c r="I591" s="11">
        <f>G591*SIN(RADIANS(D591))</f>
        <v>10.051204212019652</v>
      </c>
      <c r="J591" s="12">
        <v>0.2802</v>
      </c>
      <c r="K591" s="12">
        <v>19</v>
      </c>
      <c r="L591" s="12">
        <f>-(F591*G591*$U$3)/J591</f>
        <v>0</v>
      </c>
      <c r="M591" s="11">
        <f>ABS(L591/$U$6)</f>
        <v>0</v>
      </c>
      <c r="N591" s="12">
        <f>L591*SIN(RADIANS(K591))</f>
        <v>0</v>
      </c>
      <c r="O591" s="12">
        <f>L591*COS(RADIANS(K591))</f>
        <v>0</v>
      </c>
      <c r="P591" s="5">
        <v>4.9159764348898412</v>
      </c>
      <c r="Q591" s="5">
        <v>1.954503452390945</v>
      </c>
      <c r="R591" s="6">
        <f>P591/Q591</f>
        <v>2.5152047845585153</v>
      </c>
    </row>
    <row r="592" spans="1:18" x14ac:dyDescent="0.35">
      <c r="A592" s="9">
        <v>592</v>
      </c>
      <c r="B592" s="5">
        <v>0.5</v>
      </c>
      <c r="C592" s="5">
        <v>4000000</v>
      </c>
      <c r="D592" s="5">
        <v>30</v>
      </c>
      <c r="E592" s="5">
        <v>0.375</v>
      </c>
      <c r="F592" s="5">
        <v>2.5000000000000001E-2</v>
      </c>
      <c r="G592" s="12">
        <f>(C592*$U$4)/($U$5*$U$3)</f>
        <v>58.775510204081627</v>
      </c>
      <c r="H592" s="11">
        <f>G592*COS(RADIANS(D592))</f>
        <v>50.901084957126187</v>
      </c>
      <c r="I592" s="11">
        <f>G592*SIN(RADIANS(D592))</f>
        <v>29.38775510204081</v>
      </c>
      <c r="J592" s="12">
        <v>0.24809999999999999</v>
      </c>
      <c r="K592" s="12">
        <v>67</v>
      </c>
      <c r="L592" s="12">
        <f>-(F592*G592*$U$3)/J592</f>
        <v>-5.9225624953729978</v>
      </c>
      <c r="M592" s="11">
        <f>ABS(L592/$U$6)</f>
        <v>1.7266946050650139E-2</v>
      </c>
      <c r="N592" s="12">
        <f>L592*SIN(RADIANS(K592))</f>
        <v>-5.451747521866241</v>
      </c>
      <c r="O592" s="12">
        <f>L592*COS(RADIANS(K592))</f>
        <v>-2.3141295273653402</v>
      </c>
      <c r="P592" s="5">
        <v>3.3867919197055438</v>
      </c>
      <c r="Q592" s="5">
        <v>1.1161764144248749</v>
      </c>
      <c r="R592" s="6">
        <f>P592/Q592</f>
        <v>3.0342801334416607</v>
      </c>
    </row>
    <row r="593" spans="1:18" x14ac:dyDescent="0.35">
      <c r="A593" s="9">
        <v>593</v>
      </c>
      <c r="B593" s="5">
        <v>0.5</v>
      </c>
      <c r="C593" s="5">
        <v>6000000</v>
      </c>
      <c r="D593" s="5">
        <v>20</v>
      </c>
      <c r="E593" s="5">
        <v>0.125</v>
      </c>
      <c r="F593" s="5">
        <v>3.5000000000000003E-2</v>
      </c>
      <c r="G593" s="12">
        <f>(C593*$U$4)/($U$5*$U$3)</f>
        <v>88.16326530612244</v>
      </c>
      <c r="H593" s="11">
        <f>G593*COS(RADIANS(D593))</f>
        <v>82.846369832553549</v>
      </c>
      <c r="I593" s="11">
        <f>G593*SIN(RADIANS(D593))</f>
        <v>30.153612636058952</v>
      </c>
      <c r="J593" s="12">
        <v>0.23300000000000001</v>
      </c>
      <c r="K593" s="11">
        <v>27</v>
      </c>
      <c r="L593" s="12">
        <f>-(F593*G593*$U$3)/J593</f>
        <v>-13.243408951563458</v>
      </c>
      <c r="M593" s="11">
        <f>ABS(L593/$U$6)</f>
        <v>3.8610521724674801E-2</v>
      </c>
      <c r="N593" s="12">
        <f>L593*SIN(RADIANS(K593))</f>
        <v>-6.0123818481754814</v>
      </c>
      <c r="O593" s="12">
        <f>L593*COS(RADIANS(K593))</f>
        <v>-11.799963778337673</v>
      </c>
      <c r="P593" s="5">
        <v>3.8428907209486138</v>
      </c>
      <c r="Q593" s="5">
        <v>0.97670145082417359</v>
      </c>
      <c r="R593" s="6">
        <f>P593/Q593</f>
        <v>3.9345602668101427</v>
      </c>
    </row>
    <row r="594" spans="1:18" x14ac:dyDescent="0.35">
      <c r="A594" s="9">
        <v>594</v>
      </c>
      <c r="B594" s="5">
        <v>0.75</v>
      </c>
      <c r="C594" s="5">
        <v>6000000</v>
      </c>
      <c r="D594" s="5">
        <v>0</v>
      </c>
      <c r="E594" s="5">
        <v>0</v>
      </c>
      <c r="F594" s="5">
        <v>0.1</v>
      </c>
      <c r="G594" s="12">
        <f>(C594*$U$4)/($U$5*$U$3)</f>
        <v>88.16326530612244</v>
      </c>
      <c r="H594" s="11">
        <f>G594*COS(RADIANS(D594))</f>
        <v>88.16326530612244</v>
      </c>
      <c r="I594" s="11">
        <f>G594*SIN(RADIANS(D594))</f>
        <v>0</v>
      </c>
      <c r="J594" s="11">
        <v>0.27929999999999999</v>
      </c>
      <c r="K594" s="12">
        <v>0</v>
      </c>
      <c r="L594" s="12">
        <f>-(F594*G594*$U$3)/J594</f>
        <v>-31.565794953856944</v>
      </c>
      <c r="M594" s="11">
        <f>ABS(L594/$U$6)</f>
        <v>9.2028556716784088E-2</v>
      </c>
      <c r="N594" s="12">
        <f>L594*SIN(RADIANS(K594))</f>
        <v>0</v>
      </c>
      <c r="O594" s="12">
        <f>L594*COS(RADIANS(K594))</f>
        <v>-31.565794953856944</v>
      </c>
      <c r="P594" s="5">
        <v>5.2451878252677808</v>
      </c>
      <c r="Q594" s="5">
        <v>7.0010301340284423E-2</v>
      </c>
      <c r="R594" s="6">
        <f>P594/Q594</f>
        <v>74.920229235603401</v>
      </c>
    </row>
    <row r="595" spans="1:18" x14ac:dyDescent="0.35">
      <c r="A595" s="9">
        <v>595</v>
      </c>
      <c r="B595" s="5">
        <v>0.75</v>
      </c>
      <c r="C595" s="5">
        <v>4000000</v>
      </c>
      <c r="D595" s="5">
        <v>5</v>
      </c>
      <c r="E595" s="5">
        <v>0</v>
      </c>
      <c r="F595" s="5">
        <v>1.4999999999999999E-2</v>
      </c>
      <c r="G595" s="12">
        <f>(C595*$U$4)/($U$5*$U$3)</f>
        <v>58.775510204081627</v>
      </c>
      <c r="H595" s="11">
        <f>G595*COS(RADIANS(D595))</f>
        <v>58.551851642943404</v>
      </c>
      <c r="I595" s="11">
        <f>G595*SIN(RADIANS(D595))</f>
        <v>5.1226232472092956</v>
      </c>
      <c r="J595" s="11">
        <v>0.27929999999999999</v>
      </c>
      <c r="K595" s="12">
        <v>0</v>
      </c>
      <c r="L595" s="12">
        <f>-(F595*G595*$U$3)/J595</f>
        <v>-3.1565794953856945</v>
      </c>
      <c r="M595" s="11">
        <f>ABS(L595/$U$6)</f>
        <v>9.2028556716784102E-3</v>
      </c>
      <c r="N595" s="12">
        <f>L595*SIN(RADIANS(K595))</f>
        <v>0</v>
      </c>
      <c r="O595" s="12">
        <f>L595*COS(RADIANS(K595))</f>
        <v>-3.1565794953856945</v>
      </c>
      <c r="P595" s="5">
        <v>2.5749233565347631</v>
      </c>
      <c r="Q595" s="5">
        <v>1.0877131423232906</v>
      </c>
      <c r="R595" s="6">
        <f>P595/Q595</f>
        <v>2.3672816447127594</v>
      </c>
    </row>
    <row r="596" spans="1:18" x14ac:dyDescent="0.35">
      <c r="A596" s="9">
        <v>596</v>
      </c>
      <c r="B596" s="5">
        <v>0.75</v>
      </c>
      <c r="C596" s="5">
        <v>2000000</v>
      </c>
      <c r="D596" s="5">
        <v>10</v>
      </c>
      <c r="E596" s="5">
        <v>0.25</v>
      </c>
      <c r="F596" s="5">
        <v>7.4999999999999997E-2</v>
      </c>
      <c r="G596" s="12">
        <f>(C596*$U$4)/($U$5*$U$3)</f>
        <v>29.387755102040813</v>
      </c>
      <c r="H596" s="11">
        <f>G596*COS(RADIANS(D596))</f>
        <v>28.941289068113864</v>
      </c>
      <c r="I596" s="11">
        <f>G596*SIN(RADIANS(D596))</f>
        <v>5.1031301191914213</v>
      </c>
      <c r="J596" s="12">
        <v>0.28370000000000001</v>
      </c>
      <c r="K596" s="11">
        <v>38</v>
      </c>
      <c r="L596" s="12">
        <f>-(F596*G596*$U$3)/J596</f>
        <v>-7.769057570155308</v>
      </c>
      <c r="M596" s="11">
        <f>ABS(L596/$U$6)</f>
        <v>2.2650313615613142E-2</v>
      </c>
      <c r="N596" s="12">
        <f>L596*SIN(RADIANS(K596))</f>
        <v>-4.7831094455317906</v>
      </c>
      <c r="O596" s="12">
        <f>L596*COS(RADIANS(K596))</f>
        <v>-6.1221009106720921</v>
      </c>
      <c r="P596" s="5">
        <v>3.7933830509581918</v>
      </c>
      <c r="Q596" s="5">
        <v>0.30952569862211876</v>
      </c>
      <c r="R596" s="6">
        <f>P596/Q596</f>
        <v>12.255470443471333</v>
      </c>
    </row>
    <row r="597" spans="1:18" x14ac:dyDescent="0.35">
      <c r="A597" s="9">
        <v>597</v>
      </c>
      <c r="B597" s="5">
        <v>0.5</v>
      </c>
      <c r="C597" s="5">
        <v>6000000</v>
      </c>
      <c r="D597" s="5">
        <v>0</v>
      </c>
      <c r="E597" s="5">
        <v>0</v>
      </c>
      <c r="F597" s="5">
        <v>0</v>
      </c>
      <c r="G597" s="12">
        <f>(C597*$U$4)/($U$5*$U$3)</f>
        <v>88.16326530612244</v>
      </c>
      <c r="H597" s="11">
        <f>G597*COS(RADIANS(D597))</f>
        <v>88.16326530612244</v>
      </c>
      <c r="I597" s="11">
        <f>G597*SIN(RADIANS(D597))</f>
        <v>0</v>
      </c>
      <c r="J597" s="12">
        <v>0.23230000000000001</v>
      </c>
      <c r="K597" s="12">
        <v>0</v>
      </c>
      <c r="L597" s="12">
        <f>-(F597*G597*$U$3)/J597</f>
        <v>0</v>
      </c>
      <c r="M597" s="11">
        <f>ABS(L597/$U$6)</f>
        <v>0</v>
      </c>
      <c r="N597" s="12">
        <f>L597*SIN(RADIANS(K597))</f>
        <v>0</v>
      </c>
      <c r="O597" s="12">
        <f>L597*COS(RADIANS(K597))</f>
        <v>0</v>
      </c>
      <c r="P597" s="5">
        <v>3.8137748620085579</v>
      </c>
      <c r="Q597" s="5">
        <v>0.4172991474364936</v>
      </c>
      <c r="R597" s="6">
        <f>P597/Q597</f>
        <v>9.139186805046025</v>
      </c>
    </row>
    <row r="598" spans="1:18" x14ac:dyDescent="0.35">
      <c r="A598" s="9">
        <v>598</v>
      </c>
      <c r="B598" s="5">
        <v>1</v>
      </c>
      <c r="C598" s="5">
        <v>2000000</v>
      </c>
      <c r="D598" s="5">
        <v>20</v>
      </c>
      <c r="E598" s="5">
        <v>0.125</v>
      </c>
      <c r="F598" s="5">
        <v>7.4999999999999997E-2</v>
      </c>
      <c r="G598" s="12">
        <f>(C598*$U$4)/($U$5*$U$3)</f>
        <v>29.387755102040813</v>
      </c>
      <c r="H598" s="11">
        <f>G598*COS(RADIANS(D598))</f>
        <v>27.615456610851183</v>
      </c>
      <c r="I598" s="11">
        <f>G598*SIN(RADIANS(D598))</f>
        <v>10.051204212019652</v>
      </c>
      <c r="J598" s="11">
        <v>0.33379999999999999</v>
      </c>
      <c r="K598" s="12">
        <v>14</v>
      </c>
      <c r="L598" s="12">
        <f>-(F598*G598*$U$3)/J598</f>
        <v>-6.6030006969834067</v>
      </c>
      <c r="M598" s="11">
        <f>ABS(L598/$U$6)</f>
        <v>1.9250730894995356E-2</v>
      </c>
      <c r="N598" s="12">
        <f>L598*SIN(RADIANS(K598))</f>
        <v>-1.597410445260153</v>
      </c>
      <c r="O598" s="12">
        <f>L598*COS(RADIANS(K598))</f>
        <v>-6.4068633568804252</v>
      </c>
      <c r="P598" s="5">
        <v>2.9629954037566857</v>
      </c>
      <c r="Q598" s="5">
        <v>1.0485892803346406</v>
      </c>
      <c r="R598" s="6">
        <f>P598/Q598</f>
        <v>2.8256968284198871</v>
      </c>
    </row>
    <row r="599" spans="1:18" x14ac:dyDescent="0.35">
      <c r="A599" s="9">
        <v>599</v>
      </c>
      <c r="B599" s="5">
        <v>0.25</v>
      </c>
      <c r="C599" s="5">
        <v>2000000</v>
      </c>
      <c r="D599" s="5">
        <v>5</v>
      </c>
      <c r="E599" s="5">
        <v>0.375</v>
      </c>
      <c r="F599" s="5">
        <v>1.4999999999999999E-2</v>
      </c>
      <c r="G599" s="12">
        <f>(C599*$U$4)/($U$5*$U$3)</f>
        <v>29.387755102040813</v>
      </c>
      <c r="H599" s="11">
        <f>G599*COS(RADIANS(D599))</f>
        <v>29.275925821471702</v>
      </c>
      <c r="I599" s="11">
        <f>G599*SIN(RADIANS(D599))</f>
        <v>2.5613116236046478</v>
      </c>
      <c r="J599" s="11">
        <v>0.1976</v>
      </c>
      <c r="K599" s="12">
        <v>78</v>
      </c>
      <c r="L599" s="12">
        <f>-(F599*G599*$U$3)/J599</f>
        <v>-2.2308518549120051</v>
      </c>
      <c r="M599" s="11">
        <f>ABS(L599/$U$6)</f>
        <v>6.5039412679650296E-3</v>
      </c>
      <c r="N599" s="12">
        <f>L599*SIN(RADIANS(K599))</f>
        <v>-2.1821023894747373</v>
      </c>
      <c r="O599" s="12">
        <f>L599*COS(RADIANS(K599))</f>
        <v>-0.46382018111869</v>
      </c>
      <c r="P599" s="5">
        <v>2.2409628162570536</v>
      </c>
      <c r="Q599" s="5">
        <v>0.32141092930847465</v>
      </c>
      <c r="R599" s="6">
        <f>P599/Q599</f>
        <v>6.9722670012452692</v>
      </c>
    </row>
    <row r="600" spans="1:18" x14ac:dyDescent="0.35">
      <c r="A600" s="9">
        <v>600</v>
      </c>
      <c r="B600" s="5">
        <v>1</v>
      </c>
      <c r="C600" s="5">
        <v>4000000</v>
      </c>
      <c r="D600" s="5">
        <v>15</v>
      </c>
      <c r="E600" s="5">
        <v>0</v>
      </c>
      <c r="F600" s="5">
        <v>0.15</v>
      </c>
      <c r="G600" s="12">
        <f>(C600*$U$4)/($U$5*$U$3)</f>
        <v>58.775510204081627</v>
      </c>
      <c r="H600" s="11">
        <f>G600*COS(RADIANS(D600))</f>
        <v>56.772783259439109</v>
      </c>
      <c r="I600" s="11">
        <f>G600*SIN(RADIANS(D600))</f>
        <v>15.212221426433871</v>
      </c>
      <c r="J600" s="11">
        <v>0.33379999999999999</v>
      </c>
      <c r="K600" s="12">
        <v>0</v>
      </c>
      <c r="L600" s="12">
        <f>-(F600*G600*$U$3)/J600</f>
        <v>-26.412002787933627</v>
      </c>
      <c r="M600" s="11">
        <f>ABS(L600/$U$6)</f>
        <v>7.7002923579981425E-2</v>
      </c>
      <c r="N600" s="12">
        <f>L600*SIN(RADIANS(K600))</f>
        <v>0</v>
      </c>
      <c r="O600" s="12">
        <f>L600*COS(RADIANS(K600))</f>
        <v>-26.412002787933627</v>
      </c>
      <c r="P600" s="5">
        <v>2.0060199810714376</v>
      </c>
      <c r="Q600" s="5">
        <v>1.4332492591926191</v>
      </c>
      <c r="R600" s="6">
        <f>P600/Q600</f>
        <v>1.3996309212826477</v>
      </c>
    </row>
    <row r="601" spans="1:18" x14ac:dyDescent="0.35">
      <c r="A601" s="9">
        <v>601</v>
      </c>
      <c r="B601" s="5">
        <v>1</v>
      </c>
      <c r="C601" s="5">
        <v>2000000</v>
      </c>
      <c r="D601" s="5">
        <v>20</v>
      </c>
      <c r="E601" s="5">
        <v>0.25</v>
      </c>
      <c r="F601" s="5">
        <v>1.4999999999999999E-2</v>
      </c>
      <c r="G601" s="12">
        <f>(C601*$U$4)/($U$5*$U$3)</f>
        <v>29.387755102040813</v>
      </c>
      <c r="H601" s="11">
        <f>G601*COS(RADIANS(D601))</f>
        <v>27.615456610851183</v>
      </c>
      <c r="I601" s="11">
        <f>G601*SIN(RADIANS(D601))</f>
        <v>10.051204212019652</v>
      </c>
      <c r="J601" s="13">
        <v>0.33379999999999999</v>
      </c>
      <c r="K601" s="12">
        <v>30</v>
      </c>
      <c r="L601" s="12">
        <f>-(F601*G601*$U$3)/J601</f>
        <v>-1.3206001393966813</v>
      </c>
      <c r="M601" s="11">
        <f>ABS(L601/$U$6)</f>
        <v>3.8501461789990708E-3</v>
      </c>
      <c r="N601" s="12">
        <f>L601*SIN(RADIANS(K601))</f>
        <v>-0.66030006969834054</v>
      </c>
      <c r="O601" s="12">
        <f>L601*COS(RADIANS(K601))</f>
        <v>-1.143673268958797</v>
      </c>
      <c r="P601" s="5">
        <v>3.4299039354337073</v>
      </c>
      <c r="Q601" s="5">
        <v>1.3756997553920669</v>
      </c>
      <c r="R601" s="6">
        <f>P601/Q601</f>
        <v>2.4932067640414775</v>
      </c>
    </row>
    <row r="602" spans="1:18" x14ac:dyDescent="0.35">
      <c r="A602" s="9">
        <v>602</v>
      </c>
      <c r="B602" s="5">
        <v>0.75</v>
      </c>
      <c r="C602" s="5">
        <v>2000000</v>
      </c>
      <c r="D602" s="5">
        <v>0</v>
      </c>
      <c r="E602" s="5">
        <v>0.375</v>
      </c>
      <c r="F602" s="5">
        <v>0.1</v>
      </c>
      <c r="G602" s="12">
        <f>(C602*$U$4)/($U$5*$U$3)</f>
        <v>29.387755102040813</v>
      </c>
      <c r="H602" s="11">
        <f>G602*COS(RADIANS(D602))</f>
        <v>29.387755102040813</v>
      </c>
      <c r="I602" s="11">
        <f>G602*SIN(RADIANS(D602))</f>
        <v>0</v>
      </c>
      <c r="J602" s="11">
        <v>0.29299999999999998</v>
      </c>
      <c r="K602" s="12">
        <v>57</v>
      </c>
      <c r="L602" s="12">
        <f>-(F602*G602*$U$3)/J602</f>
        <v>-10.029950546771609</v>
      </c>
      <c r="M602" s="11">
        <f>ABS(L602/$U$6)</f>
        <v>2.92418383287802E-2</v>
      </c>
      <c r="N602" s="12">
        <f>L602*SIN(RADIANS(K602))</f>
        <v>-8.4118243215254616</v>
      </c>
      <c r="O602" s="12">
        <f>L602*COS(RADIANS(K602))</f>
        <v>-5.4627025870421324</v>
      </c>
      <c r="P602" s="5">
        <v>5.0360246893427583</v>
      </c>
      <c r="Q602" s="5">
        <v>-0.67886983400729017</v>
      </c>
      <c r="R602" s="6">
        <f>P602/Q602</f>
        <v>-7.4182478541072987</v>
      </c>
    </row>
    <row r="603" spans="1:18" x14ac:dyDescent="0.35">
      <c r="A603" s="9">
        <v>603</v>
      </c>
      <c r="B603" s="5">
        <v>0.5</v>
      </c>
      <c r="C603" s="5">
        <v>2000000</v>
      </c>
      <c r="D603" s="5">
        <v>15</v>
      </c>
      <c r="E603" s="5">
        <v>0.375</v>
      </c>
      <c r="F603" s="5">
        <v>0</v>
      </c>
      <c r="G603" s="12">
        <f>(C603*$U$4)/($U$5*$U$3)</f>
        <v>29.387755102040813</v>
      </c>
      <c r="H603" s="11">
        <f>G603*COS(RADIANS(D603))</f>
        <v>28.386391629719554</v>
      </c>
      <c r="I603" s="11">
        <f>G603*SIN(RADIANS(D603))</f>
        <v>7.6061107132169354</v>
      </c>
      <c r="J603" s="12">
        <v>0.24809999999999999</v>
      </c>
      <c r="K603" s="12">
        <v>67</v>
      </c>
      <c r="L603" s="12">
        <f>-(F603*G603*$U$3)/J603</f>
        <v>0</v>
      </c>
      <c r="M603" s="11">
        <f>ABS(L603/$U$6)</f>
        <v>0</v>
      </c>
      <c r="N603" s="12">
        <f>L603*SIN(RADIANS(K603))</f>
        <v>0</v>
      </c>
      <c r="O603" s="12">
        <f>L603*COS(RADIANS(K603))</f>
        <v>0</v>
      </c>
      <c r="P603" s="5">
        <v>3.700181728559897</v>
      </c>
      <c r="Q603" s="5">
        <v>1.0553971445671473</v>
      </c>
      <c r="R603" s="6">
        <f>P603/Q603</f>
        <v>3.5059614739411313</v>
      </c>
    </row>
    <row r="604" spans="1:18" x14ac:dyDescent="0.35">
      <c r="A604" s="9">
        <v>604</v>
      </c>
      <c r="B604" s="5">
        <v>0.25</v>
      </c>
      <c r="C604" s="5">
        <v>2000000</v>
      </c>
      <c r="D604" s="5">
        <v>0</v>
      </c>
      <c r="E604" s="5">
        <v>0.25</v>
      </c>
      <c r="F604" s="5">
        <v>0</v>
      </c>
      <c r="G604" s="12">
        <f>(C604*$U$4)/($U$5*$U$3)</f>
        <v>29.387755102040813</v>
      </c>
      <c r="H604" s="11">
        <f>G604*COS(RADIANS(D604))</f>
        <v>29.387755102040813</v>
      </c>
      <c r="I604" s="11">
        <f>G604*SIN(RADIANS(D604))</f>
        <v>0</v>
      </c>
      <c r="J604" s="12">
        <v>0.1913</v>
      </c>
      <c r="K604" s="11">
        <v>67</v>
      </c>
      <c r="L604" s="12">
        <f>-(F604*G604*$U$3)/J604</f>
        <v>0</v>
      </c>
      <c r="M604" s="11">
        <f>ABS(L604/$U$6)</f>
        <v>0</v>
      </c>
      <c r="N604" s="12">
        <f>L604*SIN(RADIANS(K604))</f>
        <v>0</v>
      </c>
      <c r="O604" s="12">
        <f>L604*COS(RADIANS(K604))</f>
        <v>0</v>
      </c>
      <c r="P604" s="5">
        <v>2.3973232630568329</v>
      </c>
      <c r="Q604" s="5">
        <v>0.2412046445277779</v>
      </c>
      <c r="R604" s="6">
        <f>P604/Q604</f>
        <v>9.9389597897263933</v>
      </c>
    </row>
    <row r="605" spans="1:18" x14ac:dyDescent="0.35">
      <c r="A605" s="9">
        <v>605</v>
      </c>
      <c r="B605" s="5">
        <v>0.5</v>
      </c>
      <c r="C605" s="5">
        <v>4000000</v>
      </c>
      <c r="D605" s="5">
        <v>0</v>
      </c>
      <c r="E605" s="5">
        <v>0</v>
      </c>
      <c r="F605" s="5">
        <v>0.05</v>
      </c>
      <c r="G605" s="12">
        <f>(C605*$U$4)/($U$5*$U$3)</f>
        <v>58.775510204081627</v>
      </c>
      <c r="H605" s="11">
        <f>G605*COS(RADIANS(D605))</f>
        <v>58.775510204081627</v>
      </c>
      <c r="I605" s="11">
        <f>G605*SIN(RADIANS(D605))</f>
        <v>0</v>
      </c>
      <c r="J605" s="12">
        <v>0.23230000000000001</v>
      </c>
      <c r="K605" s="12">
        <v>0</v>
      </c>
      <c r="L605" s="12">
        <f>-(F605*G605*$U$3)/J605</f>
        <v>-12.650777056410165</v>
      </c>
      <c r="M605" s="11">
        <f>ABS(L605/$U$6)</f>
        <v>3.6882731942886778E-2</v>
      </c>
      <c r="N605" s="12">
        <f>L605*SIN(RADIANS(K605))</f>
        <v>0</v>
      </c>
      <c r="O605" s="12">
        <f>L605*COS(RADIANS(K605))</f>
        <v>-12.650777056410165</v>
      </c>
      <c r="P605" s="5">
        <v>4.3435846207839788</v>
      </c>
      <c r="Q605" s="5">
        <v>0.16007384713271608</v>
      </c>
      <c r="R605" s="6">
        <f>P605/Q605</f>
        <v>27.134879923156618</v>
      </c>
    </row>
    <row r="606" spans="1:18" x14ac:dyDescent="0.35">
      <c r="A606" s="9">
        <v>606</v>
      </c>
      <c r="B606" s="5">
        <v>0.1</v>
      </c>
      <c r="C606" s="5">
        <v>6000000</v>
      </c>
      <c r="D606" s="5">
        <v>30</v>
      </c>
      <c r="E606" s="5">
        <v>0.25</v>
      </c>
      <c r="F606" s="5">
        <v>1.4999999999999999E-2</v>
      </c>
      <c r="G606" s="12">
        <f>(C606*$U$4)/($U$5*$U$3)</f>
        <v>88.16326530612244</v>
      </c>
      <c r="H606" s="11">
        <f>G606*COS(RADIANS(D606))</f>
        <v>76.351627435689281</v>
      </c>
      <c r="I606" s="11">
        <f>G606*SIN(RADIANS(D606))</f>
        <v>44.081632653061213</v>
      </c>
      <c r="J606" s="11">
        <v>0.1661</v>
      </c>
      <c r="K606" s="12">
        <v>80</v>
      </c>
      <c r="L606" s="12">
        <f>-(F606*G606*$U$3)/J606</f>
        <v>-7.9617638747250847</v>
      </c>
      <c r="M606" s="11">
        <f>ABS(L606/$U$6)</f>
        <v>2.3212139576457971E-2</v>
      </c>
      <c r="N606" s="12">
        <f>L606*SIN(RADIANS(K606))</f>
        <v>-7.8408067914817812</v>
      </c>
      <c r="O606" s="12">
        <f>L606*COS(RADIANS(K606))</f>
        <v>-1.3825457878604097</v>
      </c>
      <c r="P606" s="5">
        <v>1.2020841489244605</v>
      </c>
      <c r="Q606" s="5">
        <v>0.95288474852186411</v>
      </c>
      <c r="R606" s="6">
        <f>P606/Q606</f>
        <v>1.2615210294730397</v>
      </c>
    </row>
    <row r="607" spans="1:18" x14ac:dyDescent="0.35">
      <c r="A607" s="9">
        <v>607</v>
      </c>
      <c r="B607" s="5">
        <v>0.1</v>
      </c>
      <c r="C607" s="5">
        <v>2000000</v>
      </c>
      <c r="D607" s="5">
        <v>5</v>
      </c>
      <c r="E607" s="5">
        <v>0.375</v>
      </c>
      <c r="F607" s="5">
        <v>2.5000000000000001E-2</v>
      </c>
      <c r="G607" s="12">
        <f>(C607*$U$4)/($U$5*$U$3)</f>
        <v>29.387755102040813</v>
      </c>
      <c r="H607" s="11">
        <f>G607*COS(RADIANS(D607))</f>
        <v>29.275925821471702</v>
      </c>
      <c r="I607" s="11">
        <f>G607*SIN(RADIANS(D607))</f>
        <v>2.5613116236046478</v>
      </c>
      <c r="J607" s="12">
        <v>0.16789999999999999</v>
      </c>
      <c r="K607" s="11">
        <v>85</v>
      </c>
      <c r="L607" s="12">
        <f>-(F607*G607*$U$3)/J607</f>
        <v>-4.3757824749911878</v>
      </c>
      <c r="M607" s="11">
        <f>ABS(L607/$U$6)</f>
        <v>1.2757383309012209E-2</v>
      </c>
      <c r="N607" s="12">
        <f>L607*SIN(RADIANS(K607))</f>
        <v>-4.359131301588997</v>
      </c>
      <c r="O607" s="12">
        <f>L607*COS(RADIANS(K607))</f>
        <v>-0.3813745717100428</v>
      </c>
      <c r="P607" s="5">
        <v>1.7293478036912753</v>
      </c>
      <c r="Q607" s="5">
        <v>0.34591037063787494</v>
      </c>
      <c r="R607" s="6">
        <f>P607/Q607</f>
        <v>4.9994101087581644</v>
      </c>
    </row>
    <row r="608" spans="1:18" x14ac:dyDescent="0.35">
      <c r="A608" s="9">
        <v>608</v>
      </c>
      <c r="B608" s="5">
        <v>0.1</v>
      </c>
      <c r="C608" s="5">
        <v>6000000</v>
      </c>
      <c r="D608" s="5">
        <v>20</v>
      </c>
      <c r="E608" s="5">
        <v>0.25</v>
      </c>
      <c r="F608" s="5">
        <v>3.5000000000000003E-2</v>
      </c>
      <c r="G608" s="12">
        <f>(C608*$U$4)/($U$5*$U$3)</f>
        <v>88.16326530612244</v>
      </c>
      <c r="H608" s="11">
        <f>G608*COS(RADIANS(D608))</f>
        <v>82.846369832553549</v>
      </c>
      <c r="I608" s="11">
        <f>G608*SIN(RADIANS(D608))</f>
        <v>30.153612636058952</v>
      </c>
      <c r="J608" s="11">
        <v>0.1661</v>
      </c>
      <c r="K608" s="12">
        <v>80</v>
      </c>
      <c r="L608" s="12">
        <f>-(F608*G608*$U$3)/J608</f>
        <v>-18.577449041025201</v>
      </c>
      <c r="M608" s="11">
        <f>ABS(L608/$U$6)</f>
        <v>5.416165901173528E-2</v>
      </c>
      <c r="N608" s="12">
        <f>L608*SIN(RADIANS(K608))</f>
        <v>-18.295215846790825</v>
      </c>
      <c r="O608" s="12">
        <f>L608*COS(RADIANS(K608))</f>
        <v>-3.2259401716742899</v>
      </c>
      <c r="P608" s="5">
        <v>1.5183595337851903</v>
      </c>
      <c r="Q608" s="5">
        <v>0.76965524234118088</v>
      </c>
      <c r="R608" s="6">
        <f>P608/Q608</f>
        <v>1.9727787849096672</v>
      </c>
    </row>
    <row r="609" spans="1:18" x14ac:dyDescent="0.35">
      <c r="A609" s="9">
        <v>609</v>
      </c>
      <c r="B609" s="5">
        <v>0.5</v>
      </c>
      <c r="C609" s="5">
        <v>4000000</v>
      </c>
      <c r="D609" s="5">
        <v>15</v>
      </c>
      <c r="E609" s="5">
        <v>0</v>
      </c>
      <c r="F609" s="5">
        <v>0</v>
      </c>
      <c r="G609" s="12">
        <f>(C609*$U$4)/($U$5*$U$3)</f>
        <v>58.775510204081627</v>
      </c>
      <c r="H609" s="11">
        <f>G609*COS(RADIANS(D609))</f>
        <v>56.772783259439109</v>
      </c>
      <c r="I609" s="11">
        <f>G609*SIN(RADIANS(D609))</f>
        <v>15.212221426433871</v>
      </c>
      <c r="J609" s="12">
        <v>0.23230000000000001</v>
      </c>
      <c r="K609" s="12">
        <v>0</v>
      </c>
      <c r="L609" s="12">
        <f>-(F609*G609*$U$3)/J609</f>
        <v>0</v>
      </c>
      <c r="M609" s="11">
        <f>ABS(L609/$U$6)</f>
        <v>0</v>
      </c>
      <c r="N609" s="12">
        <f>L609*SIN(RADIANS(K609))</f>
        <v>0</v>
      </c>
      <c r="O609" s="12">
        <f>L609*COS(RADIANS(K609))</f>
        <v>0</v>
      </c>
      <c r="P609" s="5">
        <v>3.6406550006050673</v>
      </c>
      <c r="Q609" s="5">
        <v>1.0821292810310035</v>
      </c>
      <c r="R609" s="6">
        <f>P609/Q609</f>
        <v>3.3643438583756065</v>
      </c>
    </row>
    <row r="610" spans="1:18" x14ac:dyDescent="0.35">
      <c r="A610" s="9">
        <v>610</v>
      </c>
      <c r="B610" s="5">
        <v>0.1</v>
      </c>
      <c r="C610" s="5">
        <v>4000000</v>
      </c>
      <c r="D610" s="5">
        <v>15</v>
      </c>
      <c r="E610" s="5">
        <v>0.25</v>
      </c>
      <c r="F610" s="5">
        <v>0.05</v>
      </c>
      <c r="G610" s="12">
        <f>(C610*$U$4)/($U$5*$U$3)</f>
        <v>58.775510204081627</v>
      </c>
      <c r="H610" s="11">
        <f>G610*COS(RADIANS(D610))</f>
        <v>56.772783259439109</v>
      </c>
      <c r="I610" s="11">
        <f>G610*SIN(RADIANS(D610))</f>
        <v>15.212221426433871</v>
      </c>
      <c r="J610" s="11">
        <v>0.1661</v>
      </c>
      <c r="K610" s="12">
        <v>80</v>
      </c>
      <c r="L610" s="12">
        <f>-(F610*G610*$U$3)/J610</f>
        <v>-17.69280861050019</v>
      </c>
      <c r="M610" s="11">
        <f>ABS(L610/$U$6)</f>
        <v>5.1582532392128837E-2</v>
      </c>
      <c r="N610" s="12">
        <f>L610*SIN(RADIANS(K610))</f>
        <v>-17.42401509218174</v>
      </c>
      <c r="O610" s="12">
        <f>L610*COS(RADIANS(K610))</f>
        <v>-3.0723239730231331</v>
      </c>
      <c r="P610" s="5">
        <v>1.6443526825590338</v>
      </c>
      <c r="Q610" s="5">
        <v>0.64056805946168127</v>
      </c>
      <c r="R610" s="6">
        <f>P610/Q610</f>
        <v>2.5670225954458457</v>
      </c>
    </row>
    <row r="611" spans="1:18" x14ac:dyDescent="0.35">
      <c r="A611" s="9">
        <v>611</v>
      </c>
      <c r="B611" s="5">
        <v>0.1</v>
      </c>
      <c r="C611" s="5">
        <v>2000000</v>
      </c>
      <c r="D611" s="5">
        <v>10</v>
      </c>
      <c r="E611" s="5">
        <v>0</v>
      </c>
      <c r="F611" s="5">
        <v>1.4999999999999999E-2</v>
      </c>
      <c r="G611" s="12">
        <f>(C611*$U$4)/($U$5*$U$3)</f>
        <v>29.387755102040813</v>
      </c>
      <c r="H611" s="11">
        <f>G611*COS(RADIANS(D611))</f>
        <v>28.941289068113864</v>
      </c>
      <c r="I611" s="11">
        <f>G611*SIN(RADIANS(D611))</f>
        <v>5.1031301191914213</v>
      </c>
      <c r="J611" s="11">
        <v>0.16569999999999999</v>
      </c>
      <c r="K611" s="12">
        <v>0</v>
      </c>
      <c r="L611" s="12">
        <f>-(F611*G611*$U$3)/J611</f>
        <v>-2.6603278607761753</v>
      </c>
      <c r="M611" s="11">
        <f>ABS(L611/$U$6)</f>
        <v>7.7560579031375372E-3</v>
      </c>
      <c r="N611" s="12">
        <f>L611*SIN(RADIANS(K611))</f>
        <v>0</v>
      </c>
      <c r="O611" s="12">
        <f>L611*COS(RADIANS(K611))</f>
        <v>-2.6603278607761753</v>
      </c>
      <c r="P611" s="5">
        <v>1.1507143067647698</v>
      </c>
      <c r="Q611" s="5">
        <v>0.40348329787091619</v>
      </c>
      <c r="R611" s="6">
        <f>P611/Q611</f>
        <v>2.8519502860138473</v>
      </c>
    </row>
    <row r="612" spans="1:18" x14ac:dyDescent="0.35">
      <c r="A612" s="9">
        <v>612</v>
      </c>
      <c r="B612" s="5">
        <v>0.75</v>
      </c>
      <c r="C612" s="5">
        <v>2000000</v>
      </c>
      <c r="D612" s="5">
        <v>15</v>
      </c>
      <c r="E612" s="5">
        <v>0.25</v>
      </c>
      <c r="F612" s="5">
        <v>1.4999999999999999E-2</v>
      </c>
      <c r="G612" s="12">
        <f>(C612*$U$4)/($U$5*$U$3)</f>
        <v>29.387755102040813</v>
      </c>
      <c r="H612" s="11">
        <f>G612*COS(RADIANS(D612))</f>
        <v>28.386391629719554</v>
      </c>
      <c r="I612" s="11">
        <f>G612*SIN(RADIANS(D612))</f>
        <v>7.6061107132169354</v>
      </c>
      <c r="J612" s="12">
        <v>0.28370000000000001</v>
      </c>
      <c r="K612" s="11">
        <v>38</v>
      </c>
      <c r="L612" s="12">
        <f>-(F612*G612*$U$3)/J612</f>
        <v>-1.5538115140310615</v>
      </c>
      <c r="M612" s="11">
        <f>ABS(L612/$U$6)</f>
        <v>4.5300627231226282E-3</v>
      </c>
      <c r="N612" s="12">
        <f>L612*SIN(RADIANS(K612))</f>
        <v>-0.95662188910635815</v>
      </c>
      <c r="O612" s="12">
        <f>L612*COS(RADIANS(K612))</f>
        <v>-1.2244201821344183</v>
      </c>
      <c r="P612" s="5">
        <v>4.5027631548429259</v>
      </c>
      <c r="Q612" s="5">
        <v>0.61136877628594988</v>
      </c>
      <c r="R612" s="6">
        <f>P612/Q612</f>
        <v>7.3650525337540138</v>
      </c>
    </row>
    <row r="613" spans="1:18" x14ac:dyDescent="0.35">
      <c r="A613" s="9">
        <v>613</v>
      </c>
      <c r="B613" s="5">
        <v>1</v>
      </c>
      <c r="C613" s="5">
        <v>4000000</v>
      </c>
      <c r="D613" s="5">
        <v>15</v>
      </c>
      <c r="E613" s="5">
        <v>0.25</v>
      </c>
      <c r="F613" s="5">
        <v>1.4999999999999999E-2</v>
      </c>
      <c r="G613" s="12">
        <f>(C613*$U$4)/($U$5*$U$3)</f>
        <v>58.775510204081627</v>
      </c>
      <c r="H613" s="11">
        <f>G613*COS(RADIANS(D613))</f>
        <v>56.772783259439109</v>
      </c>
      <c r="I613" s="11">
        <f>G613*SIN(RADIANS(D613))</f>
        <v>15.212221426433871</v>
      </c>
      <c r="J613" s="13">
        <v>0.33379999999999999</v>
      </c>
      <c r="K613" s="12">
        <v>30</v>
      </c>
      <c r="L613" s="12">
        <f>-(F613*G613*$U$3)/J613</f>
        <v>-2.6412002787933626</v>
      </c>
      <c r="M613" s="11">
        <f>ABS(L613/$U$6)</f>
        <v>7.7002923579981416E-3</v>
      </c>
      <c r="N613" s="12">
        <f>L613*SIN(RADIANS(K613))</f>
        <v>-1.3206001393966811</v>
      </c>
      <c r="O613" s="12">
        <f>L613*COS(RADIANS(K613))</f>
        <v>-2.2873465379175939</v>
      </c>
      <c r="P613" s="5">
        <v>3.5378679609251527</v>
      </c>
      <c r="Q613" s="5">
        <v>1.1392135952927829</v>
      </c>
      <c r="R613" s="6">
        <f>P613/Q613</f>
        <v>3.1055352354848829</v>
      </c>
    </row>
    <row r="614" spans="1:18" x14ac:dyDescent="0.35">
      <c r="A614" s="9">
        <v>614</v>
      </c>
      <c r="B614" s="5">
        <v>0.1</v>
      </c>
      <c r="C614" s="5">
        <v>2000000</v>
      </c>
      <c r="D614" s="5">
        <v>5</v>
      </c>
      <c r="E614" s="5">
        <v>0.375</v>
      </c>
      <c r="F614" s="5">
        <v>0.05</v>
      </c>
      <c r="G614" s="12">
        <f>(C614*$U$4)/($U$5*$U$3)</f>
        <v>29.387755102040813</v>
      </c>
      <c r="H614" s="11">
        <f>G614*COS(RADIANS(D614))</f>
        <v>29.275925821471702</v>
      </c>
      <c r="I614" s="11">
        <f>G614*SIN(RADIANS(D614))</f>
        <v>2.5613116236046478</v>
      </c>
      <c r="J614" s="12">
        <v>0.16789999999999999</v>
      </c>
      <c r="K614" s="11">
        <v>85</v>
      </c>
      <c r="L614" s="12">
        <f>-(F614*G614*$U$3)/J614</f>
        <v>-8.7515649499823756</v>
      </c>
      <c r="M614" s="11">
        <f>ABS(L614/$U$6)</f>
        <v>2.5514766618024418E-2</v>
      </c>
      <c r="N614" s="12">
        <f>L614*SIN(RADIANS(K614))</f>
        <v>-8.718262603177994</v>
      </c>
      <c r="O614" s="12">
        <f>L614*COS(RADIANS(K614))</f>
        <v>-0.7627491434200856</v>
      </c>
      <c r="P614" s="5">
        <v>1.812881429721422</v>
      </c>
      <c r="Q614" s="5">
        <v>0.32927951675505773</v>
      </c>
      <c r="R614" s="6">
        <f>P614/Q614</f>
        <v>5.5056003713403658</v>
      </c>
    </row>
    <row r="615" spans="1:18" x14ac:dyDescent="0.35">
      <c r="A615" s="9">
        <v>615</v>
      </c>
      <c r="B615" s="5">
        <v>0.25</v>
      </c>
      <c r="C615" s="5">
        <v>2000000</v>
      </c>
      <c r="D615" s="5">
        <v>15</v>
      </c>
      <c r="E615" s="5">
        <v>0.25</v>
      </c>
      <c r="F615" s="5">
        <v>0.05</v>
      </c>
      <c r="G615" s="12">
        <f>(C615*$U$4)/($U$5*$U$3)</f>
        <v>29.387755102040813</v>
      </c>
      <c r="H615" s="11">
        <f>G615*COS(RADIANS(D615))</f>
        <v>28.386391629719554</v>
      </c>
      <c r="I615" s="11">
        <f>G615*SIN(RADIANS(D615))</f>
        <v>7.6061107132169354</v>
      </c>
      <c r="J615" s="12">
        <v>0.1913</v>
      </c>
      <c r="K615" s="11">
        <v>67</v>
      </c>
      <c r="L615" s="12">
        <f>-(F615*G615*$U$3)/J615</f>
        <v>-7.6810651076949332</v>
      </c>
      <c r="M615" s="11">
        <f>ABS(L615/$U$6)</f>
        <v>2.239377582418348E-2</v>
      </c>
      <c r="N615" s="12">
        <f>L615*SIN(RADIANS(K615))</f>
        <v>-7.0704577113173777</v>
      </c>
      <c r="O615" s="12">
        <f>L615*COS(RADIANS(K615))</f>
        <v>-3.0012312375292258</v>
      </c>
      <c r="P615" s="5">
        <v>2.166675355351189</v>
      </c>
      <c r="Q615" s="5">
        <v>0.5108298140288261</v>
      </c>
      <c r="R615" s="6">
        <f>P615/Q615</f>
        <v>4.241481792660057</v>
      </c>
    </row>
    <row r="616" spans="1:18" x14ac:dyDescent="0.35">
      <c r="A616" s="9">
        <v>1349</v>
      </c>
      <c r="B616" s="5">
        <v>0.1</v>
      </c>
      <c r="C616" s="5">
        <v>4000000</v>
      </c>
      <c r="D616" s="5">
        <v>30</v>
      </c>
      <c r="E616" s="5">
        <v>0.125</v>
      </c>
      <c r="F616" s="5">
        <v>0.15</v>
      </c>
      <c r="G616" s="12">
        <f>(C616*$U$4)/($U$5*$U$3)</f>
        <v>58.775510204081627</v>
      </c>
      <c r="H616" s="11">
        <f>G616*COS(RADIANS(D616))</f>
        <v>50.901084957126187</v>
      </c>
      <c r="I616" s="11">
        <f>G616*SIN(RADIANS(D616))</f>
        <v>29.38775510204081</v>
      </c>
      <c r="J616" s="12">
        <v>0.1658</v>
      </c>
      <c r="K616" s="12">
        <v>69</v>
      </c>
      <c r="L616" s="12">
        <f>-(F616*G616*$U$3)/J616</f>
        <v>-53.174466409000267</v>
      </c>
      <c r="M616" s="11">
        <f>ABS(L616/$U$6)</f>
        <v>0.1550275988600591</v>
      </c>
      <c r="N616" s="12">
        <f>L616*SIN(RADIANS(K616))</f>
        <v>-49.642641028875595</v>
      </c>
      <c r="O616" s="12">
        <f>L616*COS(RADIANS(K616))</f>
        <v>-19.056024495158876</v>
      </c>
      <c r="P616" s="5">
        <v>1.7628998299914618</v>
      </c>
      <c r="Q616" s="5">
        <v>1.149948145557768</v>
      </c>
      <c r="R616" s="6">
        <f>P616/Q616</f>
        <v>1.5330254992814387</v>
      </c>
    </row>
    <row r="617" spans="1:18" x14ac:dyDescent="0.35">
      <c r="A617" s="9">
        <v>1541</v>
      </c>
      <c r="B617" s="5">
        <v>0.1</v>
      </c>
      <c r="C617" s="5">
        <v>6000000</v>
      </c>
      <c r="D617" s="5">
        <v>10</v>
      </c>
      <c r="E617" s="5">
        <v>0.125</v>
      </c>
      <c r="F617" s="5">
        <v>0.1</v>
      </c>
      <c r="G617" s="12">
        <f>(C617*$U$4)/($U$5*$U$3)</f>
        <v>88.16326530612244</v>
      </c>
      <c r="H617" s="11">
        <f>G617*COS(RADIANS(D617))</f>
        <v>86.823867204341596</v>
      </c>
      <c r="I617" s="11">
        <f>G617*SIN(RADIANS(D617))</f>
        <v>15.309390357574264</v>
      </c>
      <c r="J617" s="19">
        <v>0.1658</v>
      </c>
      <c r="K617" s="12">
        <v>69</v>
      </c>
      <c r="L617" s="12">
        <f>-(F617*G617*$U$3)/J617</f>
        <v>-53.174466409000267</v>
      </c>
      <c r="M617" s="11">
        <f>ABS(L617/$U$6)</f>
        <v>0.1550275988600591</v>
      </c>
      <c r="N617" s="12">
        <f>L617*SIN(RADIANS(K617))</f>
        <v>-49.642641028875595</v>
      </c>
      <c r="O617" s="12">
        <f>L617*COS(RADIANS(K617))</f>
        <v>-19.056024495158876</v>
      </c>
      <c r="P617" s="5">
        <v>1.6856853180149509</v>
      </c>
      <c r="Q617" s="5">
        <v>0.47174610292296282</v>
      </c>
      <c r="R617" s="6">
        <f>P617/Q617</f>
        <v>3.5732893341786167</v>
      </c>
    </row>
    <row r="618" spans="1:18" x14ac:dyDescent="0.35">
      <c r="A618" s="9">
        <v>1789</v>
      </c>
      <c r="B618" s="5">
        <v>0.1</v>
      </c>
      <c r="C618" s="5">
        <v>4000000</v>
      </c>
      <c r="D618" s="5">
        <v>5</v>
      </c>
      <c r="E618" s="5">
        <v>0.125</v>
      </c>
      <c r="F618" s="5">
        <v>0.15</v>
      </c>
      <c r="G618" s="12">
        <f>(C618*$U$4)/($U$5*$U$3)</f>
        <v>58.775510204081627</v>
      </c>
      <c r="H618" s="11">
        <f>G618*COS(RADIANS(D618))</f>
        <v>58.551851642943404</v>
      </c>
      <c r="I618" s="11">
        <f>G618*SIN(RADIANS(D618))</f>
        <v>5.1226232472092956</v>
      </c>
      <c r="J618" s="19">
        <v>0.1658</v>
      </c>
      <c r="K618" s="12">
        <v>69</v>
      </c>
      <c r="L618" s="12">
        <f>-(F618*G618*$U$3)/J618</f>
        <v>-53.174466409000267</v>
      </c>
      <c r="M618" s="11">
        <f>ABS(L618/$U$6)</f>
        <v>0.1550275988600591</v>
      </c>
      <c r="N618" s="12">
        <f>L618*SIN(RADIANS(K618))</f>
        <v>-49.642641028875595</v>
      </c>
      <c r="O618" s="12">
        <f>L618*COS(RADIANS(K618))</f>
        <v>-19.056024495158876</v>
      </c>
      <c r="P618" s="5">
        <v>1.8233210557328445</v>
      </c>
      <c r="Q618" s="5">
        <v>0.32766155983225687</v>
      </c>
      <c r="R618" s="6">
        <f>P618/Q618</f>
        <v>5.5646474266504615</v>
      </c>
    </row>
    <row r="619" spans="1:18" x14ac:dyDescent="0.35">
      <c r="A619" s="9">
        <v>619</v>
      </c>
      <c r="B619" s="5">
        <v>0.75</v>
      </c>
      <c r="C619" s="5">
        <v>2000000</v>
      </c>
      <c r="D619" s="5">
        <v>0</v>
      </c>
      <c r="E619" s="5">
        <v>0.125</v>
      </c>
      <c r="F619" s="5">
        <v>7.4999999999999997E-2</v>
      </c>
      <c r="G619" s="12">
        <f>(C619*$U$4)/($U$5*$U$3)</f>
        <v>29.387755102040813</v>
      </c>
      <c r="H619" s="11">
        <f>G619*COS(RADIANS(D619))</f>
        <v>29.387755102040813</v>
      </c>
      <c r="I619" s="11">
        <f>G619*SIN(RADIANS(D619))</f>
        <v>0</v>
      </c>
      <c r="J619" s="12">
        <v>0.2802</v>
      </c>
      <c r="K619" s="12">
        <v>19</v>
      </c>
      <c r="L619" s="12">
        <f>-(F619*G619*$U$3)/J619</f>
        <v>-7.8661014727089968</v>
      </c>
      <c r="M619" s="11">
        <f>ABS(L619/$U$6)</f>
        <v>2.2933240445215733E-2</v>
      </c>
      <c r="N619" s="12">
        <f>L619*SIN(RADIANS(K619))</f>
        <v>-2.5609521392425907</v>
      </c>
      <c r="O619" s="12">
        <f>L619*COS(RADIANS(K619))</f>
        <v>-7.4375450599954993</v>
      </c>
      <c r="P619" s="5">
        <v>6.1981846648212766</v>
      </c>
      <c r="Q619" s="5">
        <v>-0.30155176705400016</v>
      </c>
      <c r="R619" s="6">
        <f>P619/Q619</f>
        <v>-20.55429727828901</v>
      </c>
    </row>
    <row r="620" spans="1:18" x14ac:dyDescent="0.35">
      <c r="A620" s="9">
        <v>620</v>
      </c>
      <c r="B620" s="5">
        <v>1</v>
      </c>
      <c r="C620" s="5">
        <v>2000000</v>
      </c>
      <c r="D620" s="5">
        <v>10</v>
      </c>
      <c r="E620" s="5">
        <v>0.375</v>
      </c>
      <c r="F620" s="5">
        <v>1.4999999999999999E-2</v>
      </c>
      <c r="G620" s="12">
        <f>(C620*$U$4)/($U$5*$U$3)</f>
        <v>29.387755102040813</v>
      </c>
      <c r="H620" s="11">
        <f>G620*COS(RADIANS(D620))</f>
        <v>28.941289068113864</v>
      </c>
      <c r="I620" s="11">
        <f>G620*SIN(RADIANS(D620))</f>
        <v>5.1031301191914213</v>
      </c>
      <c r="J620" s="12">
        <v>0.33379999999999999</v>
      </c>
      <c r="K620" s="11">
        <v>49</v>
      </c>
      <c r="L620" s="12">
        <f>-(F620*G620*$U$3)/J620</f>
        <v>-1.3206001393966813</v>
      </c>
      <c r="M620" s="11">
        <f>ABS(L620/$U$6)</f>
        <v>3.8501461789990708E-3</v>
      </c>
      <c r="N620" s="12">
        <f>L620*SIN(RADIANS(K620))</f>
        <v>-0.99666957684620361</v>
      </c>
      <c r="O620" s="12">
        <f>L620*COS(RADIANS(K620))</f>
        <v>-0.86639164513731526</v>
      </c>
      <c r="P620" s="5">
        <v>5.0832921925600552</v>
      </c>
      <c r="Q620" s="5">
        <v>5.9279181810519929E-2</v>
      </c>
      <c r="R620" s="6">
        <f>P620/Q620</f>
        <v>85.751726614721136</v>
      </c>
    </row>
    <row r="621" spans="1:18" x14ac:dyDescent="0.35">
      <c r="A621" s="9">
        <v>621</v>
      </c>
      <c r="B621" s="5">
        <v>0.5</v>
      </c>
      <c r="C621" s="5">
        <v>2000000</v>
      </c>
      <c r="D621" s="5">
        <v>15</v>
      </c>
      <c r="E621" s="5">
        <v>0.25</v>
      </c>
      <c r="F621" s="5">
        <v>2.5000000000000001E-2</v>
      </c>
      <c r="G621" s="12">
        <f>(C621*$U$4)/($U$5*$U$3)</f>
        <v>29.387755102040813</v>
      </c>
      <c r="H621" s="11">
        <f>G621*COS(RADIANS(D621))</f>
        <v>28.386391629719554</v>
      </c>
      <c r="I621" s="11">
        <f>G621*SIN(RADIANS(D621))</f>
        <v>7.6061107132169354</v>
      </c>
      <c r="J621" s="11">
        <v>0.23580000000000001</v>
      </c>
      <c r="K621" s="11">
        <v>49</v>
      </c>
      <c r="L621" s="12">
        <f>-(F621*G621*$U$3)/J621</f>
        <v>-3.115750116840629</v>
      </c>
      <c r="M621" s="11">
        <f>ABS(L621/$U$6)</f>
        <v>9.083819582625741E-3</v>
      </c>
      <c r="N621" s="12">
        <f>L621*SIN(RADIANS(K621))</f>
        <v>-2.3514864627598437</v>
      </c>
      <c r="O621" s="12">
        <f>L621*COS(RADIANS(K621))</f>
        <v>-2.0441159962315227</v>
      </c>
      <c r="P621" s="5">
        <v>3.6396718742262952</v>
      </c>
      <c r="Q621" s="5">
        <v>0.59845694250193726</v>
      </c>
      <c r="R621" s="6">
        <f>P621/Q621</f>
        <v>6.0817606342907675</v>
      </c>
    </row>
    <row r="622" spans="1:18" x14ac:dyDescent="0.35">
      <c r="A622" s="9">
        <v>622</v>
      </c>
      <c r="B622" s="5">
        <v>0.5</v>
      </c>
      <c r="C622" s="5">
        <v>2000000</v>
      </c>
      <c r="D622" s="5">
        <v>15</v>
      </c>
      <c r="E622" s="5">
        <v>0</v>
      </c>
      <c r="F622" s="5">
        <v>0.1</v>
      </c>
      <c r="G622" s="12">
        <f>(C622*$U$4)/($U$5*$U$3)</f>
        <v>29.387755102040813</v>
      </c>
      <c r="H622" s="11">
        <f>G622*COS(RADIANS(D622))</f>
        <v>28.386391629719554</v>
      </c>
      <c r="I622" s="11">
        <f>G622*SIN(RADIANS(D622))</f>
        <v>7.6061107132169354</v>
      </c>
      <c r="J622" s="12">
        <v>0.23230000000000001</v>
      </c>
      <c r="K622" s="12">
        <v>0</v>
      </c>
      <c r="L622" s="12">
        <f>-(F622*G622*$U$3)/J622</f>
        <v>-12.650777056410165</v>
      </c>
      <c r="M622" s="11">
        <f>ABS(L622/$U$6)</f>
        <v>3.6882731942886778E-2</v>
      </c>
      <c r="N622" s="12">
        <f>L622*SIN(RADIANS(K622))</f>
        <v>0</v>
      </c>
      <c r="O622" s="12">
        <f>L622*COS(RADIANS(K622))</f>
        <v>-12.650777056410165</v>
      </c>
      <c r="P622" s="5">
        <v>4.5060468359309835</v>
      </c>
      <c r="Q622" s="5">
        <v>0.79096560497828483</v>
      </c>
      <c r="R622" s="6">
        <f>P622/Q622</f>
        <v>5.6968935280753357</v>
      </c>
    </row>
    <row r="623" spans="1:18" x14ac:dyDescent="0.35">
      <c r="A623" s="9">
        <v>623</v>
      </c>
      <c r="B623" s="5">
        <v>1</v>
      </c>
      <c r="C623" s="5">
        <v>4000000</v>
      </c>
      <c r="D623" s="5">
        <v>15</v>
      </c>
      <c r="E623" s="5">
        <v>0.25</v>
      </c>
      <c r="F623" s="5">
        <v>3.5000000000000003E-2</v>
      </c>
      <c r="G623" s="12">
        <f>(C623*$U$4)/($U$5*$U$3)</f>
        <v>58.775510204081627</v>
      </c>
      <c r="H623" s="11">
        <f>G623*COS(RADIANS(D623))</f>
        <v>56.772783259439109</v>
      </c>
      <c r="I623" s="11">
        <f>G623*SIN(RADIANS(D623))</f>
        <v>15.212221426433871</v>
      </c>
      <c r="J623" s="13">
        <v>0.33379999999999999</v>
      </c>
      <c r="K623" s="12">
        <v>30</v>
      </c>
      <c r="L623" s="12">
        <f>-(F623*G623*$U$3)/J623</f>
        <v>-6.1628006505178465</v>
      </c>
      <c r="M623" s="11">
        <f>ABS(L623/$U$6)</f>
        <v>1.7967348835328998E-2</v>
      </c>
      <c r="N623" s="12">
        <f>L623*SIN(RADIANS(K623))</f>
        <v>-3.0814003252589228</v>
      </c>
      <c r="O623" s="12">
        <f>L623*COS(RADIANS(K623))</f>
        <v>-5.3371419218077198</v>
      </c>
      <c r="P623" s="5">
        <v>3.7561640892124899</v>
      </c>
      <c r="Q623" s="5">
        <v>0.86286620332849895</v>
      </c>
      <c r="R623" s="6">
        <f>P623/Q623</f>
        <v>4.3531245918812429</v>
      </c>
    </row>
    <row r="624" spans="1:18" x14ac:dyDescent="0.35">
      <c r="A624" s="9">
        <v>624</v>
      </c>
      <c r="B624" s="5">
        <v>0.5</v>
      </c>
      <c r="C624" s="5">
        <v>6000000</v>
      </c>
      <c r="D624" s="5">
        <v>10</v>
      </c>
      <c r="E624" s="5">
        <v>0.125</v>
      </c>
      <c r="F624" s="5">
        <v>7.4999999999999997E-2</v>
      </c>
      <c r="G624" s="12">
        <f>(C624*$U$4)/($U$5*$U$3)</f>
        <v>88.16326530612244</v>
      </c>
      <c r="H624" s="11">
        <f>G624*COS(RADIANS(D624))</f>
        <v>86.823867204341596</v>
      </c>
      <c r="I624" s="11">
        <f>G624*SIN(RADIANS(D624))</f>
        <v>15.309390357574264</v>
      </c>
      <c r="J624" s="12">
        <v>0.23300000000000001</v>
      </c>
      <c r="K624" s="11">
        <v>27</v>
      </c>
      <c r="L624" s="12">
        <f>-(F624*G624*$U$3)/J624</f>
        <v>-28.378733467635978</v>
      </c>
      <c r="M624" s="11">
        <f>ABS(L624/$U$6)</f>
        <v>8.273683226716029E-2</v>
      </c>
      <c r="N624" s="12">
        <f>L624*SIN(RADIANS(K624))</f>
        <v>-12.883675388947458</v>
      </c>
      <c r="O624" s="12">
        <f>L624*COS(RADIANS(K624))</f>
        <v>-25.285636667866441</v>
      </c>
      <c r="P624" s="5">
        <v>4.6263991927321539</v>
      </c>
      <c r="Q624" s="5">
        <v>0.49648774262294265</v>
      </c>
      <c r="R624" s="6">
        <f>P624/Q624</f>
        <v>9.3182546024014741</v>
      </c>
    </row>
    <row r="625" spans="1:18" x14ac:dyDescent="0.35">
      <c r="A625" s="9">
        <v>625</v>
      </c>
      <c r="B625" s="5">
        <v>0.25</v>
      </c>
      <c r="C625" s="5">
        <v>2000000</v>
      </c>
      <c r="D625" s="5">
        <v>0</v>
      </c>
      <c r="E625" s="5">
        <v>0.375</v>
      </c>
      <c r="F625" s="5">
        <v>0.05</v>
      </c>
      <c r="G625" s="12">
        <f>(C625*$U$4)/($U$5*$U$3)</f>
        <v>29.387755102040813</v>
      </c>
      <c r="H625" s="11">
        <f>G625*COS(RADIANS(D625))</f>
        <v>29.387755102040813</v>
      </c>
      <c r="I625" s="11">
        <f>G625*SIN(RADIANS(D625))</f>
        <v>0</v>
      </c>
      <c r="J625" s="11">
        <v>0.1976</v>
      </c>
      <c r="K625" s="12">
        <v>78</v>
      </c>
      <c r="L625" s="12">
        <f>-(F625*G625*$U$3)/J625</f>
        <v>-7.4361728497066837</v>
      </c>
      <c r="M625" s="11">
        <f>ABS(L625/$U$6)</f>
        <v>2.1679804226550099E-2</v>
      </c>
      <c r="N625" s="12">
        <f>L625*SIN(RADIANS(K625))</f>
        <v>-7.2736746315824581</v>
      </c>
      <c r="O625" s="12">
        <f>L625*COS(RADIANS(K625))</f>
        <v>-1.5460672703956333</v>
      </c>
      <c r="P625" s="5">
        <v>2.301081800952586</v>
      </c>
      <c r="Q625" s="5">
        <v>0.10680617511049775</v>
      </c>
      <c r="R625" s="6">
        <f>P625/Q625</f>
        <v>21.54446405904875</v>
      </c>
    </row>
    <row r="626" spans="1:18" x14ac:dyDescent="0.35">
      <c r="A626" s="9">
        <v>626</v>
      </c>
      <c r="B626" s="5">
        <v>0.75</v>
      </c>
      <c r="C626" s="5">
        <v>2000000</v>
      </c>
      <c r="D626" s="5">
        <v>30</v>
      </c>
      <c r="E626" s="5">
        <v>0.25</v>
      </c>
      <c r="F626" s="5">
        <v>2.5000000000000001E-2</v>
      </c>
      <c r="G626" s="12">
        <f>(C626*$U$4)/($U$5*$U$3)</f>
        <v>29.387755102040813</v>
      </c>
      <c r="H626" s="11">
        <f>G626*COS(RADIANS(D626))</f>
        <v>25.450542478563094</v>
      </c>
      <c r="I626" s="11">
        <f>G626*SIN(RADIANS(D626))</f>
        <v>14.693877551020405</v>
      </c>
      <c r="J626" s="12">
        <v>0.28370000000000001</v>
      </c>
      <c r="K626" s="11">
        <v>38</v>
      </c>
      <c r="L626" s="12">
        <f>-(F626*G626*$U$3)/J626</f>
        <v>-2.589685856718436</v>
      </c>
      <c r="M626" s="11">
        <f>ABS(L626/$U$6)</f>
        <v>7.5501045385377146E-3</v>
      </c>
      <c r="N626" s="12">
        <f>L626*SIN(RADIANS(K626))</f>
        <v>-1.5943698151772636</v>
      </c>
      <c r="O626" s="12">
        <f>L626*COS(RADIANS(K626))</f>
        <v>-2.0407003035573639</v>
      </c>
      <c r="P626" s="5">
        <v>4.324277034761824</v>
      </c>
      <c r="Q626" s="5">
        <v>1.2300450050592424</v>
      </c>
      <c r="R626" s="6">
        <f>P626/Q626</f>
        <v>3.5155437540706527</v>
      </c>
    </row>
    <row r="627" spans="1:18" x14ac:dyDescent="0.35">
      <c r="A627" s="9">
        <v>627</v>
      </c>
      <c r="B627" s="5">
        <v>1</v>
      </c>
      <c r="C627" s="5">
        <v>4000000</v>
      </c>
      <c r="D627" s="5">
        <v>0</v>
      </c>
      <c r="E627" s="5">
        <v>0.25</v>
      </c>
      <c r="F627" s="5">
        <v>1.4999999999999999E-2</v>
      </c>
      <c r="G627" s="12">
        <f>(C627*$U$4)/($U$5*$U$3)</f>
        <v>58.775510204081627</v>
      </c>
      <c r="H627" s="11">
        <f>G627*COS(RADIANS(D627))</f>
        <v>58.775510204081627</v>
      </c>
      <c r="I627" s="11">
        <f>G627*SIN(RADIANS(D627))</f>
        <v>0</v>
      </c>
      <c r="J627" s="13">
        <v>0.33379999999999999</v>
      </c>
      <c r="K627" s="12">
        <v>30</v>
      </c>
      <c r="L627" s="12">
        <f>-(F627*G627*$U$3)/J627</f>
        <v>-2.6412002787933626</v>
      </c>
      <c r="M627" s="11">
        <f>ABS(L627/$U$6)</f>
        <v>7.7002923579981416E-3</v>
      </c>
      <c r="N627" s="12">
        <f>L627*SIN(RADIANS(K627))</f>
        <v>-1.3206001393966811</v>
      </c>
      <c r="O627" s="12">
        <f>L627*COS(RADIANS(K627))</f>
        <v>-2.2873465379175939</v>
      </c>
      <c r="P627" s="5">
        <v>3.4923576204458127</v>
      </c>
      <c r="Q627" s="5">
        <v>0.47893275242244088</v>
      </c>
      <c r="R627" s="6">
        <f>P627/Q627</f>
        <v>7.2919582191476255</v>
      </c>
    </row>
    <row r="628" spans="1:18" x14ac:dyDescent="0.35">
      <c r="A628" s="9">
        <v>628</v>
      </c>
      <c r="B628" s="5">
        <v>0.1</v>
      </c>
      <c r="C628" s="5">
        <v>4000000</v>
      </c>
      <c r="D628" s="5">
        <v>20</v>
      </c>
      <c r="E628" s="5">
        <v>0.375</v>
      </c>
      <c r="F628" s="5">
        <v>1.4999999999999999E-2</v>
      </c>
      <c r="G628" s="12">
        <f>(C628*$U$4)/($U$5*$U$3)</f>
        <v>58.775510204081627</v>
      </c>
      <c r="H628" s="11">
        <f>G628*COS(RADIANS(D628))</f>
        <v>55.230913221702366</v>
      </c>
      <c r="I628" s="11">
        <f>G628*SIN(RADIANS(D628))</f>
        <v>20.102408424039304</v>
      </c>
      <c r="J628" s="12">
        <v>0.16789999999999999</v>
      </c>
      <c r="K628" s="11">
        <v>85</v>
      </c>
      <c r="L628" s="12">
        <f>-(F628*G628*$U$3)/J628</f>
        <v>-5.2509389699894244</v>
      </c>
      <c r="M628" s="11">
        <f>ABS(L628/$U$6)</f>
        <v>1.5308859970814648E-2</v>
      </c>
      <c r="N628" s="12">
        <f>L628*SIN(RADIANS(K628))</f>
        <v>-5.2309575619067958</v>
      </c>
      <c r="O628" s="12">
        <f>L628*COS(RADIANS(K628))</f>
        <v>-0.45764948605205125</v>
      </c>
      <c r="P628" s="5">
        <v>1.6808953900073735</v>
      </c>
      <c r="Q628" s="5">
        <v>0.82047237138218787</v>
      </c>
      <c r="R628" s="6">
        <f>P628/Q628</f>
        <v>2.0486922517277408</v>
      </c>
    </row>
    <row r="629" spans="1:18" x14ac:dyDescent="0.35">
      <c r="A629" s="9">
        <v>2190</v>
      </c>
      <c r="B629" s="5">
        <v>0.1</v>
      </c>
      <c r="C629" s="5">
        <v>6000000</v>
      </c>
      <c r="D629" s="5">
        <v>5</v>
      </c>
      <c r="E629" s="5">
        <v>0.125</v>
      </c>
      <c r="F629" s="5">
        <v>0.1</v>
      </c>
      <c r="G629" s="12">
        <f>(C629*$U$4)/($U$5*$U$3)</f>
        <v>88.16326530612244</v>
      </c>
      <c r="H629" s="11">
        <f>G629*COS(RADIANS(D629))</f>
        <v>87.827777464415107</v>
      </c>
      <c r="I629" s="11">
        <f>G629*SIN(RADIANS(D629))</f>
        <v>7.6839348708139434</v>
      </c>
      <c r="J629" s="19">
        <v>0.1658</v>
      </c>
      <c r="K629" s="12">
        <v>69</v>
      </c>
      <c r="L629" s="12">
        <f>-(F629*G629*$U$3)/J629</f>
        <v>-53.174466409000267</v>
      </c>
      <c r="M629" s="11">
        <f>ABS(L629/$U$6)</f>
        <v>0.1550275988600591</v>
      </c>
      <c r="N629" s="12">
        <f>L629*SIN(RADIANS(K629))</f>
        <v>-49.642641028875595</v>
      </c>
      <c r="O629" s="12">
        <f>L629*COS(RADIANS(K629))</f>
        <v>-19.056024495158876</v>
      </c>
      <c r="P629" s="5">
        <v>1.5483646307913828</v>
      </c>
      <c r="Q629" s="5">
        <v>0.33721673469279362</v>
      </c>
      <c r="R629" s="6">
        <f>P629/Q629</f>
        <v>4.5916008059385067</v>
      </c>
    </row>
    <row r="630" spans="1:18" x14ac:dyDescent="0.35">
      <c r="A630" s="9">
        <v>630</v>
      </c>
      <c r="B630" s="5">
        <v>0.5</v>
      </c>
      <c r="C630" s="5">
        <v>6000000</v>
      </c>
      <c r="D630" s="5">
        <v>15</v>
      </c>
      <c r="E630" s="5">
        <v>0.375</v>
      </c>
      <c r="F630" s="5">
        <v>0.05</v>
      </c>
      <c r="G630" s="12">
        <f>(C630*$U$4)/($U$5*$U$3)</f>
        <v>88.16326530612244</v>
      </c>
      <c r="H630" s="11">
        <f>G630*COS(RADIANS(D630))</f>
        <v>85.159174889158663</v>
      </c>
      <c r="I630" s="11">
        <f>G630*SIN(RADIANS(D630))</f>
        <v>22.818332139650806</v>
      </c>
      <c r="J630" s="12">
        <v>0.24809999999999999</v>
      </c>
      <c r="K630" s="12">
        <v>67</v>
      </c>
      <c r="L630" s="12">
        <f>-(F630*G630*$U$3)/J630</f>
        <v>-17.767687486118994</v>
      </c>
      <c r="M630" s="11">
        <f>ABS(L630/$U$6)</f>
        <v>5.1800838151950419E-2</v>
      </c>
      <c r="N630" s="12">
        <f>L630*SIN(RADIANS(K630))</f>
        <v>-16.355242565598722</v>
      </c>
      <c r="O630" s="12">
        <f>L630*COS(RADIANS(K630))</f>
        <v>-6.9423885820960214</v>
      </c>
      <c r="P630" s="5">
        <v>3.6261441750922772</v>
      </c>
      <c r="Q630" s="5">
        <v>0.42179110566093325</v>
      </c>
      <c r="R630" s="6">
        <f>P630/Q630</f>
        <v>8.5970143192332724</v>
      </c>
    </row>
    <row r="631" spans="1:18" x14ac:dyDescent="0.35">
      <c r="A631" s="9">
        <v>631</v>
      </c>
      <c r="B631" s="5">
        <v>0.75</v>
      </c>
      <c r="C631" s="5">
        <v>4000000</v>
      </c>
      <c r="D631" s="5">
        <v>15</v>
      </c>
      <c r="E631" s="5">
        <v>0.25</v>
      </c>
      <c r="F631" s="5">
        <v>1.4999999999999999E-2</v>
      </c>
      <c r="G631" s="12">
        <f>(C631*$U$4)/($U$5*$U$3)</f>
        <v>58.775510204081627</v>
      </c>
      <c r="H631" s="11">
        <f>G631*COS(RADIANS(D631))</f>
        <v>56.772783259439109</v>
      </c>
      <c r="I631" s="11">
        <f>G631*SIN(RADIANS(D631))</f>
        <v>15.212221426433871</v>
      </c>
      <c r="J631" s="12">
        <v>0.28370000000000001</v>
      </c>
      <c r="K631" s="11">
        <v>38</v>
      </c>
      <c r="L631" s="12">
        <f>-(F631*G631*$U$3)/J631</f>
        <v>-3.1076230280621231</v>
      </c>
      <c r="M631" s="11">
        <f>ABS(L631/$U$6)</f>
        <v>9.0601254462452565E-3</v>
      </c>
      <c r="N631" s="12">
        <f>L631*SIN(RADIANS(K631))</f>
        <v>-1.9132437782127163</v>
      </c>
      <c r="O631" s="12">
        <f>L631*COS(RADIANS(K631))</f>
        <v>-2.4488403642688366</v>
      </c>
      <c r="P631" s="5">
        <v>4.5639182972791215</v>
      </c>
      <c r="Q631" s="5">
        <v>0.6092206017952948</v>
      </c>
      <c r="R631" s="6">
        <f>P631/Q631</f>
        <v>7.4914050572647097</v>
      </c>
    </row>
    <row r="632" spans="1:18" x14ac:dyDescent="0.35">
      <c r="A632" s="9">
        <v>632</v>
      </c>
      <c r="B632" s="5">
        <v>0.25</v>
      </c>
      <c r="C632" s="5">
        <v>2000000</v>
      </c>
      <c r="D632" s="5">
        <v>15</v>
      </c>
      <c r="E632" s="5">
        <v>0</v>
      </c>
      <c r="F632" s="5">
        <v>1.4999999999999999E-2</v>
      </c>
      <c r="G632" s="12">
        <f>(C632*$U$4)/($U$5*$U$3)</f>
        <v>29.387755102040813</v>
      </c>
      <c r="H632" s="11">
        <f>G632*COS(RADIANS(D632))</f>
        <v>28.386391629719554</v>
      </c>
      <c r="I632" s="11">
        <f>G632*SIN(RADIANS(D632))</f>
        <v>7.6061107132169354</v>
      </c>
      <c r="J632" s="12">
        <v>0.18990000000000001</v>
      </c>
      <c r="K632" s="12">
        <v>0</v>
      </c>
      <c r="L632" s="12">
        <f>-(F632*G632*$U$3)/J632</f>
        <v>-2.321307669987426</v>
      </c>
      <c r="M632" s="11">
        <f>ABS(L632/$U$6)</f>
        <v>6.7676608454443907E-3</v>
      </c>
      <c r="N632" s="12">
        <f>L632*SIN(RADIANS(K632))</f>
        <v>0</v>
      </c>
      <c r="O632" s="12">
        <f>L632*COS(RADIANS(K632))</f>
        <v>-2.321307669987426</v>
      </c>
      <c r="P632" s="5">
        <v>2.0604360898791931</v>
      </c>
      <c r="Q632" s="5">
        <v>0.56034985705401819</v>
      </c>
      <c r="R632" s="6">
        <f>P632/Q632</f>
        <v>3.6770529410174642</v>
      </c>
    </row>
    <row r="633" spans="1:18" x14ac:dyDescent="0.35">
      <c r="A633" s="9">
        <v>633</v>
      </c>
      <c r="B633" s="5">
        <v>0.1</v>
      </c>
      <c r="C633" s="5">
        <v>4000000</v>
      </c>
      <c r="D633" s="5">
        <v>30</v>
      </c>
      <c r="E633" s="5">
        <v>0.375</v>
      </c>
      <c r="F633" s="5">
        <v>1.4999999999999999E-2</v>
      </c>
      <c r="G633" s="12">
        <f>(C633*$U$4)/($U$5*$U$3)</f>
        <v>58.775510204081627</v>
      </c>
      <c r="H633" s="11">
        <f>G633*COS(RADIANS(D633))</f>
        <v>50.901084957126187</v>
      </c>
      <c r="I633" s="11">
        <f>G633*SIN(RADIANS(D633))</f>
        <v>29.38775510204081</v>
      </c>
      <c r="J633" s="12">
        <v>0.16789999999999999</v>
      </c>
      <c r="K633" s="11">
        <v>85</v>
      </c>
      <c r="L633" s="12">
        <f>-(F633*G633*$U$3)/J633</f>
        <v>-5.2509389699894244</v>
      </c>
      <c r="M633" s="11">
        <f>ABS(L633/$U$6)</f>
        <v>1.5308859970814648E-2</v>
      </c>
      <c r="N633" s="12">
        <f>L633*SIN(RADIANS(K633))</f>
        <v>-5.2309575619067958</v>
      </c>
      <c r="O633" s="12">
        <f>L633*COS(RADIANS(K633))</f>
        <v>-0.45764948605205125</v>
      </c>
      <c r="P633" s="5">
        <v>1.465775161466516</v>
      </c>
      <c r="Q633" s="5">
        <v>1.0955132281593132</v>
      </c>
      <c r="R633" s="6">
        <f>P633/Q633</f>
        <v>1.3379803399812149</v>
      </c>
    </row>
    <row r="634" spans="1:18" x14ac:dyDescent="0.35">
      <c r="A634" s="9">
        <v>634</v>
      </c>
      <c r="B634" s="5">
        <v>0.5</v>
      </c>
      <c r="C634" s="5">
        <v>2000000</v>
      </c>
      <c r="D634" s="5">
        <v>20</v>
      </c>
      <c r="E634" s="5">
        <v>0.375</v>
      </c>
      <c r="F634" s="5">
        <v>0</v>
      </c>
      <c r="G634" s="12">
        <f>(C634*$U$4)/($U$5*$U$3)</f>
        <v>29.387755102040813</v>
      </c>
      <c r="H634" s="11">
        <f>G634*COS(RADIANS(D634))</f>
        <v>27.615456610851183</v>
      </c>
      <c r="I634" s="11">
        <f>G634*SIN(RADIANS(D634))</f>
        <v>10.051204212019652</v>
      </c>
      <c r="J634" s="12">
        <v>0.24809999999999999</v>
      </c>
      <c r="K634" s="12">
        <v>67</v>
      </c>
      <c r="L634" s="12">
        <f>-(F634*G634*$U$3)/J634</f>
        <v>0</v>
      </c>
      <c r="M634" s="11">
        <f>ABS(L634/$U$6)</f>
        <v>0</v>
      </c>
      <c r="N634" s="12">
        <f>L634*SIN(RADIANS(K634))</f>
        <v>0</v>
      </c>
      <c r="O634" s="12">
        <f>L634*COS(RADIANS(K634))</f>
        <v>0</v>
      </c>
      <c r="P634" s="5">
        <v>4.1216476745491581</v>
      </c>
      <c r="Q634" s="5">
        <v>1.3537034326778696</v>
      </c>
      <c r="R634" s="6">
        <f>P634/Q634</f>
        <v>3.0447198219744447</v>
      </c>
    </row>
    <row r="635" spans="1:18" x14ac:dyDescent="0.35">
      <c r="A635" s="9">
        <v>635</v>
      </c>
      <c r="B635" s="5">
        <v>0.25</v>
      </c>
      <c r="C635" s="5">
        <v>4000000</v>
      </c>
      <c r="D635" s="5">
        <v>30</v>
      </c>
      <c r="E635" s="5">
        <v>0</v>
      </c>
      <c r="F635" s="5">
        <v>7.4999999999999997E-2</v>
      </c>
      <c r="G635" s="12">
        <f>(C635*$U$4)/($U$5*$U$3)</f>
        <v>58.775510204081627</v>
      </c>
      <c r="H635" s="11">
        <f>G635*COS(RADIANS(D635))</f>
        <v>50.901084957126187</v>
      </c>
      <c r="I635" s="11">
        <f>G635*SIN(RADIANS(D635))</f>
        <v>29.38775510204081</v>
      </c>
      <c r="J635" s="12">
        <v>0.18990000000000001</v>
      </c>
      <c r="K635" s="12">
        <v>0</v>
      </c>
      <c r="L635" s="12">
        <f>-(F635*G635*$U$3)/J635</f>
        <v>-23.213076699874257</v>
      </c>
      <c r="M635" s="11">
        <f>ABS(L635/$U$6)</f>
        <v>6.7676608454443898E-2</v>
      </c>
      <c r="N635" s="12">
        <f>L635*SIN(RADIANS(K635))</f>
        <v>0</v>
      </c>
      <c r="O635" s="12">
        <f>L635*COS(RADIANS(K635))</f>
        <v>-23.213076699874257</v>
      </c>
      <c r="P635" s="5">
        <v>2.5482950076570372</v>
      </c>
      <c r="Q635" s="5">
        <v>0.90851162194115775</v>
      </c>
      <c r="R635" s="6">
        <f>P635/Q635</f>
        <v>2.804911842748099</v>
      </c>
    </row>
    <row r="636" spans="1:18" x14ac:dyDescent="0.35">
      <c r="A636" s="9">
        <v>67</v>
      </c>
      <c r="B636" s="5">
        <v>0.1</v>
      </c>
      <c r="C636" s="5">
        <v>6000000</v>
      </c>
      <c r="D636" s="5">
        <v>10</v>
      </c>
      <c r="E636" s="5">
        <v>0.25</v>
      </c>
      <c r="F636" s="5">
        <v>0.1</v>
      </c>
      <c r="G636" s="12">
        <f>(C636*$U$4)/($U$5*$U$3)</f>
        <v>88.16326530612244</v>
      </c>
      <c r="H636" s="11">
        <f>G636*COS(RADIANS(D636))</f>
        <v>86.823867204341596</v>
      </c>
      <c r="I636" s="11">
        <f>G636*SIN(RADIANS(D636))</f>
        <v>15.309390357574264</v>
      </c>
      <c r="J636" s="20">
        <v>0.1661</v>
      </c>
      <c r="K636" s="12">
        <v>80</v>
      </c>
      <c r="L636" s="12">
        <f>-(F636*G636*$U$3)/J636</f>
        <v>-53.078425831500567</v>
      </c>
      <c r="M636" s="11">
        <f>ABS(L636/$U$6)</f>
        <v>0.1547475971763865</v>
      </c>
      <c r="N636" s="12">
        <f>L636*SIN(RADIANS(K636))</f>
        <v>-52.272045276545214</v>
      </c>
      <c r="O636" s="12">
        <f>L636*COS(RADIANS(K636))</f>
        <v>-9.2169719190693993</v>
      </c>
      <c r="P636" s="5">
        <v>1.8900512439120751</v>
      </c>
      <c r="Q636" s="5">
        <v>0.50121448902599819</v>
      </c>
      <c r="R636" s="6">
        <f>P636/Q636</f>
        <v>3.770942950162874</v>
      </c>
    </row>
    <row r="637" spans="1:18" x14ac:dyDescent="0.35">
      <c r="A637" s="9">
        <v>637</v>
      </c>
      <c r="B637" s="5">
        <v>1</v>
      </c>
      <c r="C637" s="5">
        <v>4000000</v>
      </c>
      <c r="D637" s="5">
        <v>30</v>
      </c>
      <c r="E637" s="5">
        <v>0.25</v>
      </c>
      <c r="F637" s="5">
        <v>7.4999999999999997E-2</v>
      </c>
      <c r="G637" s="12">
        <f>(C637*$U$4)/($U$5*$U$3)</f>
        <v>58.775510204081627</v>
      </c>
      <c r="H637" s="11">
        <f>G637*COS(RADIANS(D637))</f>
        <v>50.901084957126187</v>
      </c>
      <c r="I637" s="11">
        <f>G637*SIN(RADIANS(D637))</f>
        <v>29.38775510204081</v>
      </c>
      <c r="J637" s="13">
        <v>0.33379999999999999</v>
      </c>
      <c r="K637" s="12">
        <v>30</v>
      </c>
      <c r="L637" s="12">
        <f>-(F637*G637*$U$3)/J637</f>
        <v>-13.206001393966813</v>
      </c>
      <c r="M637" s="11">
        <f>ABS(L637/$U$6)</f>
        <v>3.8501461789990712E-2</v>
      </c>
      <c r="N637" s="12">
        <f>L637*SIN(RADIANS(K637))</f>
        <v>-6.6030006969834059</v>
      </c>
      <c r="O637" s="12">
        <f>L637*COS(RADIANS(K637))</f>
        <v>-11.43673268958797</v>
      </c>
      <c r="P637" s="5">
        <v>4.8380979832013757</v>
      </c>
      <c r="Q637" s="5">
        <v>1.2291005722070216</v>
      </c>
      <c r="R637" s="6">
        <f>P637/Q637</f>
        <v>3.9362913764769432</v>
      </c>
    </row>
    <row r="638" spans="1:18" x14ac:dyDescent="0.35">
      <c r="A638" s="9">
        <v>638</v>
      </c>
      <c r="B638" s="5">
        <v>0.1</v>
      </c>
      <c r="C638" s="5">
        <v>6000000</v>
      </c>
      <c r="D638" s="5">
        <v>5</v>
      </c>
      <c r="E638" s="5">
        <v>0</v>
      </c>
      <c r="F638" s="5">
        <v>0.05</v>
      </c>
      <c r="G638" s="12">
        <f>(C638*$U$4)/($U$5*$U$3)</f>
        <v>88.16326530612244</v>
      </c>
      <c r="H638" s="11">
        <f>G638*COS(RADIANS(D638))</f>
        <v>87.827777464415107</v>
      </c>
      <c r="I638" s="11">
        <f>G638*SIN(RADIANS(D638))</f>
        <v>7.6839348708139434</v>
      </c>
      <c r="J638" s="11">
        <v>0.16569999999999999</v>
      </c>
      <c r="K638" s="12">
        <v>0</v>
      </c>
      <c r="L638" s="12">
        <f>-(F638*G638*$U$3)/J638</f>
        <v>-26.603278607761752</v>
      </c>
      <c r="M638" s="11">
        <f>ABS(L638/$U$6)</f>
        <v>7.7560579031375365E-2</v>
      </c>
      <c r="N638" s="12">
        <f>L638*SIN(RADIANS(K638))</f>
        <v>0</v>
      </c>
      <c r="O638" s="12">
        <f>L638*COS(RADIANS(K638))</f>
        <v>-26.603278607761752</v>
      </c>
      <c r="P638" s="5">
        <v>1.3405621471595515</v>
      </c>
      <c r="Q638" s="5">
        <v>0.30887178739168231</v>
      </c>
      <c r="R638" s="6">
        <f>P638/Q638</f>
        <v>4.3401896899685948</v>
      </c>
    </row>
    <row r="639" spans="1:18" x14ac:dyDescent="0.35">
      <c r="A639" s="9">
        <v>639</v>
      </c>
      <c r="B639" s="5">
        <v>0.1</v>
      </c>
      <c r="C639" s="5">
        <v>2000000</v>
      </c>
      <c r="D639" s="5">
        <v>30</v>
      </c>
      <c r="E639" s="5">
        <v>0.25</v>
      </c>
      <c r="F639" s="5">
        <v>0.15</v>
      </c>
      <c r="G639" s="12">
        <f>(C639*$U$4)/($U$5*$U$3)</f>
        <v>29.387755102040813</v>
      </c>
      <c r="H639" s="11">
        <f>G639*COS(RADIANS(D639))</f>
        <v>25.450542478563094</v>
      </c>
      <c r="I639" s="11">
        <f>G639*SIN(RADIANS(D639))</f>
        <v>14.693877551020405</v>
      </c>
      <c r="J639" s="11">
        <v>0.1661</v>
      </c>
      <c r="K639" s="12">
        <v>80</v>
      </c>
      <c r="L639" s="12">
        <f>-(F639*G639*$U$3)/J639</f>
        <v>-26.539212915750284</v>
      </c>
      <c r="M639" s="11">
        <f>ABS(L639/$U$6)</f>
        <v>7.7373798588193252E-2</v>
      </c>
      <c r="N639" s="12">
        <f>L639*SIN(RADIANS(K639))</f>
        <v>-26.136022638272607</v>
      </c>
      <c r="O639" s="12">
        <f>L639*COS(RADIANS(K639))</f>
        <v>-4.6084859595346996</v>
      </c>
      <c r="P639" s="5">
        <v>1.5289648132926845</v>
      </c>
      <c r="Q639" s="5">
        <v>1.1107590878562013</v>
      </c>
      <c r="R639" s="6">
        <f>P639/Q639</f>
        <v>1.3765044373786155</v>
      </c>
    </row>
    <row r="640" spans="1:18" x14ac:dyDescent="0.35">
      <c r="A640" s="9">
        <v>408</v>
      </c>
      <c r="B640" s="5">
        <v>0.1</v>
      </c>
      <c r="C640" s="5">
        <v>6000000</v>
      </c>
      <c r="D640" s="5">
        <v>0</v>
      </c>
      <c r="E640" s="5">
        <v>0.25</v>
      </c>
      <c r="F640" s="5">
        <v>0.1</v>
      </c>
      <c r="G640" s="12">
        <f>(C640*$U$4)/($U$5*$U$3)</f>
        <v>88.16326530612244</v>
      </c>
      <c r="H640" s="11">
        <f>G640*COS(RADIANS(D640))</f>
        <v>88.16326530612244</v>
      </c>
      <c r="I640" s="11">
        <f>G640*SIN(RADIANS(D640))</f>
        <v>0</v>
      </c>
      <c r="J640" s="11">
        <v>0.1661</v>
      </c>
      <c r="K640" s="12">
        <v>80</v>
      </c>
      <c r="L640" s="12">
        <f>-(F640*G640*$U$3)/J640</f>
        <v>-53.078425831500567</v>
      </c>
      <c r="M640" s="11">
        <f>ABS(L640/$U$6)</f>
        <v>0.1547475971763865</v>
      </c>
      <c r="N640" s="12">
        <f>L640*SIN(RADIANS(K640))</f>
        <v>-52.272045276545214</v>
      </c>
      <c r="O640" s="12">
        <f>L640*COS(RADIANS(K640))</f>
        <v>-9.2169719190693993</v>
      </c>
      <c r="P640" s="5">
        <v>1.5796203312195229</v>
      </c>
      <c r="Q640" s="5">
        <v>0.21503718176490019</v>
      </c>
      <c r="R640" s="6">
        <f>P640/Q640</f>
        <v>7.3458009366329931</v>
      </c>
    </row>
    <row r="641" spans="1:18" x14ac:dyDescent="0.35">
      <c r="A641" s="9">
        <v>641</v>
      </c>
      <c r="B641" s="5">
        <v>1</v>
      </c>
      <c r="C641" s="5">
        <v>6000000</v>
      </c>
      <c r="D641" s="5">
        <v>10</v>
      </c>
      <c r="E641" s="5">
        <v>0.125</v>
      </c>
      <c r="F641" s="5">
        <v>0.05</v>
      </c>
      <c r="G641" s="12">
        <f>(C641*$U$4)/($U$5*$U$3)</f>
        <v>88.16326530612244</v>
      </c>
      <c r="H641" s="11">
        <f>G641*COS(RADIANS(D641))</f>
        <v>86.823867204341596</v>
      </c>
      <c r="I641" s="11">
        <f>G641*SIN(RADIANS(D641))</f>
        <v>15.309390357574264</v>
      </c>
      <c r="J641" s="11">
        <v>0.33379999999999999</v>
      </c>
      <c r="K641" s="12">
        <v>14</v>
      </c>
      <c r="L641" s="12">
        <f>-(F641*G641*$U$3)/J641</f>
        <v>-13.206001393966813</v>
      </c>
      <c r="M641" s="11">
        <f>ABS(L641/$U$6)</f>
        <v>3.8501461789990712E-2</v>
      </c>
      <c r="N641" s="12">
        <f>L641*SIN(RADIANS(K641))</f>
        <v>-3.1948208905203059</v>
      </c>
      <c r="O641" s="12">
        <f>L641*COS(RADIANS(K641))</f>
        <v>-12.81372671376085</v>
      </c>
      <c r="P641" s="5">
        <v>5.3825889201284109</v>
      </c>
      <c r="Q641" s="5">
        <v>0.18192297553574255</v>
      </c>
      <c r="R641" s="6">
        <f>P641/Q641</f>
        <v>29.587186029017481</v>
      </c>
    </row>
    <row r="642" spans="1:18" x14ac:dyDescent="0.35">
      <c r="A642" s="9">
        <v>642</v>
      </c>
      <c r="B642" s="5">
        <v>0.5</v>
      </c>
      <c r="C642" s="5">
        <v>4000000</v>
      </c>
      <c r="D642" s="5">
        <v>10</v>
      </c>
      <c r="E642" s="5">
        <v>0.375</v>
      </c>
      <c r="F642" s="5">
        <v>0</v>
      </c>
      <c r="G642" s="12">
        <f>(C642*$U$4)/($U$5*$U$3)</f>
        <v>58.775510204081627</v>
      </c>
      <c r="H642" s="11">
        <f>G642*COS(RADIANS(D642))</f>
        <v>57.882578136227728</v>
      </c>
      <c r="I642" s="11">
        <f>G642*SIN(RADIANS(D642))</f>
        <v>10.206260238382843</v>
      </c>
      <c r="J642" s="12">
        <v>0.24809999999999999</v>
      </c>
      <c r="K642" s="12">
        <v>67</v>
      </c>
      <c r="L642" s="12">
        <f>-(F642*G642*$U$3)/J642</f>
        <v>0</v>
      </c>
      <c r="M642" s="11">
        <f>ABS(L642/$U$6)</f>
        <v>0</v>
      </c>
      <c r="N642" s="12">
        <f>L642*SIN(RADIANS(K642))</f>
        <v>0</v>
      </c>
      <c r="O642" s="12">
        <f>L642*COS(RADIANS(K642))</f>
        <v>0</v>
      </c>
      <c r="P642" s="5">
        <v>4.2801685451677205</v>
      </c>
      <c r="Q642" s="5">
        <v>0.842799998000481</v>
      </c>
      <c r="R642" s="6">
        <f>P642/Q642</f>
        <v>5.0785103883748199</v>
      </c>
    </row>
    <row r="643" spans="1:18" x14ac:dyDescent="0.35">
      <c r="A643" s="9">
        <v>643</v>
      </c>
      <c r="B643" s="5">
        <v>0.25</v>
      </c>
      <c r="C643" s="5">
        <v>6000000</v>
      </c>
      <c r="D643" s="5">
        <v>15</v>
      </c>
      <c r="E643" s="5">
        <v>0.125</v>
      </c>
      <c r="F643" s="5">
        <v>0</v>
      </c>
      <c r="G643" s="12">
        <f>(C643*$U$4)/($U$5*$U$3)</f>
        <v>88.16326530612244</v>
      </c>
      <c r="H643" s="11">
        <f>G643*COS(RADIANS(D643))</f>
        <v>85.159174889158663</v>
      </c>
      <c r="I643" s="11">
        <f>G643*SIN(RADIANS(D643))</f>
        <v>22.818332139650806</v>
      </c>
      <c r="J643" s="11">
        <v>0.19020000000000001</v>
      </c>
      <c r="K643" s="12">
        <v>46</v>
      </c>
      <c r="L643" s="12">
        <f>-(F643*G643*$U$3)/J643</f>
        <v>0</v>
      </c>
      <c r="M643" s="11">
        <f>ABS(L643/$U$6)</f>
        <v>0</v>
      </c>
      <c r="N643" s="12">
        <f>L643*SIN(RADIANS(K643))</f>
        <v>0</v>
      </c>
      <c r="O643" s="12">
        <f>L643*COS(RADIANS(K643))</f>
        <v>0</v>
      </c>
      <c r="P643" s="5">
        <v>2.3826711680313548</v>
      </c>
      <c r="Q643" s="5">
        <v>0.69488381375960284</v>
      </c>
      <c r="R643" s="6">
        <f>P643/Q643</f>
        <v>3.4288770595189701</v>
      </c>
    </row>
    <row r="644" spans="1:18" x14ac:dyDescent="0.35">
      <c r="A644" s="9">
        <v>644</v>
      </c>
      <c r="B644" s="5">
        <v>0.75</v>
      </c>
      <c r="C644" s="5">
        <v>6000000</v>
      </c>
      <c r="D644" s="5">
        <v>30</v>
      </c>
      <c r="E644" s="5">
        <v>0.375</v>
      </c>
      <c r="F644" s="5">
        <v>3.5000000000000003E-2</v>
      </c>
      <c r="G644" s="12">
        <f>(C644*$U$4)/($U$5*$U$3)</f>
        <v>88.16326530612244</v>
      </c>
      <c r="H644" s="11">
        <f>G644*COS(RADIANS(D644))</f>
        <v>76.351627435689281</v>
      </c>
      <c r="I644" s="11">
        <f>G644*SIN(RADIANS(D644))</f>
        <v>44.081632653061213</v>
      </c>
      <c r="J644" s="11">
        <v>0.29299999999999998</v>
      </c>
      <c r="K644" s="12">
        <v>57</v>
      </c>
      <c r="L644" s="12">
        <f>-(F644*G644*$U$3)/J644</f>
        <v>-10.531448074110191</v>
      </c>
      <c r="M644" s="11">
        <f>ABS(L644/$U$6)</f>
        <v>3.0703930245219217E-2</v>
      </c>
      <c r="N644" s="12">
        <f>L644*SIN(RADIANS(K644))</f>
        <v>-8.8324155376017366</v>
      </c>
      <c r="O644" s="12">
        <f>L644*COS(RADIANS(K644))</f>
        <v>-5.73583771639424</v>
      </c>
      <c r="P644" s="5">
        <v>4.3484617227868601</v>
      </c>
      <c r="Q644" s="5">
        <v>1.3335846797891124</v>
      </c>
      <c r="R644" s="6">
        <f>P644/Q644</f>
        <v>3.2607316120896859</v>
      </c>
    </row>
    <row r="645" spans="1:18" x14ac:dyDescent="0.35">
      <c r="A645" s="9">
        <v>645</v>
      </c>
      <c r="B645" s="5">
        <v>0.25</v>
      </c>
      <c r="C645" s="5">
        <v>2000000</v>
      </c>
      <c r="D645" s="5">
        <v>5</v>
      </c>
      <c r="E645" s="5">
        <v>0.375</v>
      </c>
      <c r="F645" s="5">
        <v>7.4999999999999997E-2</v>
      </c>
      <c r="G645" s="12">
        <f>(C645*$U$4)/($U$5*$U$3)</f>
        <v>29.387755102040813</v>
      </c>
      <c r="H645" s="11">
        <f>G645*COS(RADIANS(D645))</f>
        <v>29.275925821471702</v>
      </c>
      <c r="I645" s="11">
        <f>G645*SIN(RADIANS(D645))</f>
        <v>2.5613116236046478</v>
      </c>
      <c r="J645" s="11">
        <v>0.1976</v>
      </c>
      <c r="K645" s="12">
        <v>78</v>
      </c>
      <c r="L645" s="12">
        <f>-(F645*G645*$U$3)/J645</f>
        <v>-11.154259274560026</v>
      </c>
      <c r="M645" s="11">
        <f>ABS(L645/$U$6)</f>
        <v>3.251970633982515E-2</v>
      </c>
      <c r="N645" s="12">
        <f>L645*SIN(RADIANS(K645))</f>
        <v>-10.910511947373688</v>
      </c>
      <c r="O645" s="12">
        <f>L645*COS(RADIANS(K645))</f>
        <v>-2.3191009055934502</v>
      </c>
      <c r="P645" s="5">
        <v>2.4287674374896659</v>
      </c>
      <c r="Q645" s="5">
        <v>0.13011875378283169</v>
      </c>
      <c r="R645" s="6">
        <f>P645/Q645</f>
        <v>18.665775431136396</v>
      </c>
    </row>
    <row r="646" spans="1:18" x14ac:dyDescent="0.35">
      <c r="A646" s="9">
        <v>646</v>
      </c>
      <c r="B646" s="5">
        <v>1</v>
      </c>
      <c r="C646" s="5">
        <v>4000000</v>
      </c>
      <c r="D646" s="5">
        <v>30</v>
      </c>
      <c r="E646" s="5">
        <v>0.375</v>
      </c>
      <c r="F646" s="5">
        <v>0.1</v>
      </c>
      <c r="G646" s="12">
        <f>(C646*$U$4)/($U$5*$U$3)</f>
        <v>58.775510204081627</v>
      </c>
      <c r="H646" s="11">
        <f>G646*COS(RADIANS(D646))</f>
        <v>50.901084957126187</v>
      </c>
      <c r="I646" s="11">
        <f>G646*SIN(RADIANS(D646))</f>
        <v>29.38775510204081</v>
      </c>
      <c r="J646" s="12">
        <v>0.33379999999999999</v>
      </c>
      <c r="K646" s="11">
        <v>49</v>
      </c>
      <c r="L646" s="12">
        <f>-(F646*G646*$U$3)/J646</f>
        <v>-17.608001858622419</v>
      </c>
      <c r="M646" s="11">
        <f>ABS(L646/$U$6)</f>
        <v>5.1335282386654281E-2</v>
      </c>
      <c r="N646" s="12">
        <f>L646*SIN(RADIANS(K646))</f>
        <v>-13.288927691282716</v>
      </c>
      <c r="O646" s="12">
        <f>L646*COS(RADIANS(K646))</f>
        <v>-11.551888601830871</v>
      </c>
      <c r="P646" s="5">
        <v>7.5238742847776532</v>
      </c>
      <c r="Q646" s="5">
        <v>1.6501502435317617</v>
      </c>
      <c r="R646" s="6">
        <f>P646/Q646</f>
        <v>4.5595086352104248</v>
      </c>
    </row>
    <row r="647" spans="1:18" x14ac:dyDescent="0.35">
      <c r="A647" s="9">
        <v>647</v>
      </c>
      <c r="B647" s="5">
        <v>1</v>
      </c>
      <c r="C647" s="5">
        <v>2000000</v>
      </c>
      <c r="D647" s="5">
        <v>0</v>
      </c>
      <c r="E647" s="5">
        <v>0</v>
      </c>
      <c r="F647" s="5">
        <v>3.5000000000000003E-2</v>
      </c>
      <c r="G647" s="12">
        <f>(C647*$U$4)/($U$5*$U$3)</f>
        <v>29.387755102040813</v>
      </c>
      <c r="H647" s="11">
        <f>G647*COS(RADIANS(D647))</f>
        <v>29.387755102040813</v>
      </c>
      <c r="I647" s="11">
        <f>G647*SIN(RADIANS(D647))</f>
        <v>0</v>
      </c>
      <c r="J647" s="11">
        <v>0.33379999999999999</v>
      </c>
      <c r="K647" s="12">
        <v>0</v>
      </c>
      <c r="L647" s="12">
        <f>-(F647*G647*$U$3)/J647</f>
        <v>-3.0814003252589233</v>
      </c>
      <c r="M647" s="11">
        <f>ABS(L647/$U$6)</f>
        <v>8.983674417664499E-3</v>
      </c>
      <c r="N647" s="12">
        <f>L647*SIN(RADIANS(K647))</f>
        <v>0</v>
      </c>
      <c r="O647" s="12">
        <f>L647*COS(RADIANS(K647))</f>
        <v>-3.0814003252589233</v>
      </c>
      <c r="P647" s="5">
        <v>1.3312740891711241</v>
      </c>
      <c r="Q647" s="5">
        <v>2.1719334223118256</v>
      </c>
      <c r="R647" s="6">
        <f>P647/Q647</f>
        <v>0.61294424382221802</v>
      </c>
    </row>
    <row r="648" spans="1:18" x14ac:dyDescent="0.35">
      <c r="A648" s="9">
        <v>629</v>
      </c>
      <c r="B648" s="5">
        <v>0.1</v>
      </c>
      <c r="C648" s="5">
        <v>4000000</v>
      </c>
      <c r="D648" s="5">
        <v>5</v>
      </c>
      <c r="E648" s="5">
        <v>0.25</v>
      </c>
      <c r="F648" s="5">
        <v>0.15</v>
      </c>
      <c r="G648" s="12">
        <f>(C648*$U$4)/($U$5*$U$3)</f>
        <v>58.775510204081627</v>
      </c>
      <c r="H648" s="11">
        <f>G648*COS(RADIANS(D648))</f>
        <v>58.551851642943404</v>
      </c>
      <c r="I648" s="11">
        <f>G648*SIN(RADIANS(D648))</f>
        <v>5.1226232472092956</v>
      </c>
      <c r="J648" s="20">
        <v>0.1661</v>
      </c>
      <c r="K648" s="12">
        <v>80</v>
      </c>
      <c r="L648" s="12">
        <f>-(F648*G648*$U$3)/J648</f>
        <v>-53.078425831500567</v>
      </c>
      <c r="M648" s="11">
        <f>ABS(L648/$U$6)</f>
        <v>0.1547475971763865</v>
      </c>
      <c r="N648" s="12">
        <f>L648*SIN(RADIANS(K648))</f>
        <v>-52.272045276545214</v>
      </c>
      <c r="O648" s="12">
        <f>L648*COS(RADIANS(K648))</f>
        <v>-9.2169719190693993</v>
      </c>
      <c r="P648" s="5">
        <v>1.8107999431345023</v>
      </c>
      <c r="Q648" s="5">
        <v>0.34051982523154328</v>
      </c>
      <c r="R648" s="6">
        <f>P648/Q648</f>
        <v>5.3177518868489155</v>
      </c>
    </row>
    <row r="649" spans="1:18" x14ac:dyDescent="0.35">
      <c r="A649" s="9">
        <v>649</v>
      </c>
      <c r="B649" s="5">
        <v>0.75</v>
      </c>
      <c r="C649" s="5">
        <v>6000000</v>
      </c>
      <c r="D649" s="5">
        <v>0</v>
      </c>
      <c r="E649" s="5">
        <v>0.125</v>
      </c>
      <c r="F649" s="5">
        <v>2.5000000000000001E-2</v>
      </c>
      <c r="G649" s="12">
        <f>(C649*$U$4)/($U$5*$U$3)</f>
        <v>88.16326530612244</v>
      </c>
      <c r="H649" s="11">
        <f>G649*COS(RADIANS(D649))</f>
        <v>88.16326530612244</v>
      </c>
      <c r="I649" s="11">
        <f>G649*SIN(RADIANS(D649))</f>
        <v>0</v>
      </c>
      <c r="J649" s="12">
        <v>0.2802</v>
      </c>
      <c r="K649" s="12">
        <v>19</v>
      </c>
      <c r="L649" s="12">
        <f>-(F649*G649*$U$3)/J649</f>
        <v>-7.8661014727089968</v>
      </c>
      <c r="M649" s="11">
        <f>ABS(L649/$U$6)</f>
        <v>2.2933240445215733E-2</v>
      </c>
      <c r="N649" s="12">
        <f>L649*SIN(RADIANS(K649))</f>
        <v>-2.5609521392425907</v>
      </c>
      <c r="O649" s="12">
        <f>L649*COS(RADIANS(K649))</f>
        <v>-7.4375450599954993</v>
      </c>
      <c r="P649" s="5">
        <v>4.1354537951027046</v>
      </c>
      <c r="Q649" s="5">
        <v>0.20125227868113257</v>
      </c>
      <c r="R649" s="6">
        <f>P649/Q649</f>
        <v>20.548606068977662</v>
      </c>
    </row>
    <row r="650" spans="1:18" x14ac:dyDescent="0.35">
      <c r="A650" s="9">
        <v>650</v>
      </c>
      <c r="B650" s="5">
        <v>0.25</v>
      </c>
      <c r="C650" s="5">
        <v>4000000</v>
      </c>
      <c r="D650" s="5">
        <v>15</v>
      </c>
      <c r="E650" s="5">
        <v>0.125</v>
      </c>
      <c r="F650" s="5">
        <v>1.4999999999999999E-2</v>
      </c>
      <c r="G650" s="12">
        <f>(C650*$U$4)/($U$5*$U$3)</f>
        <v>58.775510204081627</v>
      </c>
      <c r="H650" s="11">
        <f>G650*COS(RADIANS(D650))</f>
        <v>56.772783259439109</v>
      </c>
      <c r="I650" s="11">
        <f>G650*SIN(RADIANS(D650))</f>
        <v>15.212221426433871</v>
      </c>
      <c r="J650" s="11">
        <v>0.19020000000000001</v>
      </c>
      <c r="K650" s="12">
        <v>46</v>
      </c>
      <c r="L650" s="12">
        <f>-(F650*G650*$U$3)/J650</f>
        <v>-4.6352926028455537</v>
      </c>
      <c r="M650" s="11">
        <f>ABS(L650/$U$6)</f>
        <v>1.3513972603048261E-2</v>
      </c>
      <c r="N650" s="12">
        <f>L650*SIN(RADIANS(K650))</f>
        <v>-3.3343504554421468</v>
      </c>
      <c r="O650" s="12">
        <f>L650*COS(RADIANS(K650))</f>
        <v>-3.2199448060933364</v>
      </c>
      <c r="P650" s="5">
        <v>2.1685672549079502</v>
      </c>
      <c r="Q650" s="5">
        <v>0.59558853899819719</v>
      </c>
      <c r="R650" s="6">
        <f>P650/Q650</f>
        <v>3.6410493367712609</v>
      </c>
    </row>
    <row r="651" spans="1:18" x14ac:dyDescent="0.35">
      <c r="A651" s="9">
        <v>651</v>
      </c>
      <c r="B651" s="5">
        <v>0.1</v>
      </c>
      <c r="C651" s="5">
        <v>6000000</v>
      </c>
      <c r="D651" s="5">
        <v>20</v>
      </c>
      <c r="E651" s="5">
        <v>0.125</v>
      </c>
      <c r="F651" s="5">
        <v>3.5000000000000003E-2</v>
      </c>
      <c r="G651" s="12">
        <f>(C651*$U$4)/($U$5*$U$3)</f>
        <v>88.16326530612244</v>
      </c>
      <c r="H651" s="11">
        <f>G651*COS(RADIANS(D651))</f>
        <v>82.846369832553549</v>
      </c>
      <c r="I651" s="11">
        <f>G651*SIN(RADIANS(D651))</f>
        <v>30.153612636058952</v>
      </c>
      <c r="J651" s="12">
        <v>0.1658</v>
      </c>
      <c r="K651" s="12">
        <v>69</v>
      </c>
      <c r="L651" s="12">
        <f>-(F651*G651*$U$3)/J651</f>
        <v>-18.611063243150095</v>
      </c>
      <c r="M651" s="11">
        <f>ABS(L651/$U$6)</f>
        <v>5.4259659601020686E-2</v>
      </c>
      <c r="N651" s="12">
        <f>L651*SIN(RADIANS(K651))</f>
        <v>-17.374924360106462</v>
      </c>
      <c r="O651" s="12">
        <f>L651*COS(RADIANS(K651))</f>
        <v>-6.6696085733056076</v>
      </c>
      <c r="P651" s="5">
        <v>1.3501183481981855</v>
      </c>
      <c r="Q651" s="5">
        <v>0.69941142474977858</v>
      </c>
      <c r="R651" s="6">
        <f>P651/Q651</f>
        <v>1.9303635891867277</v>
      </c>
    </row>
    <row r="652" spans="1:18" x14ac:dyDescent="0.35">
      <c r="A652" s="9">
        <v>652</v>
      </c>
      <c r="B652" s="5">
        <v>1</v>
      </c>
      <c r="C652" s="5">
        <v>2000000</v>
      </c>
      <c r="D652" s="5">
        <v>15</v>
      </c>
      <c r="E652" s="5">
        <v>0.125</v>
      </c>
      <c r="F652" s="5">
        <v>1.4999999999999999E-2</v>
      </c>
      <c r="G652" s="12">
        <f>(C652*$U$4)/($U$5*$U$3)</f>
        <v>29.387755102040813</v>
      </c>
      <c r="H652" s="11">
        <f>G652*COS(RADIANS(D652))</f>
        <v>28.386391629719554</v>
      </c>
      <c r="I652" s="11">
        <f>G652*SIN(RADIANS(D652))</f>
        <v>7.6061107132169354</v>
      </c>
      <c r="J652" s="11">
        <v>0.33379999999999999</v>
      </c>
      <c r="K652" s="12">
        <v>14</v>
      </c>
      <c r="L652" s="12">
        <f>-(F652*G652*$U$3)/J652</f>
        <v>-1.3206001393966813</v>
      </c>
      <c r="M652" s="11">
        <f>ABS(L652/$U$6)</f>
        <v>3.8501461789990708E-3</v>
      </c>
      <c r="N652" s="12">
        <f>L652*SIN(RADIANS(K652))</f>
        <v>-0.31948208905203057</v>
      </c>
      <c r="O652" s="12">
        <f>L652*COS(RADIANS(K652))</f>
        <v>-1.2813726713760851</v>
      </c>
      <c r="P652" s="5">
        <v>1.8684173205952741</v>
      </c>
      <c r="Q652" s="5">
        <v>1.7538228896131798</v>
      </c>
      <c r="R652" s="6">
        <f>P652/Q652</f>
        <v>1.0653397966583553</v>
      </c>
    </row>
    <row r="653" spans="1:18" x14ac:dyDescent="0.35">
      <c r="A653" s="9">
        <v>653</v>
      </c>
      <c r="B653" s="5">
        <v>1</v>
      </c>
      <c r="C653" s="5">
        <v>4000000</v>
      </c>
      <c r="D653" s="5">
        <v>0</v>
      </c>
      <c r="E653" s="5">
        <v>0.25</v>
      </c>
      <c r="F653" s="5">
        <v>0.15</v>
      </c>
      <c r="G653" s="12">
        <f>(C653*$U$4)/($U$5*$U$3)</f>
        <v>58.775510204081627</v>
      </c>
      <c r="H653" s="11">
        <f>G653*COS(RADIANS(D653))</f>
        <v>58.775510204081627</v>
      </c>
      <c r="I653" s="11">
        <f>G653*SIN(RADIANS(D653))</f>
        <v>0</v>
      </c>
      <c r="J653" s="13">
        <v>0.33379999999999999</v>
      </c>
      <c r="K653" s="12">
        <v>30</v>
      </c>
      <c r="L653" s="12">
        <f>-(F653*G653*$U$3)/J653</f>
        <v>-26.412002787933627</v>
      </c>
      <c r="M653" s="11">
        <f>ABS(L653/$U$6)</f>
        <v>7.7002923579981425E-2</v>
      </c>
      <c r="N653" s="12">
        <f>L653*SIN(RADIANS(K653))</f>
        <v>-13.206001393966812</v>
      </c>
      <c r="O653" s="12">
        <f>L653*COS(RADIANS(K653))</f>
        <v>-22.87346537917594</v>
      </c>
      <c r="P653" s="5">
        <v>4.9535442865142896</v>
      </c>
      <c r="Q653" s="5">
        <v>-0.56980671692942142</v>
      </c>
      <c r="R653" s="6">
        <f>P653/Q653</f>
        <v>-8.6933764368521054</v>
      </c>
    </row>
    <row r="654" spans="1:18" x14ac:dyDescent="0.35">
      <c r="A654" s="9">
        <v>654</v>
      </c>
      <c r="B654" s="5">
        <v>0.25</v>
      </c>
      <c r="C654" s="5">
        <v>4000000</v>
      </c>
      <c r="D654" s="5">
        <v>30</v>
      </c>
      <c r="E654" s="5">
        <v>0.375</v>
      </c>
      <c r="F654" s="5">
        <v>0.1</v>
      </c>
      <c r="G654" s="12">
        <f>(C654*$U$4)/($U$5*$U$3)</f>
        <v>58.775510204081627</v>
      </c>
      <c r="H654" s="11">
        <f>G654*COS(RADIANS(D654))</f>
        <v>50.901084957126187</v>
      </c>
      <c r="I654" s="11">
        <f>G654*SIN(RADIANS(D654))</f>
        <v>29.38775510204081</v>
      </c>
      <c r="J654" s="11">
        <v>0.1976</v>
      </c>
      <c r="K654" s="12">
        <v>78</v>
      </c>
      <c r="L654" s="12">
        <f>-(F654*G654*$U$3)/J654</f>
        <v>-29.744691398826735</v>
      </c>
      <c r="M654" s="11">
        <f>ABS(L654/$U$6)</f>
        <v>8.6719216906200394E-2</v>
      </c>
      <c r="N654" s="12">
        <f>L654*SIN(RADIANS(K654))</f>
        <v>-29.094698526329832</v>
      </c>
      <c r="O654" s="12">
        <f>L654*COS(RADIANS(K654))</f>
        <v>-6.1842690815825332</v>
      </c>
      <c r="P654" s="5">
        <v>2.9501626702224222</v>
      </c>
      <c r="Q654" s="5">
        <v>0.9912155881234499</v>
      </c>
      <c r="R654" s="6">
        <f>P654/Q654</f>
        <v>2.9763077836655221</v>
      </c>
    </row>
    <row r="655" spans="1:18" x14ac:dyDescent="0.35">
      <c r="A655" s="9">
        <v>655</v>
      </c>
      <c r="B655" s="5">
        <v>1</v>
      </c>
      <c r="C655" s="5">
        <v>6000000</v>
      </c>
      <c r="D655" s="5">
        <v>30</v>
      </c>
      <c r="E655" s="5">
        <v>0</v>
      </c>
      <c r="F655" s="5">
        <v>2.5000000000000001E-2</v>
      </c>
      <c r="G655" s="12">
        <f>(C655*$U$4)/($U$5*$U$3)</f>
        <v>88.16326530612244</v>
      </c>
      <c r="H655" s="11">
        <f>G655*COS(RADIANS(D655))</f>
        <v>76.351627435689281</v>
      </c>
      <c r="I655" s="11">
        <f>G655*SIN(RADIANS(D655))</f>
        <v>44.081632653061213</v>
      </c>
      <c r="J655" s="11">
        <v>0.33379999999999999</v>
      </c>
      <c r="K655" s="12">
        <v>0</v>
      </c>
      <c r="L655" s="12">
        <f>-(F655*G655*$U$3)/J655</f>
        <v>-6.6030006969834067</v>
      </c>
      <c r="M655" s="11">
        <f>ABS(L655/$U$6)</f>
        <v>1.9250730894995356E-2</v>
      </c>
      <c r="N655" s="12">
        <f>L655*SIN(RADIANS(K655))</f>
        <v>0</v>
      </c>
      <c r="O655" s="12">
        <f>L655*COS(RADIANS(K655))</f>
        <v>-6.6030006969834067</v>
      </c>
      <c r="P655" s="5">
        <v>2.7366204303396713</v>
      </c>
      <c r="Q655" s="5">
        <v>1.7238532744060506</v>
      </c>
      <c r="R655" s="6">
        <f>P655/Q655</f>
        <v>1.5875019475091736</v>
      </c>
    </row>
    <row r="656" spans="1:18" x14ac:dyDescent="0.35">
      <c r="A656" s="9">
        <v>656</v>
      </c>
      <c r="B656" s="5">
        <v>0.75</v>
      </c>
      <c r="C656" s="5">
        <v>2000000</v>
      </c>
      <c r="D656" s="5">
        <v>30</v>
      </c>
      <c r="E656" s="5">
        <v>0.25</v>
      </c>
      <c r="F656" s="5">
        <v>7.4999999999999997E-2</v>
      </c>
      <c r="G656" s="12">
        <f>(C656*$U$4)/($U$5*$U$3)</f>
        <v>29.387755102040813</v>
      </c>
      <c r="H656" s="11">
        <f>G656*COS(RADIANS(D656))</f>
        <v>25.450542478563094</v>
      </c>
      <c r="I656" s="11">
        <f>G656*SIN(RADIANS(D656))</f>
        <v>14.693877551020405</v>
      </c>
      <c r="J656" s="12">
        <v>0.28370000000000001</v>
      </c>
      <c r="K656" s="11">
        <v>38</v>
      </c>
      <c r="L656" s="12">
        <f>-(F656*G656*$U$3)/J656</f>
        <v>-7.769057570155308</v>
      </c>
      <c r="M656" s="11">
        <f>ABS(L656/$U$6)</f>
        <v>2.2650313615613142E-2</v>
      </c>
      <c r="N656" s="12">
        <f>L656*SIN(RADIANS(K656))</f>
        <v>-4.7831094455317906</v>
      </c>
      <c r="O656" s="12">
        <f>L656*COS(RADIANS(K656))</f>
        <v>-6.1221009106720921</v>
      </c>
      <c r="P656" s="5">
        <v>3.9704069103543755</v>
      </c>
      <c r="Q656" s="5">
        <v>1.2152800495243627</v>
      </c>
      <c r="R656" s="6">
        <f>P656/Q656</f>
        <v>3.2670715790227254</v>
      </c>
    </row>
    <row r="657" spans="1:18" x14ac:dyDescent="0.35">
      <c r="A657" s="9">
        <v>657</v>
      </c>
      <c r="B657" s="5">
        <v>0.75</v>
      </c>
      <c r="C657" s="5">
        <v>2000000</v>
      </c>
      <c r="D657" s="5">
        <v>20</v>
      </c>
      <c r="E657" s="5">
        <v>0.125</v>
      </c>
      <c r="F657" s="5">
        <v>1.4999999999999999E-2</v>
      </c>
      <c r="G657" s="12">
        <f>(C657*$U$4)/($U$5*$U$3)</f>
        <v>29.387755102040813</v>
      </c>
      <c r="H657" s="11">
        <f>G657*COS(RADIANS(D657))</f>
        <v>27.615456610851183</v>
      </c>
      <c r="I657" s="11">
        <f>G657*SIN(RADIANS(D657))</f>
        <v>10.051204212019652</v>
      </c>
      <c r="J657" s="12">
        <v>0.2802</v>
      </c>
      <c r="K657" s="12">
        <v>19</v>
      </c>
      <c r="L657" s="12">
        <f>-(F657*G657*$U$3)/J657</f>
        <v>-1.5732202945417995</v>
      </c>
      <c r="M657" s="11">
        <f>ABS(L657/$U$6)</f>
        <v>4.5866480890431474E-3</v>
      </c>
      <c r="N657" s="12">
        <f>L657*SIN(RADIANS(K657))</f>
        <v>-0.51219042784851809</v>
      </c>
      <c r="O657" s="12">
        <f>L657*COS(RADIANS(K657))</f>
        <v>-1.4875090119990999</v>
      </c>
      <c r="P657" s="5">
        <v>3.6569483794611952</v>
      </c>
      <c r="Q657" s="5">
        <v>1.0563828210067541</v>
      </c>
      <c r="R657" s="6">
        <f>P657/Q657</f>
        <v>3.4617643402947902</v>
      </c>
    </row>
    <row r="658" spans="1:18" x14ac:dyDescent="0.35">
      <c r="A658" s="9">
        <v>658</v>
      </c>
      <c r="B658" s="5">
        <v>0.1</v>
      </c>
      <c r="C658" s="5">
        <v>4000000</v>
      </c>
      <c r="D658" s="5">
        <v>30</v>
      </c>
      <c r="E658" s="5">
        <v>0.125</v>
      </c>
      <c r="F658" s="5">
        <v>2.5000000000000001E-2</v>
      </c>
      <c r="G658" s="12">
        <f>(C658*$U$4)/($U$5*$U$3)</f>
        <v>58.775510204081627</v>
      </c>
      <c r="H658" s="11">
        <f>G658*COS(RADIANS(D658))</f>
        <v>50.901084957126187</v>
      </c>
      <c r="I658" s="11">
        <f>G658*SIN(RADIANS(D658))</f>
        <v>29.38775510204081</v>
      </c>
      <c r="J658" s="12">
        <v>0.1658</v>
      </c>
      <c r="K658" s="12">
        <v>69</v>
      </c>
      <c r="L658" s="12">
        <f>-(F658*G658*$U$3)/J658</f>
        <v>-8.8624110681667112</v>
      </c>
      <c r="M658" s="11">
        <f>ABS(L658/$U$6)</f>
        <v>2.5837933143343182E-2</v>
      </c>
      <c r="N658" s="12">
        <f>L658*SIN(RADIANS(K658))</f>
        <v>-8.2737735048125991</v>
      </c>
      <c r="O658" s="12">
        <f>L658*COS(RADIANS(K658))</f>
        <v>-3.1760040825264797</v>
      </c>
      <c r="P658" s="5">
        <v>1.0195238306292076</v>
      </c>
      <c r="Q658" s="5">
        <v>0.88350147271350687</v>
      </c>
      <c r="R658" s="6">
        <f>P658/Q658</f>
        <v>1.1539582695860529</v>
      </c>
    </row>
    <row r="659" spans="1:18" x14ac:dyDescent="0.35">
      <c r="A659" s="9">
        <v>659</v>
      </c>
      <c r="B659" s="5">
        <v>0.25</v>
      </c>
      <c r="C659" s="5">
        <v>6000000</v>
      </c>
      <c r="D659" s="5">
        <v>5</v>
      </c>
      <c r="E659" s="5">
        <v>0.25</v>
      </c>
      <c r="F659" s="5">
        <v>3.5000000000000003E-2</v>
      </c>
      <c r="G659" s="12">
        <f>(C659*$U$4)/($U$5*$U$3)</f>
        <v>88.16326530612244</v>
      </c>
      <c r="H659" s="11">
        <f>G659*COS(RADIANS(D659))</f>
        <v>87.827777464415107</v>
      </c>
      <c r="I659" s="11">
        <f>G659*SIN(RADIANS(D659))</f>
        <v>7.6839348708139434</v>
      </c>
      <c r="J659" s="12">
        <v>0.1913</v>
      </c>
      <c r="K659" s="11">
        <v>67</v>
      </c>
      <c r="L659" s="12">
        <f>-(F659*G659*$U$3)/J659</f>
        <v>-16.13023672615936</v>
      </c>
      <c r="M659" s="11">
        <f>ABS(L659/$U$6)</f>
        <v>4.702692923078531E-2</v>
      </c>
      <c r="N659" s="12">
        <f>L659*SIN(RADIANS(K659))</f>
        <v>-14.847961193766494</v>
      </c>
      <c r="O659" s="12">
        <f>L659*COS(RADIANS(K659))</f>
        <v>-6.3025855988113744</v>
      </c>
      <c r="P659" s="5">
        <v>2.06120349728412</v>
      </c>
      <c r="Q659" s="5">
        <v>0.25539500806506904</v>
      </c>
      <c r="R659" s="6">
        <f>P659/Q659</f>
        <v>8.0706491207493389</v>
      </c>
    </row>
    <row r="660" spans="1:18" x14ac:dyDescent="0.35">
      <c r="A660" s="9">
        <v>660</v>
      </c>
      <c r="B660" s="5">
        <v>0.5</v>
      </c>
      <c r="C660" s="5">
        <v>2000000</v>
      </c>
      <c r="D660" s="5">
        <v>20</v>
      </c>
      <c r="E660" s="5">
        <v>0.375</v>
      </c>
      <c r="F660" s="5">
        <v>0.1</v>
      </c>
      <c r="G660" s="12">
        <f>(C660*$U$4)/($U$5*$U$3)</f>
        <v>29.387755102040813</v>
      </c>
      <c r="H660" s="11">
        <f>G660*COS(RADIANS(D660))</f>
        <v>27.615456610851183</v>
      </c>
      <c r="I660" s="11">
        <f>G660*SIN(RADIANS(D660))</f>
        <v>10.051204212019652</v>
      </c>
      <c r="J660" s="12">
        <v>0.24809999999999999</v>
      </c>
      <c r="K660" s="12">
        <v>67</v>
      </c>
      <c r="L660" s="12">
        <f>-(F660*G660*$U$3)/J660</f>
        <v>-11.845124990745996</v>
      </c>
      <c r="M660" s="11">
        <f>ABS(L660/$U$6)</f>
        <v>3.4533892101300277E-2</v>
      </c>
      <c r="N660" s="12">
        <f>L660*SIN(RADIANS(K660))</f>
        <v>-10.903495043732482</v>
      </c>
      <c r="O660" s="12">
        <f>L660*COS(RADIANS(K660))</f>
        <v>-4.6282590547306803</v>
      </c>
      <c r="P660" s="5">
        <v>4.3466793833697848</v>
      </c>
      <c r="Q660" s="5">
        <v>0.62838258174020833</v>
      </c>
      <c r="R660" s="6">
        <f>P660/Q660</f>
        <v>6.9172499519835968</v>
      </c>
    </row>
    <row r="661" spans="1:18" x14ac:dyDescent="0.35">
      <c r="A661" s="9">
        <v>661</v>
      </c>
      <c r="B661" s="5">
        <v>0.1</v>
      </c>
      <c r="C661" s="5">
        <v>2000000</v>
      </c>
      <c r="D661" s="5">
        <v>30</v>
      </c>
      <c r="E661" s="5">
        <v>0</v>
      </c>
      <c r="F661" s="5">
        <v>0.05</v>
      </c>
      <c r="G661" s="12">
        <f>(C661*$U$4)/($U$5*$U$3)</f>
        <v>29.387755102040813</v>
      </c>
      <c r="H661" s="11">
        <f>G661*COS(RADIANS(D661))</f>
        <v>25.450542478563094</v>
      </c>
      <c r="I661" s="11">
        <f>G661*SIN(RADIANS(D661))</f>
        <v>14.693877551020405</v>
      </c>
      <c r="J661" s="11">
        <v>0.16569999999999999</v>
      </c>
      <c r="K661" s="12">
        <v>0</v>
      </c>
      <c r="L661" s="12">
        <f>-(F661*G661*$U$3)/J661</f>
        <v>-8.8677595359205839</v>
      </c>
      <c r="M661" s="11">
        <f>ABS(L661/$U$6)</f>
        <v>2.5853526343791788E-2</v>
      </c>
      <c r="N661" s="12">
        <f>L661*SIN(RADIANS(K661))</f>
        <v>0</v>
      </c>
      <c r="O661" s="12">
        <f>L661*COS(RADIANS(K661))</f>
        <v>-8.8677595359205839</v>
      </c>
      <c r="P661" s="5">
        <v>1.4591198070057068</v>
      </c>
      <c r="Q661" s="5">
        <v>0.92884244638537317</v>
      </c>
      <c r="R661" s="6">
        <f>P661/Q661</f>
        <v>1.5709013005208028</v>
      </c>
    </row>
    <row r="662" spans="1:18" x14ac:dyDescent="0.35">
      <c r="A662" s="9">
        <v>662</v>
      </c>
      <c r="B662" s="5">
        <v>0.5</v>
      </c>
      <c r="C662" s="5">
        <v>4000000</v>
      </c>
      <c r="D662" s="5">
        <v>20</v>
      </c>
      <c r="E662" s="5">
        <v>0</v>
      </c>
      <c r="F662" s="5">
        <v>7.4999999999999997E-2</v>
      </c>
      <c r="G662" s="12">
        <f>(C662*$U$4)/($U$5*$U$3)</f>
        <v>58.775510204081627</v>
      </c>
      <c r="H662" s="11">
        <f>G662*COS(RADIANS(D662))</f>
        <v>55.230913221702366</v>
      </c>
      <c r="I662" s="11">
        <f>G662*SIN(RADIANS(D662))</f>
        <v>20.102408424039304</v>
      </c>
      <c r="J662" s="12">
        <v>0.23230000000000001</v>
      </c>
      <c r="K662" s="12">
        <v>0</v>
      </c>
      <c r="L662" s="12">
        <f>-(F662*G662*$U$3)/J662</f>
        <v>-18.976165584615249</v>
      </c>
      <c r="M662" s="11">
        <f>ABS(L662/$U$6)</f>
        <v>5.532409791433017E-2</v>
      </c>
      <c r="N662" s="12">
        <f>L662*SIN(RADIANS(K662))</f>
        <v>0</v>
      </c>
      <c r="O662" s="12">
        <f>L662*COS(RADIANS(K662))</f>
        <v>-18.976165584615249</v>
      </c>
      <c r="P662" s="5">
        <v>4.4741984991018837</v>
      </c>
      <c r="Q662" s="5">
        <v>1.0844950108792848</v>
      </c>
      <c r="R662" s="6">
        <f>P662/Q662</f>
        <v>4.1256054239238056</v>
      </c>
    </row>
    <row r="663" spans="1:18" x14ac:dyDescent="0.35">
      <c r="A663" s="9">
        <v>663</v>
      </c>
      <c r="B663" s="5">
        <v>0.1</v>
      </c>
      <c r="C663" s="5">
        <v>2000000</v>
      </c>
      <c r="D663" s="5">
        <v>10</v>
      </c>
      <c r="E663" s="5">
        <v>0.25</v>
      </c>
      <c r="F663" s="5">
        <v>0.05</v>
      </c>
      <c r="G663" s="12">
        <f>(C663*$U$4)/($U$5*$U$3)</f>
        <v>29.387755102040813</v>
      </c>
      <c r="H663" s="11">
        <f>G663*COS(RADIANS(D663))</f>
        <v>28.941289068113864</v>
      </c>
      <c r="I663" s="11">
        <f>G663*SIN(RADIANS(D663))</f>
        <v>5.1031301191914213</v>
      </c>
      <c r="J663" s="11">
        <v>0.1661</v>
      </c>
      <c r="K663" s="12">
        <v>80</v>
      </c>
      <c r="L663" s="12">
        <f>-(F663*G663*$U$3)/J663</f>
        <v>-8.8464043052500951</v>
      </c>
      <c r="M663" s="11">
        <f>ABS(L663/$U$6)</f>
        <v>2.5791266196064418E-2</v>
      </c>
      <c r="N663" s="12">
        <f>L663*SIN(RADIANS(K663))</f>
        <v>-8.7120075460908701</v>
      </c>
      <c r="O663" s="12">
        <f>L663*COS(RADIANS(K663))</f>
        <v>-1.5361619865115665</v>
      </c>
      <c r="P663" s="5">
        <v>1.6968021050213347</v>
      </c>
      <c r="Q663" s="5">
        <v>0.49287585078193402</v>
      </c>
      <c r="R663" s="6">
        <f>P663/Q663</f>
        <v>3.4426562030365346</v>
      </c>
    </row>
    <row r="664" spans="1:18" x14ac:dyDescent="0.35">
      <c r="A664" s="9">
        <v>664</v>
      </c>
      <c r="B664" s="5">
        <v>0.25</v>
      </c>
      <c r="C664" s="5">
        <v>2000000</v>
      </c>
      <c r="D664" s="5">
        <v>10</v>
      </c>
      <c r="E664" s="5">
        <v>0</v>
      </c>
      <c r="F664" s="5">
        <v>7.4999999999999997E-2</v>
      </c>
      <c r="G664" s="12">
        <f>(C664*$U$4)/($U$5*$U$3)</f>
        <v>29.387755102040813</v>
      </c>
      <c r="H664" s="11">
        <f>G664*COS(RADIANS(D664))</f>
        <v>28.941289068113864</v>
      </c>
      <c r="I664" s="11">
        <f>G664*SIN(RADIANS(D664))</f>
        <v>5.1031301191914213</v>
      </c>
      <c r="J664" s="12">
        <v>0.18990000000000001</v>
      </c>
      <c r="K664" s="12">
        <v>0</v>
      </c>
      <c r="L664" s="12">
        <f>-(F664*G664*$U$3)/J664</f>
        <v>-11.606538349937129</v>
      </c>
      <c r="M664" s="11">
        <f>ABS(L664/$U$6)</f>
        <v>3.3838304227221949E-2</v>
      </c>
      <c r="N664" s="12">
        <f>L664*SIN(RADIANS(K664))</f>
        <v>0</v>
      </c>
      <c r="O664" s="12">
        <f>L664*COS(RADIANS(K664))</f>
        <v>-11.606538349937129</v>
      </c>
      <c r="P664" s="5">
        <v>2.4011978974652104</v>
      </c>
      <c r="Q664" s="5">
        <v>0.37454817592751882</v>
      </c>
      <c r="R664" s="6">
        <f>P664/Q664</f>
        <v>6.4109186796036655</v>
      </c>
    </row>
    <row r="665" spans="1:18" x14ac:dyDescent="0.35">
      <c r="A665" s="9">
        <v>665</v>
      </c>
      <c r="B665" s="5">
        <v>0.75</v>
      </c>
      <c r="C665" s="5">
        <v>2000000</v>
      </c>
      <c r="D665" s="5">
        <v>20</v>
      </c>
      <c r="E665" s="5">
        <v>0.25</v>
      </c>
      <c r="F665" s="5">
        <v>1.4999999999999999E-2</v>
      </c>
      <c r="G665" s="12">
        <f>(C665*$U$4)/($U$5*$U$3)</f>
        <v>29.387755102040813</v>
      </c>
      <c r="H665" s="11">
        <f>G665*COS(RADIANS(D665))</f>
        <v>27.615456610851183</v>
      </c>
      <c r="I665" s="11">
        <f>G665*SIN(RADIANS(D665))</f>
        <v>10.051204212019652</v>
      </c>
      <c r="J665" s="12">
        <v>0.28370000000000001</v>
      </c>
      <c r="K665" s="11">
        <v>38</v>
      </c>
      <c r="L665" s="12">
        <f>-(F665*G665*$U$3)/J665</f>
        <v>-1.5538115140310615</v>
      </c>
      <c r="M665" s="11">
        <f>ABS(L665/$U$6)</f>
        <v>4.5300627231226282E-3</v>
      </c>
      <c r="N665" s="12">
        <f>L665*SIN(RADIANS(K665))</f>
        <v>-0.95662188910635815</v>
      </c>
      <c r="O665" s="12">
        <f>L665*COS(RADIANS(K665))</f>
        <v>-1.2244201821344183</v>
      </c>
      <c r="P665" s="5">
        <v>4.3261532924036343</v>
      </c>
      <c r="Q665" s="5">
        <v>0.86001091416494013</v>
      </c>
      <c r="R665" s="6">
        <f>P665/Q665</f>
        <v>5.0303469655431936</v>
      </c>
    </row>
    <row r="666" spans="1:18" x14ac:dyDescent="0.35">
      <c r="A666" s="9">
        <v>666</v>
      </c>
      <c r="B666" s="5">
        <v>0.5</v>
      </c>
      <c r="C666" s="5">
        <v>6000000</v>
      </c>
      <c r="D666" s="5">
        <v>30</v>
      </c>
      <c r="E666" s="5">
        <v>0.25</v>
      </c>
      <c r="F666" s="5">
        <v>7.4999999999999997E-2</v>
      </c>
      <c r="G666" s="12">
        <f>(C666*$U$4)/($U$5*$U$3)</f>
        <v>88.16326530612244</v>
      </c>
      <c r="H666" s="11">
        <f>G666*COS(RADIANS(D666))</f>
        <v>76.351627435689281</v>
      </c>
      <c r="I666" s="11">
        <f>G666*SIN(RADIANS(D666))</f>
        <v>44.081632653061213</v>
      </c>
      <c r="J666" s="11">
        <v>0.23580000000000001</v>
      </c>
      <c r="K666" s="11">
        <v>49</v>
      </c>
      <c r="L666" s="12">
        <f>-(F666*G666*$U$3)/J666</f>
        <v>-28.041751051565662</v>
      </c>
      <c r="M666" s="11">
        <f>ABS(L666/$U$6)</f>
        <v>8.175437624363166E-2</v>
      </c>
      <c r="N666" s="12">
        <f>L666*SIN(RADIANS(K666))</f>
        <v>-21.163378164838598</v>
      </c>
      <c r="O666" s="12">
        <f>L666*COS(RADIANS(K666))</f>
        <v>-18.397043966083704</v>
      </c>
      <c r="P666" s="5">
        <v>4.4607301041902963</v>
      </c>
      <c r="Q666" s="5">
        <v>1.3269163285745087</v>
      </c>
      <c r="R666" s="6">
        <f>P666/Q666</f>
        <v>3.3617267405115201</v>
      </c>
    </row>
    <row r="667" spans="1:18" x14ac:dyDescent="0.35">
      <c r="A667" s="9">
        <v>1681</v>
      </c>
      <c r="B667" s="5">
        <v>0.1</v>
      </c>
      <c r="C667" s="5">
        <v>6000000</v>
      </c>
      <c r="D667" s="5">
        <v>20</v>
      </c>
      <c r="E667" s="5">
        <v>0.25</v>
      </c>
      <c r="F667" s="5">
        <v>0.1</v>
      </c>
      <c r="G667" s="12">
        <f>(C667*$U$4)/($U$5*$U$3)</f>
        <v>88.16326530612244</v>
      </c>
      <c r="H667" s="11">
        <f>G667*COS(RADIANS(D667))</f>
        <v>82.846369832553549</v>
      </c>
      <c r="I667" s="11">
        <f>G667*SIN(RADIANS(D667))</f>
        <v>30.153612636058952</v>
      </c>
      <c r="J667" s="11">
        <v>0.1661</v>
      </c>
      <c r="K667" s="12">
        <v>80</v>
      </c>
      <c r="L667" s="12">
        <f>-(F667*G667*$U$3)/J667</f>
        <v>-53.078425831500567</v>
      </c>
      <c r="M667" s="11">
        <f>ABS(L667/$U$6)</f>
        <v>0.1547475971763865</v>
      </c>
      <c r="N667" s="12">
        <f>L667*SIN(RADIANS(K667))</f>
        <v>-52.272045276545214</v>
      </c>
      <c r="O667" s="12">
        <f>L667*COS(RADIANS(K667))</f>
        <v>-9.2169719190693993</v>
      </c>
      <c r="P667" s="5">
        <v>1.8143734115683092</v>
      </c>
      <c r="Q667" s="5">
        <v>0.83937477845470443</v>
      </c>
      <c r="R667" s="6">
        <f>P667/Q667</f>
        <v>2.1615772336030692</v>
      </c>
    </row>
    <row r="668" spans="1:18" x14ac:dyDescent="0.35">
      <c r="A668" s="9">
        <v>1741</v>
      </c>
      <c r="B668" s="5">
        <v>0.1</v>
      </c>
      <c r="C668" s="5">
        <v>6000000</v>
      </c>
      <c r="D668" s="5">
        <v>15</v>
      </c>
      <c r="E668" s="5">
        <v>0.25</v>
      </c>
      <c r="F668" s="5">
        <v>0.1</v>
      </c>
      <c r="G668" s="12">
        <f>(C668*$U$4)/($U$5*$U$3)</f>
        <v>88.16326530612244</v>
      </c>
      <c r="H668" s="11">
        <f>G668*COS(RADIANS(D668))</f>
        <v>85.159174889158663</v>
      </c>
      <c r="I668" s="11">
        <f>G668*SIN(RADIANS(D668))</f>
        <v>22.818332139650806</v>
      </c>
      <c r="J668" s="11">
        <v>0.1661</v>
      </c>
      <c r="K668" s="19">
        <v>80</v>
      </c>
      <c r="L668" s="12">
        <f>-(F668*G668*$U$3)/J668</f>
        <v>-53.078425831500567</v>
      </c>
      <c r="M668" s="11">
        <f>ABS(L668/$U$6)</f>
        <v>0.1547475971763865</v>
      </c>
      <c r="N668" s="12">
        <f>L668*SIN(RADIANS(K668))</f>
        <v>-52.272045276545214</v>
      </c>
      <c r="O668" s="12">
        <f>L668*COS(RADIANS(K668))</f>
        <v>-9.2169719190693993</v>
      </c>
      <c r="P668" s="5">
        <v>1.8982024527155974</v>
      </c>
      <c r="Q668" s="5">
        <v>0.67298638275424216</v>
      </c>
      <c r="R668" s="6">
        <f>P668/Q668</f>
        <v>2.8205659153860974</v>
      </c>
    </row>
    <row r="669" spans="1:18" x14ac:dyDescent="0.35">
      <c r="A669" s="9">
        <v>669</v>
      </c>
      <c r="B669" s="5">
        <v>0.1</v>
      </c>
      <c r="C669" s="5">
        <v>2000000</v>
      </c>
      <c r="D669" s="5">
        <v>15</v>
      </c>
      <c r="E669" s="5">
        <v>0.125</v>
      </c>
      <c r="F669" s="5">
        <v>0</v>
      </c>
      <c r="G669" s="12">
        <f>(C669*$U$4)/($U$5*$U$3)</f>
        <v>29.387755102040813</v>
      </c>
      <c r="H669" s="11">
        <f>G669*COS(RADIANS(D669))</f>
        <v>28.386391629719554</v>
      </c>
      <c r="I669" s="11">
        <f>G669*SIN(RADIANS(D669))</f>
        <v>7.6061107132169354</v>
      </c>
      <c r="J669" s="12">
        <v>0.1658</v>
      </c>
      <c r="K669" s="12">
        <v>69</v>
      </c>
      <c r="L669" s="12">
        <f>-(F669*G669*$U$3)/J669</f>
        <v>0</v>
      </c>
      <c r="M669" s="11">
        <f>ABS(L669/$U$6)</f>
        <v>0</v>
      </c>
      <c r="N669" s="12">
        <f>L669*SIN(RADIANS(K669))</f>
        <v>0</v>
      </c>
      <c r="O669" s="12">
        <f>L669*COS(RADIANS(K669))</f>
        <v>0</v>
      </c>
      <c r="P669" s="5">
        <v>1.3471149022718774</v>
      </c>
      <c r="Q669" s="5">
        <v>0.60131367811968206</v>
      </c>
      <c r="R669" s="6">
        <f>P669/Q669</f>
        <v>2.2402864782393248</v>
      </c>
    </row>
    <row r="670" spans="1:18" x14ac:dyDescent="0.35">
      <c r="A670" s="9">
        <v>670</v>
      </c>
      <c r="B670" s="5">
        <v>0.5</v>
      </c>
      <c r="C670" s="5">
        <v>4000000</v>
      </c>
      <c r="D670" s="5">
        <v>15</v>
      </c>
      <c r="E670" s="5">
        <v>0.375</v>
      </c>
      <c r="F670" s="5">
        <v>0</v>
      </c>
      <c r="G670" s="12">
        <f>(C670*$U$4)/($U$5*$U$3)</f>
        <v>58.775510204081627</v>
      </c>
      <c r="H670" s="11">
        <f>G670*COS(RADIANS(D670))</f>
        <v>56.772783259439109</v>
      </c>
      <c r="I670" s="11">
        <f>G670*SIN(RADIANS(D670))</f>
        <v>15.212221426433871</v>
      </c>
      <c r="J670" s="12">
        <v>0.24809999999999999</v>
      </c>
      <c r="K670" s="12">
        <v>67</v>
      </c>
      <c r="L670" s="12">
        <f>-(F670*G670*$U$3)/J670</f>
        <v>0</v>
      </c>
      <c r="M670" s="11">
        <f>ABS(L670/$U$6)</f>
        <v>0</v>
      </c>
      <c r="N670" s="12">
        <f>L670*SIN(RADIANS(K670))</f>
        <v>0</v>
      </c>
      <c r="O670" s="12">
        <f>L670*COS(RADIANS(K670))</f>
        <v>0</v>
      </c>
      <c r="P670" s="5">
        <v>4.0701029695933268</v>
      </c>
      <c r="Q670" s="5">
        <v>1.0920840857827825</v>
      </c>
      <c r="R670" s="6">
        <f>P670/Q670</f>
        <v>3.7269135431782838</v>
      </c>
    </row>
    <row r="671" spans="1:18" x14ac:dyDescent="0.35">
      <c r="A671" s="9">
        <v>671</v>
      </c>
      <c r="B671" s="5">
        <v>0.5</v>
      </c>
      <c r="C671" s="5">
        <v>6000000</v>
      </c>
      <c r="D671" s="5">
        <v>30</v>
      </c>
      <c r="E671" s="5">
        <v>0.125</v>
      </c>
      <c r="F671" s="5">
        <v>7.4999999999999997E-2</v>
      </c>
      <c r="G671" s="12">
        <f>(C671*$U$4)/($U$5*$U$3)</f>
        <v>88.16326530612244</v>
      </c>
      <c r="H671" s="11">
        <f>G671*COS(RADIANS(D671))</f>
        <v>76.351627435689281</v>
      </c>
      <c r="I671" s="11">
        <f>G671*SIN(RADIANS(D671))</f>
        <v>44.081632653061213</v>
      </c>
      <c r="J671" s="12">
        <v>0.23300000000000001</v>
      </c>
      <c r="K671" s="11">
        <v>27</v>
      </c>
      <c r="L671" s="12">
        <f>-(F671*G671*$U$3)/J671</f>
        <v>-28.378733467635978</v>
      </c>
      <c r="M671" s="11">
        <f>ABS(L671/$U$6)</f>
        <v>8.273683226716029E-2</v>
      </c>
      <c r="N671" s="12">
        <f>L671*SIN(RADIANS(K671))</f>
        <v>-12.883675388947458</v>
      </c>
      <c r="O671" s="12">
        <f>L671*COS(RADIANS(K671))</f>
        <v>-25.285636667866441</v>
      </c>
      <c r="P671" s="5">
        <v>3.806294406062801</v>
      </c>
      <c r="Q671" s="5">
        <v>1.3009645173258264</v>
      </c>
      <c r="R671" s="6">
        <f>P671/Q671</f>
        <v>2.9257480549021886</v>
      </c>
    </row>
    <row r="672" spans="1:18" x14ac:dyDescent="0.35">
      <c r="A672" s="9">
        <v>672</v>
      </c>
      <c r="B672" s="5">
        <v>0.75</v>
      </c>
      <c r="C672" s="5">
        <v>6000000</v>
      </c>
      <c r="D672" s="5">
        <v>20</v>
      </c>
      <c r="E672" s="5">
        <v>0</v>
      </c>
      <c r="F672" s="5">
        <v>3.5000000000000003E-2</v>
      </c>
      <c r="G672" s="12">
        <f>(C672*$U$4)/($U$5*$U$3)</f>
        <v>88.16326530612244</v>
      </c>
      <c r="H672" s="11">
        <f>G672*COS(RADIANS(D672))</f>
        <v>82.846369832553549</v>
      </c>
      <c r="I672" s="11">
        <f>G672*SIN(RADIANS(D672))</f>
        <v>30.153612636058952</v>
      </c>
      <c r="J672" s="11">
        <v>0.27929999999999999</v>
      </c>
      <c r="K672" s="12">
        <v>0</v>
      </c>
      <c r="L672" s="12">
        <f>-(F672*G672*$U$3)/J672</f>
        <v>-11.048028233849932</v>
      </c>
      <c r="M672" s="11">
        <f>ABS(L672/$U$6)</f>
        <v>3.2209994850874439E-2</v>
      </c>
      <c r="N672" s="12">
        <f>L672*SIN(RADIANS(K672))</f>
        <v>0</v>
      </c>
      <c r="O672" s="12">
        <f>L672*COS(RADIANS(K672))</f>
        <v>-11.048028233849932</v>
      </c>
      <c r="P672" s="5">
        <v>4.4520931725120976</v>
      </c>
      <c r="Q672" s="5">
        <v>1.2834576243585059</v>
      </c>
      <c r="R672" s="6">
        <f>P672/Q672</f>
        <v>3.4688275545811886</v>
      </c>
    </row>
    <row r="673" spans="1:18" x14ac:dyDescent="0.35">
      <c r="A673" s="9">
        <v>673</v>
      </c>
      <c r="B673" s="5">
        <v>0.5</v>
      </c>
      <c r="C673" s="5">
        <v>2000000</v>
      </c>
      <c r="D673" s="5">
        <v>5</v>
      </c>
      <c r="E673" s="5">
        <v>0.25</v>
      </c>
      <c r="F673" s="5">
        <v>0</v>
      </c>
      <c r="G673" s="12">
        <f>(C673*$U$4)/($U$5*$U$3)</f>
        <v>29.387755102040813</v>
      </c>
      <c r="H673" s="11">
        <f>G673*COS(RADIANS(D673))</f>
        <v>29.275925821471702</v>
      </c>
      <c r="I673" s="11">
        <f>G673*SIN(RADIANS(D673))</f>
        <v>2.5613116236046478</v>
      </c>
      <c r="J673" s="11">
        <v>0.23580000000000001</v>
      </c>
      <c r="K673" s="11">
        <v>49</v>
      </c>
      <c r="L673" s="12">
        <f>-(F673*G673*$U$3)/J673</f>
        <v>0</v>
      </c>
      <c r="M673" s="11">
        <f>ABS(L673/$U$6)</f>
        <v>0</v>
      </c>
      <c r="N673" s="12">
        <f>L673*SIN(RADIANS(K673))</f>
        <v>0</v>
      </c>
      <c r="O673" s="12">
        <f>L673*COS(RADIANS(K673))</f>
        <v>0</v>
      </c>
      <c r="P673" s="5">
        <v>4.3131498072710093</v>
      </c>
      <c r="Q673" s="5">
        <v>0.62127427797997115</v>
      </c>
      <c r="R673" s="6">
        <f>P673/Q673</f>
        <v>6.9424245621352734</v>
      </c>
    </row>
    <row r="674" spans="1:18" x14ac:dyDescent="0.35">
      <c r="A674" s="9">
        <v>674</v>
      </c>
      <c r="B674" s="5">
        <v>1</v>
      </c>
      <c r="C674" s="5">
        <v>4000000</v>
      </c>
      <c r="D674" s="5">
        <v>5</v>
      </c>
      <c r="E674" s="5">
        <v>0.375</v>
      </c>
      <c r="F674" s="5">
        <v>0.1</v>
      </c>
      <c r="G674" s="12">
        <f>(C674*$U$4)/($U$5*$U$3)</f>
        <v>58.775510204081627</v>
      </c>
      <c r="H674" s="11">
        <f>G674*COS(RADIANS(D674))</f>
        <v>58.551851642943404</v>
      </c>
      <c r="I674" s="11">
        <f>G674*SIN(RADIANS(D674))</f>
        <v>5.1226232472092956</v>
      </c>
      <c r="J674" s="12">
        <v>0.33379999999999999</v>
      </c>
      <c r="K674" s="11">
        <v>49</v>
      </c>
      <c r="L674" s="12">
        <f>-(F674*G674*$U$3)/J674</f>
        <v>-17.608001858622419</v>
      </c>
      <c r="M674" s="11">
        <f>ABS(L674/$U$6)</f>
        <v>5.1335282386654281E-2</v>
      </c>
      <c r="N674" s="12">
        <f>L674*SIN(RADIANS(K674))</f>
        <v>-13.288927691282716</v>
      </c>
      <c r="O674" s="12">
        <f>L674*COS(RADIANS(K674))</f>
        <v>-11.551888601830871</v>
      </c>
      <c r="P674" s="5">
        <v>6.3576794608698313</v>
      </c>
      <c r="Q674" s="5">
        <v>-0.60443722749215256</v>
      </c>
      <c r="R674" s="6">
        <f>P674/Q674</f>
        <v>-10.51834528334437</v>
      </c>
    </row>
    <row r="675" spans="1:18" x14ac:dyDescent="0.35">
      <c r="A675" s="9">
        <v>675</v>
      </c>
      <c r="B675" s="5">
        <v>0.25</v>
      </c>
      <c r="C675" s="5">
        <v>6000000</v>
      </c>
      <c r="D675" s="5">
        <v>10</v>
      </c>
      <c r="E675" s="5">
        <v>0.375</v>
      </c>
      <c r="F675" s="5">
        <v>2.5000000000000001E-2</v>
      </c>
      <c r="G675" s="12">
        <f>(C675*$U$4)/($U$5*$U$3)</f>
        <v>88.16326530612244</v>
      </c>
      <c r="H675" s="11">
        <f>G675*COS(RADIANS(D675))</f>
        <v>86.823867204341596</v>
      </c>
      <c r="I675" s="11">
        <f>G675*SIN(RADIANS(D675))</f>
        <v>15.309390357574264</v>
      </c>
      <c r="J675" s="11">
        <v>0.1976</v>
      </c>
      <c r="K675" s="12">
        <v>78</v>
      </c>
      <c r="L675" s="12">
        <f>-(F675*G675*$U$3)/J675</f>
        <v>-11.154259274560026</v>
      </c>
      <c r="M675" s="11">
        <f>ABS(L675/$U$6)</f>
        <v>3.251970633982515E-2</v>
      </c>
      <c r="N675" s="12">
        <f>L675*SIN(RADIANS(K675))</f>
        <v>-10.910511947373688</v>
      </c>
      <c r="O675" s="12">
        <f>L675*COS(RADIANS(K675))</f>
        <v>-2.3191009055934502</v>
      </c>
      <c r="P675" s="5">
        <v>2.2342889808894379</v>
      </c>
      <c r="Q675" s="5">
        <v>0.47447318884802386</v>
      </c>
      <c r="R675" s="6">
        <f>P675/Q675</f>
        <v>4.708988902648179</v>
      </c>
    </row>
    <row r="676" spans="1:18" x14ac:dyDescent="0.35">
      <c r="A676" s="9">
        <v>676</v>
      </c>
      <c r="B676" s="5">
        <v>0.1</v>
      </c>
      <c r="C676" s="5">
        <v>2000000</v>
      </c>
      <c r="D676" s="5">
        <v>0</v>
      </c>
      <c r="E676" s="5">
        <v>0.125</v>
      </c>
      <c r="F676" s="5">
        <v>3.5000000000000003E-2</v>
      </c>
      <c r="G676" s="12">
        <f>(C676*$U$4)/($U$5*$U$3)</f>
        <v>29.387755102040813</v>
      </c>
      <c r="H676" s="11">
        <f>G676*COS(RADIANS(D676))</f>
        <v>29.387755102040813</v>
      </c>
      <c r="I676" s="11">
        <f>G676*SIN(RADIANS(D676))</f>
        <v>0</v>
      </c>
      <c r="J676" s="12">
        <v>0.1658</v>
      </c>
      <c r="K676" s="12">
        <v>69</v>
      </c>
      <c r="L676" s="12">
        <f>-(F676*G676*$U$3)/J676</f>
        <v>-6.2036877477166978</v>
      </c>
      <c r="M676" s="11">
        <f>ABS(L676/$U$6)</f>
        <v>1.8086553200340225E-2</v>
      </c>
      <c r="N676" s="12">
        <f>L676*SIN(RADIANS(K676))</f>
        <v>-5.7916414533688201</v>
      </c>
      <c r="O676" s="12">
        <f>L676*COS(RADIANS(K676))</f>
        <v>-2.2232028577685359</v>
      </c>
      <c r="P676" s="5">
        <v>1.2498750578173867</v>
      </c>
      <c r="Q676" s="5">
        <v>0.2372287323433028</v>
      </c>
      <c r="R676" s="6">
        <f>P676/Q676</f>
        <v>5.2686495664810309</v>
      </c>
    </row>
    <row r="677" spans="1:18" x14ac:dyDescent="0.35">
      <c r="A677" s="9">
        <v>677</v>
      </c>
      <c r="B677" s="5">
        <v>0.75</v>
      </c>
      <c r="C677" s="5">
        <v>4000000</v>
      </c>
      <c r="D677" s="5">
        <v>0</v>
      </c>
      <c r="E677" s="5">
        <v>0</v>
      </c>
      <c r="F677" s="5">
        <v>7.4999999999999997E-2</v>
      </c>
      <c r="G677" s="12">
        <f>(C677*$U$4)/($U$5*$U$3)</f>
        <v>58.775510204081627</v>
      </c>
      <c r="H677" s="11">
        <f>G677*COS(RADIANS(D677))</f>
        <v>58.775510204081627</v>
      </c>
      <c r="I677" s="11">
        <f>G677*SIN(RADIANS(D677))</f>
        <v>0</v>
      </c>
      <c r="J677" s="11">
        <v>0.27929999999999999</v>
      </c>
      <c r="K677" s="12">
        <v>0</v>
      </c>
      <c r="L677" s="12">
        <f>-(F677*G677*$U$3)/J677</f>
        <v>-15.782897476928472</v>
      </c>
      <c r="M677" s="11">
        <f>ABS(L677/$U$6)</f>
        <v>4.6014278358392044E-2</v>
      </c>
      <c r="N677" s="12">
        <f>L677*SIN(RADIANS(K677))</f>
        <v>0</v>
      </c>
      <c r="O677" s="12">
        <f>L677*COS(RADIANS(K677))</f>
        <v>-15.782897476928472</v>
      </c>
      <c r="P677" s="5">
        <v>2.8177767794039652</v>
      </c>
      <c r="Q677" s="5">
        <v>0.72909429419798999</v>
      </c>
      <c r="R677" s="6">
        <f>P677/Q677</f>
        <v>3.8647631751165243</v>
      </c>
    </row>
    <row r="678" spans="1:18" x14ac:dyDescent="0.35">
      <c r="A678" s="9">
        <v>678</v>
      </c>
      <c r="B678" s="5">
        <v>0.1</v>
      </c>
      <c r="C678" s="5">
        <v>2000000</v>
      </c>
      <c r="D678" s="5">
        <v>20</v>
      </c>
      <c r="E678" s="5">
        <v>0.375</v>
      </c>
      <c r="F678" s="5">
        <v>2.5000000000000001E-2</v>
      </c>
      <c r="G678" s="12">
        <f>(C678*$U$4)/($U$5*$U$3)</f>
        <v>29.387755102040813</v>
      </c>
      <c r="H678" s="11">
        <f>G678*COS(RADIANS(D678))</f>
        <v>27.615456610851183</v>
      </c>
      <c r="I678" s="11">
        <f>G678*SIN(RADIANS(D678))</f>
        <v>10.051204212019652</v>
      </c>
      <c r="J678" s="12">
        <v>0.16789999999999999</v>
      </c>
      <c r="K678" s="11">
        <v>85</v>
      </c>
      <c r="L678" s="12">
        <f>-(F678*G678*$U$3)/J678</f>
        <v>-4.3757824749911878</v>
      </c>
      <c r="M678" s="11">
        <f>ABS(L678/$U$6)</f>
        <v>1.2757383309012209E-2</v>
      </c>
      <c r="N678" s="12">
        <f>L678*SIN(RADIANS(K678))</f>
        <v>-4.359131301588997</v>
      </c>
      <c r="O678" s="12">
        <f>L678*COS(RADIANS(K678))</f>
        <v>-0.3813745717100428</v>
      </c>
      <c r="P678" s="5">
        <v>1.7755494591000691</v>
      </c>
      <c r="Q678" s="5">
        <v>0.85513355072952058</v>
      </c>
      <c r="R678" s="6">
        <f>P678/Q678</f>
        <v>2.0763417101168993</v>
      </c>
    </row>
    <row r="679" spans="1:18" x14ac:dyDescent="0.35">
      <c r="A679" s="9">
        <v>679</v>
      </c>
      <c r="B679" s="5">
        <v>0.5</v>
      </c>
      <c r="C679" s="5">
        <v>4000000</v>
      </c>
      <c r="D679" s="5">
        <v>20</v>
      </c>
      <c r="E679" s="5">
        <v>0.25</v>
      </c>
      <c r="F679" s="5">
        <v>3.5000000000000003E-2</v>
      </c>
      <c r="G679" s="12">
        <f>(C679*$U$4)/($U$5*$U$3)</f>
        <v>58.775510204081627</v>
      </c>
      <c r="H679" s="11">
        <f>G679*COS(RADIANS(D679))</f>
        <v>55.230913221702366</v>
      </c>
      <c r="I679" s="11">
        <f>G679*SIN(RADIANS(D679))</f>
        <v>20.102408424039304</v>
      </c>
      <c r="J679" s="11">
        <v>0.23580000000000001</v>
      </c>
      <c r="K679" s="11">
        <v>49</v>
      </c>
      <c r="L679" s="12">
        <f>-(F679*G679*$U$3)/J679</f>
        <v>-8.7241003271537618</v>
      </c>
      <c r="M679" s="11">
        <f>ABS(L679/$U$6)</f>
        <v>2.5434694831352075E-2</v>
      </c>
      <c r="N679" s="12">
        <f>L679*SIN(RADIANS(K679))</f>
        <v>-6.5841620957275637</v>
      </c>
      <c r="O679" s="12">
        <f>L679*COS(RADIANS(K679))</f>
        <v>-5.7235247894482635</v>
      </c>
      <c r="P679" s="5">
        <v>2.8772681325435832</v>
      </c>
      <c r="Q679" s="5">
        <v>0.722994678249129</v>
      </c>
      <c r="R679" s="6">
        <f>P679/Q679</f>
        <v>3.9796532659292079</v>
      </c>
    </row>
    <row r="680" spans="1:18" x14ac:dyDescent="0.35">
      <c r="A680" s="9">
        <v>680</v>
      </c>
      <c r="B680" s="5">
        <v>0.25</v>
      </c>
      <c r="C680" s="5">
        <v>6000000</v>
      </c>
      <c r="D680" s="5">
        <v>0</v>
      </c>
      <c r="E680" s="5">
        <v>0.25</v>
      </c>
      <c r="F680" s="5">
        <v>0.05</v>
      </c>
      <c r="G680" s="12">
        <f>(C680*$U$4)/($U$5*$U$3)</f>
        <v>88.16326530612244</v>
      </c>
      <c r="H680" s="11">
        <f>G680*COS(RADIANS(D680))</f>
        <v>88.16326530612244</v>
      </c>
      <c r="I680" s="11">
        <f>G680*SIN(RADIANS(D680))</f>
        <v>0</v>
      </c>
      <c r="J680" s="12">
        <v>0.1913</v>
      </c>
      <c r="K680" s="11">
        <v>67</v>
      </c>
      <c r="L680" s="12">
        <f>-(F680*G680*$U$3)/J680</f>
        <v>-23.043195323084799</v>
      </c>
      <c r="M680" s="11">
        <f>ABS(L680/$U$6)</f>
        <v>6.7181327472550428E-2</v>
      </c>
      <c r="N680" s="12">
        <f>L680*SIN(RADIANS(K680))</f>
        <v>-21.211373133952133</v>
      </c>
      <c r="O680" s="12">
        <f>L680*COS(RADIANS(K680))</f>
        <v>-9.0036937125876779</v>
      </c>
      <c r="P680" s="5">
        <v>1.9923360898165523</v>
      </c>
      <c r="Q680" s="5">
        <v>0.12882451899874259</v>
      </c>
      <c r="R680" s="6">
        <f>P680/Q680</f>
        <v>15.465503813260881</v>
      </c>
    </row>
    <row r="681" spans="1:18" x14ac:dyDescent="0.35">
      <c r="A681" s="9">
        <v>681</v>
      </c>
      <c r="B681" s="5">
        <v>0.75</v>
      </c>
      <c r="C681" s="5">
        <v>2000000</v>
      </c>
      <c r="D681" s="5">
        <v>10</v>
      </c>
      <c r="E681" s="5">
        <v>0.375</v>
      </c>
      <c r="F681" s="5">
        <v>0.15</v>
      </c>
      <c r="G681" s="12">
        <f>(C681*$U$4)/($U$5*$U$3)</f>
        <v>29.387755102040813</v>
      </c>
      <c r="H681" s="11">
        <f>G681*COS(RADIANS(D681))</f>
        <v>28.941289068113864</v>
      </c>
      <c r="I681" s="11">
        <f>G681*SIN(RADIANS(D681))</f>
        <v>5.1031301191914213</v>
      </c>
      <c r="J681" s="11">
        <v>0.29299999999999998</v>
      </c>
      <c r="K681" s="12">
        <v>57</v>
      </c>
      <c r="L681" s="12">
        <f>-(F681*G681*$U$3)/J681</f>
        <v>-15.044925820157413</v>
      </c>
      <c r="M681" s="11">
        <f>ABS(L681/$U$6)</f>
        <v>4.3862757493170298E-2</v>
      </c>
      <c r="N681" s="12">
        <f>L681*SIN(RADIANS(K681))</f>
        <v>-12.617736482288192</v>
      </c>
      <c r="O681" s="12">
        <f>L681*COS(RADIANS(K681))</f>
        <v>-8.1940538805631977</v>
      </c>
      <c r="P681" s="5">
        <v>6.0768799004252978</v>
      </c>
      <c r="Q681" s="5">
        <v>-0.17045336265872058</v>
      </c>
      <c r="R681" s="6">
        <f>P681/Q681</f>
        <v>-35.651276135821064</v>
      </c>
    </row>
    <row r="682" spans="1:18" x14ac:dyDescent="0.35">
      <c r="A682" s="9">
        <v>682</v>
      </c>
      <c r="B682" s="5">
        <v>0.75</v>
      </c>
      <c r="C682" s="5">
        <v>4000000</v>
      </c>
      <c r="D682" s="5">
        <v>30</v>
      </c>
      <c r="E682" s="5">
        <v>0.25</v>
      </c>
      <c r="F682" s="5">
        <v>2.5000000000000001E-2</v>
      </c>
      <c r="G682" s="12">
        <f>(C682*$U$4)/($U$5*$U$3)</f>
        <v>58.775510204081627</v>
      </c>
      <c r="H682" s="11">
        <f>G682*COS(RADIANS(D682))</f>
        <v>50.901084957126187</v>
      </c>
      <c r="I682" s="11">
        <f>G682*SIN(RADIANS(D682))</f>
        <v>29.38775510204081</v>
      </c>
      <c r="J682" s="12">
        <v>0.28370000000000001</v>
      </c>
      <c r="K682" s="11">
        <v>38</v>
      </c>
      <c r="L682" s="12">
        <f>-(F682*G682*$U$3)/J682</f>
        <v>-5.179371713436872</v>
      </c>
      <c r="M682" s="11">
        <f>ABS(L682/$U$6)</f>
        <v>1.5100209077075429E-2</v>
      </c>
      <c r="N682" s="12">
        <f>L682*SIN(RADIANS(K682))</f>
        <v>-3.1887396303545272</v>
      </c>
      <c r="O682" s="12">
        <f>L682*COS(RADIANS(K682))</f>
        <v>-4.0814006071147277</v>
      </c>
      <c r="P682" s="5">
        <v>4.0443402719482595</v>
      </c>
      <c r="Q682" s="5">
        <v>1.2104561023973845</v>
      </c>
      <c r="R682" s="6">
        <f>P682/Q682</f>
        <v>3.3411705421933013</v>
      </c>
    </row>
    <row r="683" spans="1:18" x14ac:dyDescent="0.35">
      <c r="A683" s="9">
        <v>683</v>
      </c>
      <c r="B683" s="5">
        <v>0.1</v>
      </c>
      <c r="C683" s="5">
        <v>4000000</v>
      </c>
      <c r="D683" s="5">
        <v>10</v>
      </c>
      <c r="E683" s="5">
        <v>0.375</v>
      </c>
      <c r="F683" s="5">
        <v>7.4999999999999997E-2</v>
      </c>
      <c r="G683" s="12">
        <f>(C683*$U$4)/($U$5*$U$3)</f>
        <v>58.775510204081627</v>
      </c>
      <c r="H683" s="11">
        <f>G683*COS(RADIANS(D683))</f>
        <v>57.882578136227728</v>
      </c>
      <c r="I683" s="11">
        <f>G683*SIN(RADIANS(D683))</f>
        <v>10.206260238382843</v>
      </c>
      <c r="J683" s="12">
        <v>0.16789999999999999</v>
      </c>
      <c r="K683" s="11">
        <v>85</v>
      </c>
      <c r="L683" s="12">
        <f>-(F683*G683*$U$3)/J683</f>
        <v>-26.254694849947125</v>
      </c>
      <c r="M683" s="11">
        <f>ABS(L683/$U$6)</f>
        <v>7.6544299854073253E-2</v>
      </c>
      <c r="N683" s="12">
        <f>L683*SIN(RADIANS(K683))</f>
        <v>-26.154787809533982</v>
      </c>
      <c r="O683" s="12">
        <f>L683*COS(RADIANS(K683))</f>
        <v>-2.2882474302602565</v>
      </c>
      <c r="P683" s="5">
        <v>1.9918799634339632</v>
      </c>
      <c r="Q683" s="5">
        <v>0.51300686741321511</v>
      </c>
      <c r="R683" s="6">
        <f>P683/Q683</f>
        <v>3.8827549687157505</v>
      </c>
    </row>
    <row r="684" spans="1:18" x14ac:dyDescent="0.35">
      <c r="A684" s="9">
        <v>684</v>
      </c>
      <c r="B684" s="5">
        <v>0.1</v>
      </c>
      <c r="C684" s="5">
        <v>4000000</v>
      </c>
      <c r="D684" s="5">
        <v>0</v>
      </c>
      <c r="E684" s="5">
        <v>0.125</v>
      </c>
      <c r="F684" s="5">
        <v>0</v>
      </c>
      <c r="G684" s="12">
        <f>(C684*$U$4)/($U$5*$U$3)</f>
        <v>58.775510204081627</v>
      </c>
      <c r="H684" s="11">
        <f>G684*COS(RADIANS(D684))</f>
        <v>58.775510204081627</v>
      </c>
      <c r="I684" s="11">
        <f>G684*SIN(RADIANS(D684))</f>
        <v>0</v>
      </c>
      <c r="J684" s="12">
        <v>0.1658</v>
      </c>
      <c r="K684" s="12">
        <v>69</v>
      </c>
      <c r="L684" s="12">
        <f>-(F684*G684*$U$3)/J684</f>
        <v>0</v>
      </c>
      <c r="M684" s="11">
        <f>ABS(L684/$U$6)</f>
        <v>0</v>
      </c>
      <c r="N684" s="12">
        <f>L684*SIN(RADIANS(K684))</f>
        <v>0</v>
      </c>
      <c r="O684" s="12">
        <f>L684*COS(RADIANS(K684))</f>
        <v>0</v>
      </c>
      <c r="P684" s="5">
        <v>1.2126624834265736</v>
      </c>
      <c r="Q684" s="5">
        <v>0.23942680267183347</v>
      </c>
      <c r="R684" s="6">
        <f>P684/Q684</f>
        <v>5.0648568576872739</v>
      </c>
    </row>
    <row r="685" spans="1:18" x14ac:dyDescent="0.35">
      <c r="A685" s="9">
        <v>685</v>
      </c>
      <c r="B685" s="5">
        <v>0.1</v>
      </c>
      <c r="C685" s="5">
        <v>2000000</v>
      </c>
      <c r="D685" s="5">
        <v>30</v>
      </c>
      <c r="E685" s="5">
        <v>0.25</v>
      </c>
      <c r="F685" s="5">
        <v>7.4999999999999997E-2</v>
      </c>
      <c r="G685" s="12">
        <f>(C685*$U$4)/($U$5*$U$3)</f>
        <v>29.387755102040813</v>
      </c>
      <c r="H685" s="11">
        <f>G685*COS(RADIANS(D685))</f>
        <v>25.450542478563094</v>
      </c>
      <c r="I685" s="11">
        <f>G685*SIN(RADIANS(D685))</f>
        <v>14.693877551020405</v>
      </c>
      <c r="J685" s="11">
        <v>0.1661</v>
      </c>
      <c r="K685" s="12">
        <v>80</v>
      </c>
      <c r="L685" s="12">
        <f>-(F685*G685*$U$3)/J685</f>
        <v>-13.269606457875142</v>
      </c>
      <c r="M685" s="11">
        <f>ABS(L685/$U$6)</f>
        <v>3.8686899294096626E-2</v>
      </c>
      <c r="N685" s="12">
        <f>L685*SIN(RADIANS(K685))</f>
        <v>-13.068011319136303</v>
      </c>
      <c r="O685" s="12">
        <f>L685*COS(RADIANS(K685))</f>
        <v>-2.3042429797673498</v>
      </c>
      <c r="P685" s="5">
        <v>1.4002908248699182</v>
      </c>
      <c r="Q685" s="5">
        <v>1.0586759088372326</v>
      </c>
      <c r="R685" s="6">
        <f>P685/Q685</f>
        <v>1.3226812976294973</v>
      </c>
    </row>
    <row r="686" spans="1:18" x14ac:dyDescent="0.35">
      <c r="A686" s="9">
        <v>686</v>
      </c>
      <c r="B686" s="5">
        <v>0.1</v>
      </c>
      <c r="C686" s="5">
        <v>2000000</v>
      </c>
      <c r="D686" s="5">
        <v>0</v>
      </c>
      <c r="E686" s="5">
        <v>0.375</v>
      </c>
      <c r="F686" s="5">
        <v>0.15</v>
      </c>
      <c r="G686" s="12">
        <f>(C686*$U$4)/($U$5*$U$3)</f>
        <v>29.387755102040813</v>
      </c>
      <c r="H686" s="11">
        <f>G686*COS(RADIANS(D686))</f>
        <v>29.387755102040813</v>
      </c>
      <c r="I686" s="11">
        <f>G686*SIN(RADIANS(D686))</f>
        <v>0</v>
      </c>
      <c r="J686" s="12">
        <v>0.16789999999999999</v>
      </c>
      <c r="K686" s="11">
        <v>85</v>
      </c>
      <c r="L686" s="12">
        <f>-(F686*G686*$U$3)/J686</f>
        <v>-26.254694849947125</v>
      </c>
      <c r="M686" s="11">
        <f>ABS(L686/$U$6)</f>
        <v>7.6544299854073253E-2</v>
      </c>
      <c r="N686" s="12">
        <f>L686*SIN(RADIANS(K686))</f>
        <v>-26.154787809533982</v>
      </c>
      <c r="O686" s="12">
        <f>L686*COS(RADIANS(K686))</f>
        <v>-2.2882474302602565</v>
      </c>
      <c r="P686" s="5">
        <v>1.9040632989275135</v>
      </c>
      <c r="Q686" s="5">
        <v>0.15317913091478211</v>
      </c>
      <c r="R686" s="6">
        <f>P686/Q686</f>
        <v>12.430304882633116</v>
      </c>
    </row>
    <row r="687" spans="1:18" x14ac:dyDescent="0.35">
      <c r="A687" s="9">
        <v>687</v>
      </c>
      <c r="B687" s="5">
        <v>1</v>
      </c>
      <c r="C687" s="5">
        <v>2000000</v>
      </c>
      <c r="D687" s="5">
        <v>30</v>
      </c>
      <c r="E687" s="5">
        <v>0.375</v>
      </c>
      <c r="F687" s="5">
        <v>0.15</v>
      </c>
      <c r="G687" s="12">
        <f>(C687*$U$4)/($U$5*$U$3)</f>
        <v>29.387755102040813</v>
      </c>
      <c r="H687" s="11">
        <f>G687*COS(RADIANS(D687))</f>
        <v>25.450542478563094</v>
      </c>
      <c r="I687" s="11">
        <f>G687*SIN(RADIANS(D687))</f>
        <v>14.693877551020405</v>
      </c>
      <c r="J687" s="12">
        <v>0.33379999999999999</v>
      </c>
      <c r="K687" s="11">
        <v>49</v>
      </c>
      <c r="L687" s="12">
        <f>-(F687*G687*$U$3)/J687</f>
        <v>-13.206001393966813</v>
      </c>
      <c r="M687" s="11">
        <f>ABS(L687/$U$6)</f>
        <v>3.8501461789990712E-2</v>
      </c>
      <c r="N687" s="12">
        <f>L687*SIN(RADIANS(K687))</f>
        <v>-9.9666957684620368</v>
      </c>
      <c r="O687" s="12">
        <f>L687*COS(RADIANS(K687))</f>
        <v>-8.6639164513731526</v>
      </c>
      <c r="P687" s="5">
        <v>10.93376285413906</v>
      </c>
      <c r="Q687" s="5">
        <v>2.0750205049912918</v>
      </c>
      <c r="R687" s="6">
        <f>P687/Q687</f>
        <v>5.2692312330595232</v>
      </c>
    </row>
    <row r="688" spans="1:18" x14ac:dyDescent="0.35">
      <c r="A688" s="9">
        <v>688</v>
      </c>
      <c r="B688" s="5">
        <v>0.75</v>
      </c>
      <c r="C688" s="5">
        <v>6000000</v>
      </c>
      <c r="D688" s="5">
        <v>10</v>
      </c>
      <c r="E688" s="5">
        <v>0</v>
      </c>
      <c r="F688" s="5">
        <v>0.1</v>
      </c>
      <c r="G688" s="12">
        <f>(C688*$U$4)/($U$5*$U$3)</f>
        <v>88.16326530612244</v>
      </c>
      <c r="H688" s="11">
        <f>G688*COS(RADIANS(D688))</f>
        <v>86.823867204341596</v>
      </c>
      <c r="I688" s="11">
        <f>G688*SIN(RADIANS(D688))</f>
        <v>15.309390357574264</v>
      </c>
      <c r="J688" s="11">
        <v>0.27929999999999999</v>
      </c>
      <c r="K688" s="12">
        <v>0</v>
      </c>
      <c r="L688" s="12">
        <f>-(F688*G688*$U$3)/J688</f>
        <v>-31.565794953856944</v>
      </c>
      <c r="M688" s="11">
        <f>ABS(L688/$U$6)</f>
        <v>9.2028556716784088E-2</v>
      </c>
      <c r="N688" s="12">
        <f>L688*SIN(RADIANS(K688))</f>
        <v>0</v>
      </c>
      <c r="O688" s="12">
        <f>L688*COS(RADIANS(K688))</f>
        <v>-31.565794953856944</v>
      </c>
      <c r="P688" s="5">
        <v>3.2021040651532275</v>
      </c>
      <c r="Q688" s="5">
        <v>0.75793046589123259</v>
      </c>
      <c r="R688" s="6">
        <f>P688/Q688</f>
        <v>4.2247992517202073</v>
      </c>
    </row>
    <row r="689" spans="1:18" x14ac:dyDescent="0.35">
      <c r="A689" s="9">
        <v>689</v>
      </c>
      <c r="B689" s="5">
        <v>0.75</v>
      </c>
      <c r="C689" s="5">
        <v>2000000</v>
      </c>
      <c r="D689" s="5">
        <v>20</v>
      </c>
      <c r="E689" s="5">
        <v>0.375</v>
      </c>
      <c r="F689" s="5">
        <v>1.4999999999999999E-2</v>
      </c>
      <c r="G689" s="12">
        <f>(C689*$U$4)/($U$5*$U$3)</f>
        <v>29.387755102040813</v>
      </c>
      <c r="H689" s="11">
        <f>G689*COS(RADIANS(D689))</f>
        <v>27.615456610851183</v>
      </c>
      <c r="I689" s="11">
        <f>G689*SIN(RADIANS(D689))</f>
        <v>10.051204212019652</v>
      </c>
      <c r="J689" s="11">
        <v>0.29299999999999998</v>
      </c>
      <c r="K689" s="12">
        <v>57</v>
      </c>
      <c r="L689" s="12">
        <f>-(F689*G689*$U$3)/J689</f>
        <v>-1.5044925820157413</v>
      </c>
      <c r="M689" s="11">
        <f>ABS(L689/$U$6)</f>
        <v>4.3862757493170297E-3</v>
      </c>
      <c r="N689" s="12">
        <f>L689*SIN(RADIANS(K689))</f>
        <v>-1.2617736482288193</v>
      </c>
      <c r="O689" s="12">
        <f>L689*COS(RADIANS(K689))</f>
        <v>-0.81940538805631979</v>
      </c>
      <c r="P689" s="5">
        <v>4.5983234685798733</v>
      </c>
      <c r="Q689" s="5">
        <v>0.6851582071907889</v>
      </c>
      <c r="R689" s="6">
        <f>P689/Q689</f>
        <v>6.7113309310464491</v>
      </c>
    </row>
    <row r="690" spans="1:18" x14ac:dyDescent="0.35">
      <c r="A690" s="9">
        <v>690</v>
      </c>
      <c r="B690" s="5">
        <v>0.5</v>
      </c>
      <c r="C690" s="5">
        <v>4000000</v>
      </c>
      <c r="D690" s="5">
        <v>15</v>
      </c>
      <c r="E690" s="5">
        <v>0.375</v>
      </c>
      <c r="F690" s="5">
        <v>2.5000000000000001E-2</v>
      </c>
      <c r="G690" s="12">
        <f>(C690*$U$4)/($U$5*$U$3)</f>
        <v>58.775510204081627</v>
      </c>
      <c r="H690" s="11">
        <f>G690*COS(RADIANS(D690))</f>
        <v>56.772783259439109</v>
      </c>
      <c r="I690" s="11">
        <f>G690*SIN(RADIANS(D690))</f>
        <v>15.212221426433871</v>
      </c>
      <c r="J690" s="12">
        <v>0.24809999999999999</v>
      </c>
      <c r="K690" s="12">
        <v>67</v>
      </c>
      <c r="L690" s="12">
        <f>-(F690*G690*$U$3)/J690</f>
        <v>-5.9225624953729978</v>
      </c>
      <c r="M690" s="11">
        <f>ABS(L690/$U$6)</f>
        <v>1.7266946050650139E-2</v>
      </c>
      <c r="N690" s="12">
        <f>L690*SIN(RADIANS(K690))</f>
        <v>-5.451747521866241</v>
      </c>
      <c r="O690" s="12">
        <f>L690*COS(RADIANS(K690))</f>
        <v>-2.3141295273653402</v>
      </c>
      <c r="P690" s="5">
        <v>3.1647147153527815</v>
      </c>
      <c r="Q690" s="5">
        <v>0.47581979632974392</v>
      </c>
      <c r="R690" s="6">
        <f>P690/Q690</f>
        <v>6.6510782858635604</v>
      </c>
    </row>
    <row r="691" spans="1:18" x14ac:dyDescent="0.35">
      <c r="A691" s="9">
        <v>691</v>
      </c>
      <c r="B691" s="5">
        <v>0.25</v>
      </c>
      <c r="C691" s="5">
        <v>4000000</v>
      </c>
      <c r="D691" s="5">
        <v>0</v>
      </c>
      <c r="E691" s="5">
        <v>0</v>
      </c>
      <c r="F691" s="5">
        <v>3.5000000000000003E-2</v>
      </c>
      <c r="G691" s="12">
        <f>(C691*$U$4)/($U$5*$U$3)</f>
        <v>58.775510204081627</v>
      </c>
      <c r="H691" s="11">
        <f>G691*COS(RADIANS(D691))</f>
        <v>58.775510204081627</v>
      </c>
      <c r="I691" s="11">
        <f>G691*SIN(RADIANS(D691))</f>
        <v>0</v>
      </c>
      <c r="J691" s="12">
        <v>0.18990000000000001</v>
      </c>
      <c r="K691" s="12">
        <v>0</v>
      </c>
      <c r="L691" s="12">
        <f>-(F691*G691*$U$3)/J691</f>
        <v>-10.832769126607987</v>
      </c>
      <c r="M691" s="11">
        <f>ABS(L691/$U$6)</f>
        <v>3.1582417278740491E-2</v>
      </c>
      <c r="N691" s="12">
        <f>L691*SIN(RADIANS(K691))</f>
        <v>0</v>
      </c>
      <c r="O691" s="12">
        <f>L691*COS(RADIANS(K691))</f>
        <v>-10.832769126607987</v>
      </c>
      <c r="P691" s="5">
        <v>2.0509606703870458</v>
      </c>
      <c r="Q691" s="5">
        <v>0.1894680140441036</v>
      </c>
      <c r="R691" s="6">
        <f>P691/Q691</f>
        <v>10.824838592067742</v>
      </c>
    </row>
    <row r="692" spans="1:18" x14ac:dyDescent="0.35">
      <c r="A692" s="9">
        <v>692</v>
      </c>
      <c r="B692" s="5">
        <v>0.1</v>
      </c>
      <c r="C692" s="5">
        <v>6000000</v>
      </c>
      <c r="D692" s="5">
        <v>20</v>
      </c>
      <c r="E692" s="5">
        <v>0.125</v>
      </c>
      <c r="F692" s="5">
        <v>0</v>
      </c>
      <c r="G692" s="12">
        <f>(C692*$U$4)/($U$5*$U$3)</f>
        <v>88.16326530612244</v>
      </c>
      <c r="H692" s="11">
        <f>G692*COS(RADIANS(D692))</f>
        <v>82.846369832553549</v>
      </c>
      <c r="I692" s="11">
        <f>G692*SIN(RADIANS(D692))</f>
        <v>30.153612636058952</v>
      </c>
      <c r="J692" s="12">
        <v>0.1658</v>
      </c>
      <c r="K692" s="12">
        <v>69</v>
      </c>
      <c r="L692" s="12">
        <f>-(F692*G692*$U$3)/J692</f>
        <v>0</v>
      </c>
      <c r="M692" s="11">
        <f>ABS(L692/$U$6)</f>
        <v>0</v>
      </c>
      <c r="N692" s="12">
        <f>L692*SIN(RADIANS(K692))</f>
        <v>0</v>
      </c>
      <c r="O692" s="12">
        <f>L692*COS(RADIANS(K692))</f>
        <v>0</v>
      </c>
      <c r="P692" s="5">
        <v>1.3660439743590125</v>
      </c>
      <c r="Q692" s="5">
        <v>0.75644487896222956</v>
      </c>
      <c r="R692" s="6">
        <f>P692/Q692</f>
        <v>1.8058737818849337</v>
      </c>
    </row>
    <row r="693" spans="1:18" x14ac:dyDescent="0.35">
      <c r="A693" s="9">
        <v>693</v>
      </c>
      <c r="B693" s="5">
        <v>0.5</v>
      </c>
      <c r="C693" s="5">
        <v>4000000</v>
      </c>
      <c r="D693" s="5">
        <v>15</v>
      </c>
      <c r="E693" s="5">
        <v>0.25</v>
      </c>
      <c r="F693" s="5">
        <v>0.05</v>
      </c>
      <c r="G693" s="12">
        <f>(C693*$U$4)/($U$5*$U$3)</f>
        <v>58.775510204081627</v>
      </c>
      <c r="H693" s="11">
        <f>G693*COS(RADIANS(D693))</f>
        <v>56.772783259439109</v>
      </c>
      <c r="I693" s="11">
        <f>G693*SIN(RADIANS(D693))</f>
        <v>15.212221426433871</v>
      </c>
      <c r="J693" s="11">
        <v>0.23580000000000001</v>
      </c>
      <c r="K693" s="11">
        <v>49</v>
      </c>
      <c r="L693" s="12">
        <f>-(F693*G693*$U$3)/J693</f>
        <v>-12.463000467362516</v>
      </c>
      <c r="M693" s="11">
        <f>ABS(L693/$U$6)</f>
        <v>3.6335278330502964E-2</v>
      </c>
      <c r="N693" s="12">
        <f>L693*SIN(RADIANS(K693))</f>
        <v>-9.405945851039375</v>
      </c>
      <c r="O693" s="12">
        <f>L693*COS(RADIANS(K693))</f>
        <v>-8.1764639849260909</v>
      </c>
      <c r="P693" s="5">
        <v>3.1434519918186821</v>
      </c>
      <c r="Q693" s="5">
        <v>0.54726199603574677</v>
      </c>
      <c r="R693" s="6">
        <f>P693/Q693</f>
        <v>5.7439617853773903</v>
      </c>
    </row>
    <row r="694" spans="1:18" x14ac:dyDescent="0.35">
      <c r="A694" s="9">
        <v>694</v>
      </c>
      <c r="B694" s="5">
        <v>0.1</v>
      </c>
      <c r="C694" s="5">
        <v>6000000</v>
      </c>
      <c r="D694" s="5">
        <v>20</v>
      </c>
      <c r="E694" s="5">
        <v>0</v>
      </c>
      <c r="F694" s="5">
        <v>0.05</v>
      </c>
      <c r="G694" s="12">
        <f>(C694*$U$4)/($U$5*$U$3)</f>
        <v>88.16326530612244</v>
      </c>
      <c r="H694" s="11">
        <f>G694*COS(RADIANS(D694))</f>
        <v>82.846369832553549</v>
      </c>
      <c r="I694" s="11">
        <f>G694*SIN(RADIANS(D694))</f>
        <v>30.153612636058952</v>
      </c>
      <c r="J694" s="11">
        <v>0.16569999999999999</v>
      </c>
      <c r="K694" s="12">
        <v>0</v>
      </c>
      <c r="L694" s="12">
        <f>-(F694*G694*$U$3)/J694</f>
        <v>-26.603278607761752</v>
      </c>
      <c r="M694" s="11">
        <f>ABS(L694/$U$6)</f>
        <v>7.7560579031375365E-2</v>
      </c>
      <c r="N694" s="12">
        <f>L694*SIN(RADIANS(K694))</f>
        <v>0</v>
      </c>
      <c r="O694" s="12">
        <f>L694*COS(RADIANS(K694))</f>
        <v>-26.603278607761752</v>
      </c>
      <c r="P694" s="5">
        <v>1.5627763170276621</v>
      </c>
      <c r="Q694" s="5">
        <v>0.67660066859213952</v>
      </c>
      <c r="R694" s="6">
        <f>P694/Q694</f>
        <v>2.3097469298684903</v>
      </c>
    </row>
    <row r="695" spans="1:18" x14ac:dyDescent="0.35">
      <c r="A695" s="9">
        <v>695</v>
      </c>
      <c r="B695" s="5">
        <v>0.5</v>
      </c>
      <c r="C695" s="5">
        <v>6000000</v>
      </c>
      <c r="D695" s="5">
        <v>20</v>
      </c>
      <c r="E695" s="5">
        <v>0.25</v>
      </c>
      <c r="F695" s="5">
        <v>7.4999999999999997E-2</v>
      </c>
      <c r="G695" s="12">
        <f>(C695*$U$4)/($U$5*$U$3)</f>
        <v>88.16326530612244</v>
      </c>
      <c r="H695" s="11">
        <f>G695*COS(RADIANS(D695))</f>
        <v>82.846369832553549</v>
      </c>
      <c r="I695" s="11">
        <f>G695*SIN(RADIANS(D695))</f>
        <v>30.153612636058952</v>
      </c>
      <c r="J695" s="11">
        <v>0.23580000000000001</v>
      </c>
      <c r="K695" s="11">
        <v>49</v>
      </c>
      <c r="L695" s="12">
        <f>-(F695*G695*$U$3)/J695</f>
        <v>-28.041751051565662</v>
      </c>
      <c r="M695" s="11">
        <f>ABS(L695/$U$6)</f>
        <v>8.175437624363166E-2</v>
      </c>
      <c r="N695" s="12">
        <f>L695*SIN(RADIANS(K695))</f>
        <v>-21.163378164838598</v>
      </c>
      <c r="O695" s="12">
        <f>L695*COS(RADIANS(K695))</f>
        <v>-18.397043966083704</v>
      </c>
      <c r="P695" s="5">
        <v>4.4543370617844795</v>
      </c>
      <c r="Q695" s="5">
        <v>0.83607401128432857</v>
      </c>
      <c r="R695" s="6">
        <f>P695/Q695</f>
        <v>5.3276827190717055</v>
      </c>
    </row>
    <row r="696" spans="1:18" x14ac:dyDescent="0.35">
      <c r="A696" s="9">
        <v>696</v>
      </c>
      <c r="B696" s="5">
        <v>1</v>
      </c>
      <c r="C696" s="5">
        <v>6000000</v>
      </c>
      <c r="D696" s="5">
        <v>15</v>
      </c>
      <c r="E696" s="5">
        <v>0.125</v>
      </c>
      <c r="F696" s="5">
        <v>1.4999999999999999E-2</v>
      </c>
      <c r="G696" s="12">
        <f>(C696*$U$4)/($U$5*$U$3)</f>
        <v>88.16326530612244</v>
      </c>
      <c r="H696" s="11">
        <f>G696*COS(RADIANS(D696))</f>
        <v>85.159174889158663</v>
      </c>
      <c r="I696" s="11">
        <f>G696*SIN(RADIANS(D696))</f>
        <v>22.818332139650806</v>
      </c>
      <c r="J696" s="11">
        <v>0.33379999999999999</v>
      </c>
      <c r="K696" s="12">
        <v>14</v>
      </c>
      <c r="L696" s="12">
        <f>-(F696*G696*$U$3)/J696</f>
        <v>-3.9618004181900441</v>
      </c>
      <c r="M696" s="11">
        <f>ABS(L696/$U$6)</f>
        <v>1.1550438536997214E-2</v>
      </c>
      <c r="N696" s="12">
        <f>L696*SIN(RADIANS(K696))</f>
        <v>-0.95844626715609182</v>
      </c>
      <c r="O696" s="12">
        <f>L696*COS(RADIANS(K696))</f>
        <v>-3.8441180141282554</v>
      </c>
      <c r="P696" s="5">
        <v>1.8023373597221355</v>
      </c>
      <c r="Q696" s="5">
        <v>1.8628303430889082</v>
      </c>
      <c r="R696" s="6">
        <f>P696/Q696</f>
        <v>0.96752630555369612</v>
      </c>
    </row>
    <row r="697" spans="1:18" x14ac:dyDescent="0.35">
      <c r="A697" s="9">
        <v>697</v>
      </c>
      <c r="B697" s="5">
        <v>0.5</v>
      </c>
      <c r="C697" s="5">
        <v>4000000</v>
      </c>
      <c r="D697" s="5">
        <v>0</v>
      </c>
      <c r="E697" s="5">
        <v>0.25</v>
      </c>
      <c r="F697" s="5">
        <v>7.4999999999999997E-2</v>
      </c>
      <c r="G697" s="12">
        <f>(C697*$U$4)/($U$5*$U$3)</f>
        <v>58.775510204081627</v>
      </c>
      <c r="H697" s="11">
        <f>G697*COS(RADIANS(D697))</f>
        <v>58.775510204081627</v>
      </c>
      <c r="I697" s="11">
        <f>G697*SIN(RADIANS(D697))</f>
        <v>0</v>
      </c>
      <c r="J697" s="11">
        <v>0.23580000000000001</v>
      </c>
      <c r="K697" s="11">
        <v>49</v>
      </c>
      <c r="L697" s="12">
        <f>-(F697*G697*$U$3)/J697</f>
        <v>-18.694500701043772</v>
      </c>
      <c r="M697" s="11">
        <f>ABS(L697/$U$6)</f>
        <v>5.4502917495754435E-2</v>
      </c>
      <c r="N697" s="12">
        <f>L697*SIN(RADIANS(K697))</f>
        <v>-14.108918776559062</v>
      </c>
      <c r="O697" s="12">
        <f>L697*COS(RADIANS(K697))</f>
        <v>-12.264695977389135</v>
      </c>
      <c r="P697" s="5">
        <v>4.6386240141434358</v>
      </c>
      <c r="Q697" s="5">
        <v>-0.24769100247272774</v>
      </c>
      <c r="R697" s="6">
        <f>P697/Q697</f>
        <v>-18.727462716996254</v>
      </c>
    </row>
    <row r="698" spans="1:18" x14ac:dyDescent="0.35">
      <c r="A698" s="9">
        <v>1890</v>
      </c>
      <c r="B698" s="5">
        <v>0.1</v>
      </c>
      <c r="C698" s="5">
        <v>6000000</v>
      </c>
      <c r="D698" s="5">
        <v>5</v>
      </c>
      <c r="E698" s="5">
        <v>0.25</v>
      </c>
      <c r="F698" s="5">
        <v>0.1</v>
      </c>
      <c r="G698" s="12">
        <f>(C698*$U$4)/($U$5*$U$3)</f>
        <v>88.16326530612244</v>
      </c>
      <c r="H698" s="11">
        <f>G698*COS(RADIANS(D698))</f>
        <v>87.827777464415107</v>
      </c>
      <c r="I698" s="11">
        <f>G698*SIN(RADIANS(D698))</f>
        <v>7.6839348708139434</v>
      </c>
      <c r="J698" s="20">
        <v>0.1661</v>
      </c>
      <c r="K698" s="19">
        <v>80</v>
      </c>
      <c r="L698" s="12">
        <f>-(F698*G698*$U$3)/J698</f>
        <v>-53.078425831500567</v>
      </c>
      <c r="M698" s="11">
        <f>ABS(L698/$U$6)</f>
        <v>0.1547475971763865</v>
      </c>
      <c r="N698" s="12">
        <f>L698*SIN(RADIANS(K698))</f>
        <v>-52.272045276545214</v>
      </c>
      <c r="O698" s="12">
        <f>L698*COS(RADIANS(K698))</f>
        <v>-9.2169719190693993</v>
      </c>
      <c r="P698" s="5">
        <v>1.7501625416766318</v>
      </c>
      <c r="Q698" s="5">
        <v>0.34661422857361085</v>
      </c>
      <c r="R698" s="6">
        <f>P698/Q698</f>
        <v>5.0493095706974067</v>
      </c>
    </row>
    <row r="699" spans="1:18" x14ac:dyDescent="0.35">
      <c r="A699" s="9">
        <v>699</v>
      </c>
      <c r="B699" s="5">
        <v>1</v>
      </c>
      <c r="C699" s="5">
        <v>6000000</v>
      </c>
      <c r="D699" s="5">
        <v>15</v>
      </c>
      <c r="E699" s="5">
        <v>0</v>
      </c>
      <c r="F699" s="5">
        <v>2.5000000000000001E-2</v>
      </c>
      <c r="G699" s="12">
        <f>(C699*$U$4)/($U$5*$U$3)</f>
        <v>88.16326530612244</v>
      </c>
      <c r="H699" s="11">
        <f>G699*COS(RADIANS(D699))</f>
        <v>85.159174889158663</v>
      </c>
      <c r="I699" s="11">
        <f>G699*SIN(RADIANS(D699))</f>
        <v>22.818332139650806</v>
      </c>
      <c r="J699" s="11">
        <v>0.33379999999999999</v>
      </c>
      <c r="K699" s="12">
        <v>0</v>
      </c>
      <c r="L699" s="12">
        <f>-(F699*G699*$U$3)/J699</f>
        <v>-6.6030006969834067</v>
      </c>
      <c r="M699" s="11">
        <f>ABS(L699/$U$6)</f>
        <v>1.9250730894995356E-2</v>
      </c>
      <c r="N699" s="12">
        <f>L699*SIN(RADIANS(K699))</f>
        <v>0</v>
      </c>
      <c r="O699" s="12">
        <f>L699*COS(RADIANS(K699))</f>
        <v>-6.6030006969834067</v>
      </c>
      <c r="P699" s="5">
        <v>3.4299278165652769</v>
      </c>
      <c r="Q699" s="5">
        <v>1.4128198874654618</v>
      </c>
      <c r="R699" s="6">
        <f>P699/Q699</f>
        <v>2.4277176779542793</v>
      </c>
    </row>
    <row r="700" spans="1:18" x14ac:dyDescent="0.35">
      <c r="A700" s="9">
        <v>700</v>
      </c>
      <c r="B700" s="5">
        <v>0.5</v>
      </c>
      <c r="C700" s="5">
        <v>4000000</v>
      </c>
      <c r="D700" s="5">
        <v>20</v>
      </c>
      <c r="E700" s="5">
        <v>0.25</v>
      </c>
      <c r="F700" s="5">
        <v>0.05</v>
      </c>
      <c r="G700" s="12">
        <f>(C700*$U$4)/($U$5*$U$3)</f>
        <v>58.775510204081627</v>
      </c>
      <c r="H700" s="11">
        <f>G700*COS(RADIANS(D700))</f>
        <v>55.230913221702366</v>
      </c>
      <c r="I700" s="11">
        <f>G700*SIN(RADIANS(D700))</f>
        <v>20.102408424039304</v>
      </c>
      <c r="J700" s="11">
        <v>0.23580000000000001</v>
      </c>
      <c r="K700" s="11">
        <v>49</v>
      </c>
      <c r="L700" s="12">
        <f>-(F700*G700*$U$3)/J700</f>
        <v>-12.463000467362516</v>
      </c>
      <c r="M700" s="11">
        <f>ABS(L700/$U$6)</f>
        <v>3.6335278330502964E-2</v>
      </c>
      <c r="N700" s="12">
        <f>L700*SIN(RADIANS(K700))</f>
        <v>-9.405945851039375</v>
      </c>
      <c r="O700" s="12">
        <f>L700*COS(RADIANS(K700))</f>
        <v>-8.1764639849260909</v>
      </c>
      <c r="P700" s="5">
        <v>3.1816373794625021</v>
      </c>
      <c r="Q700" s="5">
        <v>0.72905899034460264</v>
      </c>
      <c r="R700" s="6">
        <f>P700/Q700</f>
        <v>4.364032844528321</v>
      </c>
    </row>
    <row r="701" spans="1:18" x14ac:dyDescent="0.35">
      <c r="A701" s="9">
        <v>701</v>
      </c>
      <c r="B701" s="5">
        <v>0.1</v>
      </c>
      <c r="C701" s="5">
        <v>2000000</v>
      </c>
      <c r="D701" s="5">
        <v>15</v>
      </c>
      <c r="E701" s="5">
        <v>0</v>
      </c>
      <c r="F701" s="5">
        <v>0.1</v>
      </c>
      <c r="G701" s="12">
        <f>(C701*$U$4)/($U$5*$U$3)</f>
        <v>29.387755102040813</v>
      </c>
      <c r="H701" s="11">
        <f>G701*COS(RADIANS(D701))</f>
        <v>28.386391629719554</v>
      </c>
      <c r="I701" s="11">
        <f>G701*SIN(RADIANS(D701))</f>
        <v>7.6061107132169354</v>
      </c>
      <c r="J701" s="11">
        <v>0.16569999999999999</v>
      </c>
      <c r="K701" s="12">
        <v>0</v>
      </c>
      <c r="L701" s="12">
        <f>-(F701*G701*$U$3)/J701</f>
        <v>-17.735519071841168</v>
      </c>
      <c r="M701" s="11">
        <f>ABS(L701/$U$6)</f>
        <v>5.1707052687583577E-2</v>
      </c>
      <c r="N701" s="12">
        <f>L701*SIN(RADIANS(K701))</f>
        <v>0</v>
      </c>
      <c r="O701" s="12">
        <f>L701*COS(RADIANS(K701))</f>
        <v>-17.735519071841168</v>
      </c>
      <c r="P701" s="5">
        <v>1.6628001787689872</v>
      </c>
      <c r="Q701" s="5">
        <v>0.54278551776646622</v>
      </c>
      <c r="R701" s="6">
        <f>P701/Q701</f>
        <v>3.0634571563576758</v>
      </c>
    </row>
    <row r="702" spans="1:18" x14ac:dyDescent="0.35">
      <c r="A702" s="9">
        <v>702</v>
      </c>
      <c r="B702" s="5">
        <v>1</v>
      </c>
      <c r="C702" s="5">
        <v>2000000</v>
      </c>
      <c r="D702" s="5">
        <v>0</v>
      </c>
      <c r="E702" s="5">
        <v>0.25</v>
      </c>
      <c r="F702" s="5">
        <v>3.5000000000000003E-2</v>
      </c>
      <c r="G702" s="12">
        <f>(C702*$U$4)/($U$5*$U$3)</f>
        <v>29.387755102040813</v>
      </c>
      <c r="H702" s="11">
        <f>G702*COS(RADIANS(D702))</f>
        <v>29.387755102040813</v>
      </c>
      <c r="I702" s="11">
        <f>G702*SIN(RADIANS(D702))</f>
        <v>0</v>
      </c>
      <c r="J702" s="13">
        <v>0.33379999999999999</v>
      </c>
      <c r="K702" s="12">
        <v>30</v>
      </c>
      <c r="L702" s="12">
        <f>-(F702*G702*$U$3)/J702</f>
        <v>-3.0814003252589233</v>
      </c>
      <c r="M702" s="11">
        <f>ABS(L702/$U$6)</f>
        <v>8.983674417664499E-3</v>
      </c>
      <c r="N702" s="12">
        <f>L702*SIN(RADIANS(K702))</f>
        <v>-1.5407001626294614</v>
      </c>
      <c r="O702" s="12">
        <f>L702*COS(RADIANS(K702))</f>
        <v>-2.6685709609038599</v>
      </c>
      <c r="P702" s="5">
        <v>3.5214821771337603</v>
      </c>
      <c r="Q702" s="5">
        <v>0.33677124997828872</v>
      </c>
      <c r="R702" s="6">
        <f>P702/Q702</f>
        <v>10.456599776141184</v>
      </c>
    </row>
    <row r="703" spans="1:18" x14ac:dyDescent="0.35">
      <c r="A703" s="9">
        <v>703</v>
      </c>
      <c r="B703" s="5">
        <v>0.75</v>
      </c>
      <c r="C703" s="5">
        <v>6000000</v>
      </c>
      <c r="D703" s="5">
        <v>5</v>
      </c>
      <c r="E703" s="5">
        <v>0</v>
      </c>
      <c r="F703" s="5">
        <v>7.4999999999999997E-2</v>
      </c>
      <c r="G703" s="12">
        <f>(C703*$U$4)/($U$5*$U$3)</f>
        <v>88.16326530612244</v>
      </c>
      <c r="H703" s="11">
        <f>G703*COS(RADIANS(D703))</f>
        <v>87.827777464415107</v>
      </c>
      <c r="I703" s="11">
        <f>G703*SIN(RADIANS(D703))</f>
        <v>7.6839348708139434</v>
      </c>
      <c r="J703" s="11">
        <v>0.27929999999999999</v>
      </c>
      <c r="K703" s="12">
        <v>0</v>
      </c>
      <c r="L703" s="12">
        <f>-(F703*G703*$U$3)/J703</f>
        <v>-23.674346215392706</v>
      </c>
      <c r="M703" s="11">
        <f>ABS(L703/$U$6)</f>
        <v>6.9021417537588059E-2</v>
      </c>
      <c r="N703" s="12">
        <f>L703*SIN(RADIANS(K703))</f>
        <v>0</v>
      </c>
      <c r="O703" s="12">
        <f>L703*COS(RADIANS(K703))</f>
        <v>-23.674346215392706</v>
      </c>
      <c r="P703" s="5">
        <v>2.7028520953260786</v>
      </c>
      <c r="Q703" s="5">
        <v>0.92551543616150089</v>
      </c>
      <c r="R703" s="6">
        <f>P703/Q703</f>
        <v>2.9203749496993106</v>
      </c>
    </row>
    <row r="704" spans="1:18" x14ac:dyDescent="0.35">
      <c r="A704" s="9">
        <v>1962</v>
      </c>
      <c r="B704" s="5">
        <v>0.1</v>
      </c>
      <c r="C704" s="5">
        <v>4000000</v>
      </c>
      <c r="D704" s="5">
        <v>30</v>
      </c>
      <c r="E704" s="5">
        <v>0.25</v>
      </c>
      <c r="F704" s="5">
        <v>0.15</v>
      </c>
      <c r="G704" s="12">
        <f>(C704*$U$4)/($U$5*$U$3)</f>
        <v>58.775510204081627</v>
      </c>
      <c r="H704" s="11">
        <f>G704*COS(RADIANS(D704))</f>
        <v>50.901084957126187</v>
      </c>
      <c r="I704" s="11">
        <f>G704*SIN(RADIANS(D704))</f>
        <v>29.38775510204081</v>
      </c>
      <c r="J704" s="20">
        <v>0.1661</v>
      </c>
      <c r="K704" s="12">
        <v>80</v>
      </c>
      <c r="L704" s="12">
        <f>-(F704*G704*$U$3)/J704</f>
        <v>-53.078425831500567</v>
      </c>
      <c r="M704" s="11">
        <f>ABS(L704/$U$6)</f>
        <v>0.1547475971763865</v>
      </c>
      <c r="N704" s="12">
        <f>L704*SIN(RADIANS(K704))</f>
        <v>-52.272045276545214</v>
      </c>
      <c r="O704" s="12">
        <f>L704*COS(RADIANS(K704))</f>
        <v>-9.2169719190693993</v>
      </c>
      <c r="P704" s="5">
        <v>1.4854765602459374</v>
      </c>
      <c r="Q704" s="5">
        <v>1.0903484394073948</v>
      </c>
      <c r="R704" s="6">
        <f>P704/Q704</f>
        <v>1.362387019192961</v>
      </c>
    </row>
    <row r="705" spans="1:18" x14ac:dyDescent="0.35">
      <c r="A705" s="9">
        <v>705</v>
      </c>
      <c r="B705" s="5">
        <v>0.5</v>
      </c>
      <c r="C705" s="5">
        <v>2000000</v>
      </c>
      <c r="D705" s="5">
        <v>5</v>
      </c>
      <c r="E705" s="5">
        <v>0.25</v>
      </c>
      <c r="F705" s="5">
        <v>3.5000000000000003E-2</v>
      </c>
      <c r="G705" s="12">
        <f>(C705*$U$4)/($U$5*$U$3)</f>
        <v>29.387755102040813</v>
      </c>
      <c r="H705" s="11">
        <f>G705*COS(RADIANS(D705))</f>
        <v>29.275925821471702</v>
      </c>
      <c r="I705" s="11">
        <f>G705*SIN(RADIANS(D705))</f>
        <v>2.5613116236046478</v>
      </c>
      <c r="J705" s="11">
        <v>0.23580000000000001</v>
      </c>
      <c r="K705" s="11">
        <v>49</v>
      </c>
      <c r="L705" s="12">
        <f>-(F705*G705*$U$3)/J705</f>
        <v>-4.3620501635768809</v>
      </c>
      <c r="M705" s="11">
        <f>ABS(L705/$U$6)</f>
        <v>1.2717347415676037E-2</v>
      </c>
      <c r="N705" s="12">
        <f>L705*SIN(RADIANS(K705))</f>
        <v>-3.2920810478637819</v>
      </c>
      <c r="O705" s="12">
        <f>L705*COS(RADIANS(K705))</f>
        <v>-2.8617623947241317</v>
      </c>
      <c r="P705" s="5">
        <v>2.6216421975928008</v>
      </c>
      <c r="Q705" s="5">
        <v>0.24508185999092438</v>
      </c>
      <c r="R705" s="6">
        <f>P705/Q705</f>
        <v>10.697006288796253</v>
      </c>
    </row>
    <row r="706" spans="1:18" x14ac:dyDescent="0.35">
      <c r="A706" s="9">
        <v>706</v>
      </c>
      <c r="B706" s="5">
        <v>0.5</v>
      </c>
      <c r="C706" s="5">
        <v>4000000</v>
      </c>
      <c r="D706" s="5">
        <v>15</v>
      </c>
      <c r="E706" s="5">
        <v>0</v>
      </c>
      <c r="F706" s="5">
        <v>3.5000000000000003E-2</v>
      </c>
      <c r="G706" s="12">
        <f>(C706*$U$4)/($U$5*$U$3)</f>
        <v>58.775510204081627</v>
      </c>
      <c r="H706" s="11">
        <f>G706*COS(RADIANS(D706))</f>
        <v>56.772783259439109</v>
      </c>
      <c r="I706" s="11">
        <f>G706*SIN(RADIANS(D706))</f>
        <v>15.212221426433871</v>
      </c>
      <c r="J706" s="12">
        <v>0.23230000000000001</v>
      </c>
      <c r="K706" s="12">
        <v>0</v>
      </c>
      <c r="L706" s="12">
        <f>-(F706*G706*$U$3)/J706</f>
        <v>-8.8555439394871147</v>
      </c>
      <c r="M706" s="11">
        <f>ABS(L706/$U$6)</f>
        <v>2.5817912360020744E-2</v>
      </c>
      <c r="N706" s="12">
        <f>L706*SIN(RADIANS(K706))</f>
        <v>0</v>
      </c>
      <c r="O706" s="12">
        <f>L706*COS(RADIANS(K706))</f>
        <v>-8.8555439394871147</v>
      </c>
      <c r="P706" s="5">
        <v>3.1209934190410253</v>
      </c>
      <c r="Q706" s="5">
        <v>0.78068260748113971</v>
      </c>
      <c r="R706" s="6">
        <f>P706/Q706</f>
        <v>3.9977750101425498</v>
      </c>
    </row>
    <row r="707" spans="1:18" x14ac:dyDescent="0.35">
      <c r="A707" s="9">
        <v>707</v>
      </c>
      <c r="B707" s="5">
        <v>0.5</v>
      </c>
      <c r="C707" s="5">
        <v>2000000</v>
      </c>
      <c r="D707" s="5">
        <v>5</v>
      </c>
      <c r="E707" s="5">
        <v>0</v>
      </c>
      <c r="F707" s="5">
        <v>0.05</v>
      </c>
      <c r="G707" s="12">
        <f>(C707*$U$4)/($U$5*$U$3)</f>
        <v>29.387755102040813</v>
      </c>
      <c r="H707" s="11">
        <f>G707*COS(RADIANS(D707))</f>
        <v>29.275925821471702</v>
      </c>
      <c r="I707" s="11">
        <f>G707*SIN(RADIANS(D707))</f>
        <v>2.5613116236046478</v>
      </c>
      <c r="J707" s="12">
        <v>0.23230000000000001</v>
      </c>
      <c r="K707" s="12">
        <v>0</v>
      </c>
      <c r="L707" s="12">
        <f>-(F707*G707*$U$3)/J707</f>
        <v>-6.3253885282050826</v>
      </c>
      <c r="M707" s="11">
        <f>ABS(L707/$U$6)</f>
        <v>1.8441365971443389E-2</v>
      </c>
      <c r="N707" s="12">
        <f>L707*SIN(RADIANS(K707))</f>
        <v>0</v>
      </c>
      <c r="O707" s="12">
        <f>L707*COS(RADIANS(K707))</f>
        <v>-6.3253885282050826</v>
      </c>
      <c r="P707" s="5">
        <v>4.2682743759285051</v>
      </c>
      <c r="Q707" s="5">
        <v>0.41845625638124867</v>
      </c>
      <c r="R707" s="6">
        <f>P707/Q707</f>
        <v>10.200049134979954</v>
      </c>
    </row>
    <row r="708" spans="1:18" x14ac:dyDescent="0.35">
      <c r="A708" s="9">
        <v>708</v>
      </c>
      <c r="B708" s="5">
        <v>0.1</v>
      </c>
      <c r="C708" s="5">
        <v>4000000</v>
      </c>
      <c r="D708" s="5">
        <v>0</v>
      </c>
      <c r="E708" s="5">
        <v>0.125</v>
      </c>
      <c r="F708" s="5">
        <v>0.05</v>
      </c>
      <c r="G708" s="12">
        <f>(C708*$U$4)/($U$5*$U$3)</f>
        <v>58.775510204081627</v>
      </c>
      <c r="H708" s="11">
        <f>G708*COS(RADIANS(D708))</f>
        <v>58.775510204081627</v>
      </c>
      <c r="I708" s="11">
        <f>G708*SIN(RADIANS(D708))</f>
        <v>0</v>
      </c>
      <c r="J708" s="12">
        <v>0.1658</v>
      </c>
      <c r="K708" s="12">
        <v>69</v>
      </c>
      <c r="L708" s="12">
        <f>-(F708*G708*$U$3)/J708</f>
        <v>-17.724822136333422</v>
      </c>
      <c r="M708" s="11">
        <f>ABS(L708/$U$6)</f>
        <v>5.1675866286686363E-2</v>
      </c>
      <c r="N708" s="12">
        <f>L708*SIN(RADIANS(K708))</f>
        <v>-16.547547009625198</v>
      </c>
      <c r="O708" s="12">
        <f>L708*COS(RADIANS(K708))</f>
        <v>-6.3520081650529594</v>
      </c>
      <c r="P708" s="5">
        <v>1.2988818797857913</v>
      </c>
      <c r="Q708" s="5">
        <v>0.24096714524612067</v>
      </c>
      <c r="R708" s="6">
        <f>P708/Q708</f>
        <v>5.3902862087656409</v>
      </c>
    </row>
    <row r="709" spans="1:18" x14ac:dyDescent="0.35">
      <c r="A709" s="9">
        <v>709</v>
      </c>
      <c r="B709" s="5">
        <v>0.75</v>
      </c>
      <c r="C709" s="5">
        <v>2000000</v>
      </c>
      <c r="D709" s="5">
        <v>10</v>
      </c>
      <c r="E709" s="5">
        <v>0.25</v>
      </c>
      <c r="F709" s="5">
        <v>0.15</v>
      </c>
      <c r="G709" s="12">
        <f>(C709*$U$4)/($U$5*$U$3)</f>
        <v>29.387755102040813</v>
      </c>
      <c r="H709" s="11">
        <f>G709*COS(RADIANS(D709))</f>
        <v>28.941289068113864</v>
      </c>
      <c r="I709" s="11">
        <f>G709*SIN(RADIANS(D709))</f>
        <v>5.1031301191914213</v>
      </c>
      <c r="J709" s="12">
        <v>0.28370000000000001</v>
      </c>
      <c r="K709" s="11">
        <v>38</v>
      </c>
      <c r="L709" s="12">
        <f>-(F709*G709*$U$3)/J709</f>
        <v>-15.538115140310616</v>
      </c>
      <c r="M709" s="11">
        <f>ABS(L709/$U$6)</f>
        <v>4.5300627231226284E-2</v>
      </c>
      <c r="N709" s="12">
        <f>L709*SIN(RADIANS(K709))</f>
        <v>-9.5662188910635813</v>
      </c>
      <c r="O709" s="12">
        <f>L709*COS(RADIANS(K709))</f>
        <v>-12.244201821344184</v>
      </c>
      <c r="P709" s="5">
        <v>4.7301522159217013</v>
      </c>
      <c r="Q709" s="5">
        <v>0.11804817170040913</v>
      </c>
      <c r="R709" s="6">
        <f>P709/Q709</f>
        <v>40.069677893243544</v>
      </c>
    </row>
    <row r="710" spans="1:18" x14ac:dyDescent="0.35">
      <c r="A710" s="9">
        <v>710</v>
      </c>
      <c r="B710" s="5">
        <v>0.1</v>
      </c>
      <c r="C710" s="5">
        <v>2000000</v>
      </c>
      <c r="D710" s="5">
        <v>0</v>
      </c>
      <c r="E710" s="5">
        <v>0.25</v>
      </c>
      <c r="F710" s="5">
        <v>2.5000000000000001E-2</v>
      </c>
      <c r="G710" s="12">
        <f>(C710*$U$4)/($U$5*$U$3)</f>
        <v>29.387755102040813</v>
      </c>
      <c r="H710" s="11">
        <f>G710*COS(RADIANS(D710))</f>
        <v>29.387755102040813</v>
      </c>
      <c r="I710" s="11">
        <f>G710*SIN(RADIANS(D710))</f>
        <v>0</v>
      </c>
      <c r="J710" s="11">
        <v>0.1661</v>
      </c>
      <c r="K710" s="12">
        <v>80</v>
      </c>
      <c r="L710" s="12">
        <f>-(F710*G710*$U$3)/J710</f>
        <v>-4.4232021526250476</v>
      </c>
      <c r="M710" s="11">
        <f>ABS(L710/$U$6)</f>
        <v>1.2895633098032209E-2</v>
      </c>
      <c r="N710" s="12">
        <f>L710*SIN(RADIANS(K710))</f>
        <v>-4.3560037730454351</v>
      </c>
      <c r="O710" s="12">
        <f>L710*COS(RADIANS(K710))</f>
        <v>-0.76808099325578327</v>
      </c>
      <c r="P710" s="5">
        <v>1.3771140735337775</v>
      </c>
      <c r="Q710" s="5">
        <v>0.23467647091599875</v>
      </c>
      <c r="R710" s="6">
        <f>P710/Q710</f>
        <v>5.8681386683486831</v>
      </c>
    </row>
    <row r="711" spans="1:18" x14ac:dyDescent="0.35">
      <c r="A711" s="9">
        <v>711</v>
      </c>
      <c r="B711" s="5">
        <v>0.75</v>
      </c>
      <c r="C711" s="5">
        <v>2000000</v>
      </c>
      <c r="D711" s="5">
        <v>10</v>
      </c>
      <c r="E711" s="5">
        <v>0.125</v>
      </c>
      <c r="F711" s="5">
        <v>0</v>
      </c>
      <c r="G711" s="12">
        <f>(C711*$U$4)/($U$5*$U$3)</f>
        <v>29.387755102040813</v>
      </c>
      <c r="H711" s="11">
        <f>G711*COS(RADIANS(D711))</f>
        <v>28.941289068113864</v>
      </c>
      <c r="I711" s="11">
        <f>G711*SIN(RADIANS(D711))</f>
        <v>5.1031301191914213</v>
      </c>
      <c r="J711" s="12">
        <v>0.2802</v>
      </c>
      <c r="K711" s="12">
        <v>19</v>
      </c>
      <c r="L711" s="12">
        <f>-(F711*G711*$U$3)/J711</f>
        <v>0</v>
      </c>
      <c r="M711" s="11">
        <f>ABS(L711/$U$6)</f>
        <v>0</v>
      </c>
      <c r="N711" s="12">
        <f>L711*SIN(RADIANS(K711))</f>
        <v>0</v>
      </c>
      <c r="O711" s="12">
        <f>L711*COS(RADIANS(K711))</f>
        <v>0</v>
      </c>
      <c r="P711" s="5">
        <v>5.2053033410324332</v>
      </c>
      <c r="Q711" s="5">
        <v>1.3738584681552681</v>
      </c>
      <c r="R711" s="6">
        <f>P711/Q711</f>
        <v>3.7888206548828798</v>
      </c>
    </row>
    <row r="712" spans="1:18" x14ac:dyDescent="0.35">
      <c r="A712" s="9">
        <v>712</v>
      </c>
      <c r="B712" s="5">
        <v>0.75</v>
      </c>
      <c r="C712" s="5">
        <v>6000000</v>
      </c>
      <c r="D712" s="5">
        <v>10</v>
      </c>
      <c r="E712" s="5">
        <v>0.125</v>
      </c>
      <c r="F712" s="5">
        <v>1.4999999999999999E-2</v>
      </c>
      <c r="G712" s="12">
        <f>(C712*$U$4)/($U$5*$U$3)</f>
        <v>88.16326530612244</v>
      </c>
      <c r="H712" s="11">
        <f>G712*COS(RADIANS(D712))</f>
        <v>86.823867204341596</v>
      </c>
      <c r="I712" s="11">
        <f>G712*SIN(RADIANS(D712))</f>
        <v>15.309390357574264</v>
      </c>
      <c r="J712" s="12">
        <v>0.2802</v>
      </c>
      <c r="K712" s="12">
        <v>19</v>
      </c>
      <c r="L712" s="12">
        <f>-(F712*G712*$U$3)/J712</f>
        <v>-4.7196608836253979</v>
      </c>
      <c r="M712" s="11">
        <f>ABS(L712/$U$6)</f>
        <v>1.375994426712944E-2</v>
      </c>
      <c r="N712" s="12">
        <f>L712*SIN(RADIANS(K712))</f>
        <v>-1.5365712835455543</v>
      </c>
      <c r="O712" s="12">
        <f>L712*COS(RADIANS(K712))</f>
        <v>-4.4625270359972991</v>
      </c>
      <c r="P712" s="5">
        <v>4.027604378363935</v>
      </c>
      <c r="Q712" s="5">
        <v>0.71169673932858968</v>
      </c>
      <c r="R712" s="6">
        <f>P712/Q712</f>
        <v>5.6591581158058304</v>
      </c>
    </row>
    <row r="713" spans="1:18" x14ac:dyDescent="0.35">
      <c r="A713" s="9">
        <v>713</v>
      </c>
      <c r="B713" s="5">
        <v>1</v>
      </c>
      <c r="C713" s="5">
        <v>4000000</v>
      </c>
      <c r="D713" s="5">
        <v>5</v>
      </c>
      <c r="E713" s="5">
        <v>0</v>
      </c>
      <c r="F713" s="5">
        <v>1.4999999999999999E-2</v>
      </c>
      <c r="G713" s="12">
        <f>(C713*$U$4)/($U$5*$U$3)</f>
        <v>58.775510204081627</v>
      </c>
      <c r="H713" s="11">
        <f>G713*COS(RADIANS(D713))</f>
        <v>58.551851642943404</v>
      </c>
      <c r="I713" s="11">
        <f>G713*SIN(RADIANS(D713))</f>
        <v>5.1226232472092956</v>
      </c>
      <c r="J713" s="11">
        <v>0.33379999999999999</v>
      </c>
      <c r="K713" s="12">
        <v>0</v>
      </c>
      <c r="L713" s="12">
        <f>-(F713*G713*$U$3)/J713</f>
        <v>-2.6412002787933626</v>
      </c>
      <c r="M713" s="11">
        <f>ABS(L713/$U$6)</f>
        <v>7.7002923579981416E-3</v>
      </c>
      <c r="N713" s="12">
        <f>L713*SIN(RADIANS(K713))</f>
        <v>0</v>
      </c>
      <c r="O713" s="12">
        <f>L713*COS(RADIANS(K713))</f>
        <v>-2.6412002787933626</v>
      </c>
      <c r="P713" s="5">
        <v>0.89726032439456216</v>
      </c>
      <c r="Q713" s="5">
        <v>2.3096665438287189</v>
      </c>
      <c r="R713" s="6">
        <f>P713/Q713</f>
        <v>0.38848046129948249</v>
      </c>
    </row>
    <row r="714" spans="1:18" x14ac:dyDescent="0.35">
      <c r="A714" s="9">
        <v>714</v>
      </c>
      <c r="B714" s="5">
        <v>0.75</v>
      </c>
      <c r="C714" s="5">
        <v>2000000</v>
      </c>
      <c r="D714" s="5">
        <v>15</v>
      </c>
      <c r="E714" s="5">
        <v>0.375</v>
      </c>
      <c r="F714" s="5">
        <v>0</v>
      </c>
      <c r="G714" s="12">
        <f>(C714*$U$4)/($U$5*$U$3)</f>
        <v>29.387755102040813</v>
      </c>
      <c r="H714" s="11">
        <f>G714*COS(RADIANS(D714))</f>
        <v>28.386391629719554</v>
      </c>
      <c r="I714" s="11">
        <f>G714*SIN(RADIANS(D714))</f>
        <v>7.6061107132169354</v>
      </c>
      <c r="J714" s="11">
        <v>0.29299999999999998</v>
      </c>
      <c r="K714" s="12">
        <v>57</v>
      </c>
      <c r="L714" s="12">
        <f>-(F714*G714*$U$3)/J714</f>
        <v>0</v>
      </c>
      <c r="M714" s="11">
        <f>ABS(L714/$U$6)</f>
        <v>0</v>
      </c>
      <c r="N714" s="12">
        <f>L714*SIN(RADIANS(K714))</f>
        <v>0</v>
      </c>
      <c r="O714" s="12">
        <f>L714*COS(RADIANS(K714))</f>
        <v>0</v>
      </c>
      <c r="P714" s="5">
        <v>5.062394598295799</v>
      </c>
      <c r="Q714" s="5">
        <v>1.3435454874278641</v>
      </c>
      <c r="R714" s="6">
        <f>P714/Q714</f>
        <v>3.7679368846584009</v>
      </c>
    </row>
    <row r="715" spans="1:18" x14ac:dyDescent="0.35">
      <c r="A715" s="9">
        <v>715</v>
      </c>
      <c r="B715" s="5">
        <v>0.5</v>
      </c>
      <c r="C715" s="5">
        <v>2000000</v>
      </c>
      <c r="D715" s="5">
        <v>10</v>
      </c>
      <c r="E715" s="5">
        <v>0.25</v>
      </c>
      <c r="F715" s="5">
        <v>0.05</v>
      </c>
      <c r="G715" s="12">
        <f>(C715*$U$4)/($U$5*$U$3)</f>
        <v>29.387755102040813</v>
      </c>
      <c r="H715" s="11">
        <f>G715*COS(RADIANS(D715))</f>
        <v>28.941289068113864</v>
      </c>
      <c r="I715" s="11">
        <f>G715*SIN(RADIANS(D715))</f>
        <v>5.1031301191914213</v>
      </c>
      <c r="J715" s="11">
        <v>0.23580000000000001</v>
      </c>
      <c r="K715" s="11">
        <v>49</v>
      </c>
      <c r="L715" s="12">
        <f>-(F715*G715*$U$3)/J715</f>
        <v>-6.2315002336812579</v>
      </c>
      <c r="M715" s="11">
        <f>ABS(L715/$U$6)</f>
        <v>1.8167639165251482E-2</v>
      </c>
      <c r="N715" s="12">
        <f>L715*SIN(RADIANS(K715))</f>
        <v>-4.7029729255196875</v>
      </c>
      <c r="O715" s="12">
        <f>L715*COS(RADIANS(K715))</f>
        <v>-4.0882319924630455</v>
      </c>
      <c r="P715" s="5">
        <v>3.0519223426435316</v>
      </c>
      <c r="Q715" s="5">
        <v>0.35975023933822742</v>
      </c>
      <c r="R715" s="6">
        <f>P715/Q715</f>
        <v>8.4834477059908142</v>
      </c>
    </row>
    <row r="716" spans="1:18" x14ac:dyDescent="0.35">
      <c r="A716" s="9">
        <v>716</v>
      </c>
      <c r="B716" s="5">
        <v>0.25</v>
      </c>
      <c r="C716" s="5">
        <v>2000000</v>
      </c>
      <c r="D716" s="5">
        <v>30</v>
      </c>
      <c r="E716" s="5">
        <v>0.375</v>
      </c>
      <c r="F716" s="5">
        <v>2.5000000000000001E-2</v>
      </c>
      <c r="G716" s="12">
        <f>(C716*$U$4)/($U$5*$U$3)</f>
        <v>29.387755102040813</v>
      </c>
      <c r="H716" s="11">
        <f>G716*COS(RADIANS(D716))</f>
        <v>25.450542478563094</v>
      </c>
      <c r="I716" s="11">
        <f>G716*SIN(RADIANS(D716))</f>
        <v>14.693877551020405</v>
      </c>
      <c r="J716" s="11">
        <v>0.1976</v>
      </c>
      <c r="K716" s="12">
        <v>78</v>
      </c>
      <c r="L716" s="12">
        <f>-(F716*G716*$U$3)/J716</f>
        <v>-3.7180864248533418</v>
      </c>
      <c r="M716" s="11">
        <f>ABS(L716/$U$6)</f>
        <v>1.0839902113275049E-2</v>
      </c>
      <c r="N716" s="12">
        <f>L716*SIN(RADIANS(K716))</f>
        <v>-3.636837315791229</v>
      </c>
      <c r="O716" s="12">
        <f>L716*COS(RADIANS(K716))</f>
        <v>-0.77303363519781665</v>
      </c>
      <c r="P716" s="5">
        <v>2.2867507357755921</v>
      </c>
      <c r="Q716" s="5">
        <v>0.93556780783741911</v>
      </c>
      <c r="R716" s="6">
        <f>P716/Q716</f>
        <v>2.4442383722687673</v>
      </c>
    </row>
    <row r="717" spans="1:18" x14ac:dyDescent="0.35">
      <c r="A717" s="9">
        <v>717</v>
      </c>
      <c r="B717" s="5">
        <v>0.5</v>
      </c>
      <c r="C717" s="5">
        <v>4000000</v>
      </c>
      <c r="D717" s="5">
        <v>20</v>
      </c>
      <c r="E717" s="5">
        <v>0.25</v>
      </c>
      <c r="F717" s="5">
        <v>7.4999999999999997E-2</v>
      </c>
      <c r="G717" s="12">
        <f>(C717*$U$4)/($U$5*$U$3)</f>
        <v>58.775510204081627</v>
      </c>
      <c r="H717" s="11">
        <f>G717*COS(RADIANS(D717))</f>
        <v>55.230913221702366</v>
      </c>
      <c r="I717" s="11">
        <f>G717*SIN(RADIANS(D717))</f>
        <v>20.102408424039304</v>
      </c>
      <c r="J717" s="11">
        <v>0.23580000000000001</v>
      </c>
      <c r="K717" s="11">
        <v>49</v>
      </c>
      <c r="L717" s="12">
        <f>-(F717*G717*$U$3)/J717</f>
        <v>-18.694500701043772</v>
      </c>
      <c r="M717" s="11">
        <f>ABS(L717/$U$6)</f>
        <v>5.4502917495754435E-2</v>
      </c>
      <c r="N717" s="12">
        <f>L717*SIN(RADIANS(K717))</f>
        <v>-14.108918776559062</v>
      </c>
      <c r="O717" s="12">
        <f>L717*COS(RADIANS(K717))</f>
        <v>-12.264695977389135</v>
      </c>
      <c r="P717" s="5">
        <v>4.4232183749766802</v>
      </c>
      <c r="Q717" s="5">
        <v>0.83683972354339575</v>
      </c>
      <c r="R717" s="6">
        <f>P717/Q717</f>
        <v>5.2856219064836338</v>
      </c>
    </row>
    <row r="718" spans="1:18" x14ac:dyDescent="0.35">
      <c r="A718" s="9">
        <v>718</v>
      </c>
      <c r="B718" s="5">
        <v>0.75</v>
      </c>
      <c r="C718" s="5">
        <v>4000000</v>
      </c>
      <c r="D718" s="5">
        <v>5</v>
      </c>
      <c r="E718" s="5">
        <v>0.375</v>
      </c>
      <c r="F718" s="5">
        <v>0.1</v>
      </c>
      <c r="G718" s="12">
        <f>(C718*$U$4)/($U$5*$U$3)</f>
        <v>58.775510204081627</v>
      </c>
      <c r="H718" s="11">
        <f>G718*COS(RADIANS(D718))</f>
        <v>58.551851642943404</v>
      </c>
      <c r="I718" s="11">
        <f>G718*SIN(RADIANS(D718))</f>
        <v>5.1226232472092956</v>
      </c>
      <c r="J718" s="11">
        <v>0.29299999999999998</v>
      </c>
      <c r="K718" s="12">
        <v>57</v>
      </c>
      <c r="L718" s="12">
        <f>-(F718*G718*$U$3)/J718</f>
        <v>-20.059901093543218</v>
      </c>
      <c r="M718" s="11">
        <f>ABS(L718/$U$6)</f>
        <v>5.84836766575604E-2</v>
      </c>
      <c r="N718" s="12">
        <f>L718*SIN(RADIANS(K718))</f>
        <v>-16.823648643050923</v>
      </c>
      <c r="O718" s="12">
        <f>L718*COS(RADIANS(K718))</f>
        <v>-10.925405174084265</v>
      </c>
      <c r="P718" s="5">
        <v>5.2861880043635114</v>
      </c>
      <c r="Q718" s="5">
        <v>-0.36720901170504194</v>
      </c>
      <c r="R718" s="6">
        <f>P718/Q718</f>
        <v>-14.39558353924496</v>
      </c>
    </row>
    <row r="719" spans="1:18" x14ac:dyDescent="0.35">
      <c r="A719" s="9">
        <v>719</v>
      </c>
      <c r="B719" s="5">
        <v>0.1</v>
      </c>
      <c r="C719" s="5">
        <v>2000000</v>
      </c>
      <c r="D719" s="5">
        <v>0</v>
      </c>
      <c r="E719" s="5">
        <v>0.375</v>
      </c>
      <c r="F719" s="5">
        <v>0.05</v>
      </c>
      <c r="G719" s="12">
        <f>(C719*$U$4)/($U$5*$U$3)</f>
        <v>29.387755102040813</v>
      </c>
      <c r="H719" s="11">
        <f>G719*COS(RADIANS(D719))</f>
        <v>29.387755102040813</v>
      </c>
      <c r="I719" s="11">
        <f>G719*SIN(RADIANS(D719))</f>
        <v>0</v>
      </c>
      <c r="J719" s="12">
        <v>0.16789999999999999</v>
      </c>
      <c r="K719" s="11">
        <v>85</v>
      </c>
      <c r="L719" s="12">
        <f>-(F719*G719*$U$3)/J719</f>
        <v>-8.7515649499823756</v>
      </c>
      <c r="M719" s="11">
        <f>ABS(L719/$U$6)</f>
        <v>2.5514766618024418E-2</v>
      </c>
      <c r="N719" s="12">
        <f>L719*SIN(RADIANS(K719))</f>
        <v>-8.718262603177994</v>
      </c>
      <c r="O719" s="12">
        <f>L719*COS(RADIANS(K719))</f>
        <v>-0.7627491434200856</v>
      </c>
      <c r="P719" s="5">
        <v>1.6086241970893453</v>
      </c>
      <c r="Q719" s="5">
        <v>0.19194965933127164</v>
      </c>
      <c r="R719" s="6">
        <f>P719/Q719</f>
        <v>8.3804483044856077</v>
      </c>
    </row>
    <row r="720" spans="1:18" x14ac:dyDescent="0.35">
      <c r="A720" s="9">
        <v>720</v>
      </c>
      <c r="B720" s="5">
        <v>0.75</v>
      </c>
      <c r="C720" s="5">
        <v>4000000</v>
      </c>
      <c r="D720" s="5">
        <v>0</v>
      </c>
      <c r="E720" s="5">
        <v>0.125</v>
      </c>
      <c r="F720" s="5">
        <v>1.4999999999999999E-2</v>
      </c>
      <c r="G720" s="12">
        <f>(C720*$U$4)/($U$5*$U$3)</f>
        <v>58.775510204081627</v>
      </c>
      <c r="H720" s="11">
        <f>G720*COS(RADIANS(D720))</f>
        <v>58.775510204081627</v>
      </c>
      <c r="I720" s="11">
        <f>G720*SIN(RADIANS(D720))</f>
        <v>0</v>
      </c>
      <c r="J720" s="12">
        <v>0.2802</v>
      </c>
      <c r="K720" s="12">
        <v>19</v>
      </c>
      <c r="L720" s="12">
        <f>-(F720*G720*$U$3)/J720</f>
        <v>-3.1464405890835989</v>
      </c>
      <c r="M720" s="11">
        <f>ABS(L720/$U$6)</f>
        <v>9.1732961780862949E-3</v>
      </c>
      <c r="N720" s="12">
        <f>L720*SIN(RADIANS(K720))</f>
        <v>-1.0243808556970362</v>
      </c>
      <c r="O720" s="12">
        <f>L720*COS(RADIANS(K720))</f>
        <v>-2.9750180239981998</v>
      </c>
      <c r="P720" s="5">
        <v>4.0977609475988572</v>
      </c>
      <c r="Q720" s="5">
        <v>0.26310821484578889</v>
      </c>
      <c r="R720" s="6">
        <f>P720/Q720</f>
        <v>15.574431797960424</v>
      </c>
    </row>
    <row r="721" spans="1:18" x14ac:dyDescent="0.35">
      <c r="A721" s="9">
        <v>721</v>
      </c>
      <c r="B721" s="5">
        <v>0.25</v>
      </c>
      <c r="C721" s="5">
        <v>2000000</v>
      </c>
      <c r="D721" s="5">
        <v>0</v>
      </c>
      <c r="E721" s="5">
        <v>0</v>
      </c>
      <c r="F721" s="5">
        <v>7.4999999999999997E-2</v>
      </c>
      <c r="G721" s="12">
        <f>(C721*$U$4)/($U$5*$U$3)</f>
        <v>29.387755102040813</v>
      </c>
      <c r="H721" s="11">
        <f>G721*COS(RADIANS(D721))</f>
        <v>29.387755102040813</v>
      </c>
      <c r="I721" s="11">
        <f>G721*SIN(RADIANS(D721))</f>
        <v>0</v>
      </c>
      <c r="J721" s="12">
        <v>0.18990000000000001</v>
      </c>
      <c r="K721" s="12">
        <v>0</v>
      </c>
      <c r="L721" s="12">
        <f>-(F721*G721*$U$3)/J721</f>
        <v>-11.606538349937129</v>
      </c>
      <c r="M721" s="11">
        <f>ABS(L721/$U$6)</f>
        <v>3.3838304227221949E-2</v>
      </c>
      <c r="N721" s="12">
        <f>L721*SIN(RADIANS(K721))</f>
        <v>0</v>
      </c>
      <c r="O721" s="12">
        <f>L721*COS(RADIANS(K721))</f>
        <v>-11.606538349937129</v>
      </c>
      <c r="P721" s="5">
        <v>2.258710229774707</v>
      </c>
      <c r="Q721" s="5">
        <v>0.11808809088000211</v>
      </c>
      <c r="R721" s="6">
        <f>P721/Q721</f>
        <v>19.127332933766766</v>
      </c>
    </row>
    <row r="722" spans="1:18" x14ac:dyDescent="0.35">
      <c r="A722" s="9">
        <v>722</v>
      </c>
      <c r="B722" s="5">
        <v>0.25</v>
      </c>
      <c r="C722" s="5">
        <v>4000000</v>
      </c>
      <c r="D722" s="5">
        <v>10</v>
      </c>
      <c r="E722" s="5">
        <v>0.25</v>
      </c>
      <c r="F722" s="5">
        <v>0.1</v>
      </c>
      <c r="G722" s="12">
        <f>(C722*$U$4)/($U$5*$U$3)</f>
        <v>58.775510204081627</v>
      </c>
      <c r="H722" s="11">
        <f>G722*COS(RADIANS(D722))</f>
        <v>57.882578136227728</v>
      </c>
      <c r="I722" s="11">
        <f>G722*SIN(RADIANS(D722))</f>
        <v>10.206260238382843</v>
      </c>
      <c r="J722" s="12">
        <v>0.1913</v>
      </c>
      <c r="K722" s="11">
        <v>67</v>
      </c>
      <c r="L722" s="12">
        <f>-(F722*G722*$U$3)/J722</f>
        <v>-30.724260430779733</v>
      </c>
      <c r="M722" s="11">
        <f>ABS(L722/$U$6)</f>
        <v>8.9575103296733918E-2</v>
      </c>
      <c r="N722" s="12">
        <f>L722*SIN(RADIANS(K722))</f>
        <v>-28.281830845269511</v>
      </c>
      <c r="O722" s="12">
        <f>L722*COS(RADIANS(K722))</f>
        <v>-12.004924950116903</v>
      </c>
      <c r="P722" s="5">
        <v>2.438442708058187</v>
      </c>
      <c r="Q722" s="5">
        <v>0.38121728100309255</v>
      </c>
      <c r="R722" s="6">
        <f>P722/Q722</f>
        <v>6.3964642464316972</v>
      </c>
    </row>
    <row r="723" spans="1:18" x14ac:dyDescent="0.35">
      <c r="A723" s="9">
        <v>723</v>
      </c>
      <c r="B723" s="5">
        <v>0.1</v>
      </c>
      <c r="C723" s="5">
        <v>4000000</v>
      </c>
      <c r="D723" s="5">
        <v>5</v>
      </c>
      <c r="E723" s="5">
        <v>0</v>
      </c>
      <c r="F723" s="5">
        <v>7.4999999999999997E-2</v>
      </c>
      <c r="G723" s="12">
        <f>(C723*$U$4)/($U$5*$U$3)</f>
        <v>58.775510204081627</v>
      </c>
      <c r="H723" s="11">
        <f>G723*COS(RADIANS(D723))</f>
        <v>58.551851642943404</v>
      </c>
      <c r="I723" s="11">
        <f>G723*SIN(RADIANS(D723))</f>
        <v>5.1226232472092956</v>
      </c>
      <c r="J723" s="11">
        <v>0.16569999999999999</v>
      </c>
      <c r="K723" s="12">
        <v>0</v>
      </c>
      <c r="L723" s="12">
        <f>-(F723*G723*$U$3)/J723</f>
        <v>-26.603278607761752</v>
      </c>
      <c r="M723" s="11">
        <f>ABS(L723/$U$6)</f>
        <v>7.7560579031375365E-2</v>
      </c>
      <c r="N723" s="12">
        <f>L723*SIN(RADIANS(K723))</f>
        <v>0</v>
      </c>
      <c r="O723" s="12">
        <f>L723*COS(RADIANS(K723))</f>
        <v>-26.603278607761752</v>
      </c>
      <c r="P723" s="5">
        <v>1.4007998869273028</v>
      </c>
      <c r="Q723" s="5">
        <v>0.29625695095666355</v>
      </c>
      <c r="R723" s="6">
        <f>P723/Q723</f>
        <v>4.7283274954524588</v>
      </c>
    </row>
    <row r="724" spans="1:18" x14ac:dyDescent="0.35">
      <c r="A724" s="9">
        <v>724</v>
      </c>
      <c r="B724" s="5">
        <v>0.1</v>
      </c>
      <c r="C724" s="5">
        <v>2000000</v>
      </c>
      <c r="D724" s="5">
        <v>30</v>
      </c>
      <c r="E724" s="5">
        <v>0.125</v>
      </c>
      <c r="F724" s="5">
        <v>0.15</v>
      </c>
      <c r="G724" s="12">
        <f>(C724*$U$4)/($U$5*$U$3)</f>
        <v>29.387755102040813</v>
      </c>
      <c r="H724" s="11">
        <f>G724*COS(RADIANS(D724))</f>
        <v>25.450542478563094</v>
      </c>
      <c r="I724" s="11">
        <f>G724*SIN(RADIANS(D724))</f>
        <v>14.693877551020405</v>
      </c>
      <c r="J724" s="12">
        <v>0.1658</v>
      </c>
      <c r="K724" s="12">
        <v>69</v>
      </c>
      <c r="L724" s="12">
        <f>-(F724*G724*$U$3)/J724</f>
        <v>-26.587233204500134</v>
      </c>
      <c r="M724" s="11">
        <f>ABS(L724/$U$6)</f>
        <v>7.7513799430029548E-2</v>
      </c>
      <c r="N724" s="12">
        <f>L724*SIN(RADIANS(K724))</f>
        <v>-24.821320514437797</v>
      </c>
      <c r="O724" s="12">
        <f>L724*COS(RADIANS(K724))</f>
        <v>-9.5280122475794382</v>
      </c>
      <c r="P724" s="5">
        <v>1.7807961823749558</v>
      </c>
      <c r="Q724" s="5">
        <v>1.1480261530099587</v>
      </c>
      <c r="R724" s="6">
        <f>P724/Q724</f>
        <v>1.5511808487167</v>
      </c>
    </row>
    <row r="725" spans="1:18" x14ac:dyDescent="0.35">
      <c r="A725" s="9">
        <v>725</v>
      </c>
      <c r="B725" s="5">
        <v>0.75</v>
      </c>
      <c r="C725" s="5">
        <v>6000000</v>
      </c>
      <c r="D725" s="5">
        <v>0</v>
      </c>
      <c r="E725" s="5">
        <v>0</v>
      </c>
      <c r="F725" s="5">
        <v>2.5000000000000001E-2</v>
      </c>
      <c r="G725" s="12">
        <f>(C725*$U$4)/($U$5*$U$3)</f>
        <v>88.16326530612244</v>
      </c>
      <c r="H725" s="11">
        <f>G725*COS(RADIANS(D725))</f>
        <v>88.16326530612244</v>
      </c>
      <c r="I725" s="11">
        <f>G725*SIN(RADIANS(D725))</f>
        <v>0</v>
      </c>
      <c r="J725" s="11">
        <v>0.27929999999999999</v>
      </c>
      <c r="K725" s="12">
        <v>0</v>
      </c>
      <c r="L725" s="12">
        <f>-(F725*G725*$U$3)/J725</f>
        <v>-7.891448738464236</v>
      </c>
      <c r="M725" s="11">
        <f>ABS(L725/$U$6)</f>
        <v>2.3007139179196022E-2</v>
      </c>
      <c r="N725" s="12">
        <f>L725*SIN(RADIANS(K725))</f>
        <v>0</v>
      </c>
      <c r="O725" s="12">
        <f>L725*COS(RADIANS(K725))</f>
        <v>-7.891448738464236</v>
      </c>
      <c r="P725" s="5">
        <v>3.0122315486411133</v>
      </c>
      <c r="Q725" s="5">
        <v>0.81610225871004516</v>
      </c>
      <c r="R725" s="6">
        <f>P725/Q725</f>
        <v>3.6909976862486982</v>
      </c>
    </row>
    <row r="726" spans="1:18" x14ac:dyDescent="0.35">
      <c r="A726" s="9">
        <v>2009</v>
      </c>
      <c r="B726" s="5">
        <v>0.1</v>
      </c>
      <c r="C726" s="5">
        <v>4000000</v>
      </c>
      <c r="D726" s="5">
        <v>15</v>
      </c>
      <c r="E726" s="5">
        <v>0.25</v>
      </c>
      <c r="F726" s="5">
        <v>0.15</v>
      </c>
      <c r="G726" s="12">
        <f>(C726*$U$4)/($U$5*$U$3)</f>
        <v>58.775510204081627</v>
      </c>
      <c r="H726" s="11">
        <f>G726*COS(RADIANS(D726))</f>
        <v>56.772783259439109</v>
      </c>
      <c r="I726" s="11">
        <f>G726*SIN(RADIANS(D726))</f>
        <v>15.212221426433871</v>
      </c>
      <c r="J726" s="11">
        <v>0.1661</v>
      </c>
      <c r="K726" s="12">
        <v>80</v>
      </c>
      <c r="L726" s="12">
        <f>-(F726*G726*$U$3)/J726</f>
        <v>-53.078425831500567</v>
      </c>
      <c r="M726" s="11">
        <f>ABS(L726/$U$6)</f>
        <v>0.1547475971763865</v>
      </c>
      <c r="N726" s="12">
        <f>L726*SIN(RADIANS(K726))</f>
        <v>-52.272045276545214</v>
      </c>
      <c r="O726" s="12">
        <f>L726*COS(RADIANS(K726))</f>
        <v>-9.2169719190693993</v>
      </c>
      <c r="P726" s="5">
        <v>2.1210699831886219</v>
      </c>
      <c r="Q726" s="5">
        <v>0.69128166754005294</v>
      </c>
      <c r="R726" s="6">
        <f>P726/Q726</f>
        <v>3.0683151062525855</v>
      </c>
    </row>
    <row r="727" spans="1:18" x14ac:dyDescent="0.35">
      <c r="A727" s="9">
        <v>727</v>
      </c>
      <c r="B727" s="5">
        <v>0.75</v>
      </c>
      <c r="C727" s="5">
        <v>4000000</v>
      </c>
      <c r="D727" s="5">
        <v>5</v>
      </c>
      <c r="E727" s="5">
        <v>0.25</v>
      </c>
      <c r="F727" s="5">
        <v>7.4999999999999997E-2</v>
      </c>
      <c r="G727" s="12">
        <f>(C727*$U$4)/($U$5*$U$3)</f>
        <v>58.775510204081627</v>
      </c>
      <c r="H727" s="11">
        <f>G727*COS(RADIANS(D727))</f>
        <v>58.551851642943404</v>
      </c>
      <c r="I727" s="11">
        <f>G727*SIN(RADIANS(D727))</f>
        <v>5.1226232472092956</v>
      </c>
      <c r="J727" s="12">
        <v>0.28370000000000001</v>
      </c>
      <c r="K727" s="11">
        <v>38</v>
      </c>
      <c r="L727" s="12">
        <f>-(F727*G727*$U$3)/J727</f>
        <v>-15.538115140310616</v>
      </c>
      <c r="M727" s="11">
        <f>ABS(L727/$U$6)</f>
        <v>4.5300627231226284E-2</v>
      </c>
      <c r="N727" s="12">
        <f>L727*SIN(RADIANS(K727))</f>
        <v>-9.5662188910635813</v>
      </c>
      <c r="O727" s="12">
        <f>L727*COS(RADIANS(K727))</f>
        <v>-12.244201821344184</v>
      </c>
      <c r="P727" s="5">
        <v>3.7660934775699859</v>
      </c>
      <c r="Q727" s="5">
        <v>0.16868951845423963</v>
      </c>
      <c r="R727" s="6">
        <f>P727/Q727</f>
        <v>22.325592675111071</v>
      </c>
    </row>
    <row r="728" spans="1:18" x14ac:dyDescent="0.35">
      <c r="A728" s="9">
        <v>2071</v>
      </c>
      <c r="B728" s="5">
        <v>0.1</v>
      </c>
      <c r="C728" s="5">
        <v>4000000</v>
      </c>
      <c r="D728" s="5">
        <v>0</v>
      </c>
      <c r="E728" s="5">
        <v>0.25</v>
      </c>
      <c r="F728" s="5">
        <v>0.15</v>
      </c>
      <c r="G728" s="12">
        <f>(C728*$U$4)/($U$5*$U$3)</f>
        <v>58.775510204081627</v>
      </c>
      <c r="H728" s="11">
        <f>G728*COS(RADIANS(D728))</f>
        <v>58.775510204081627</v>
      </c>
      <c r="I728" s="11">
        <f>G728*SIN(RADIANS(D728))</f>
        <v>0</v>
      </c>
      <c r="J728" s="20">
        <v>0.1661</v>
      </c>
      <c r="K728" s="12">
        <v>80</v>
      </c>
      <c r="L728" s="12">
        <f>-(F728*G728*$U$3)/J728</f>
        <v>-53.078425831500567</v>
      </c>
      <c r="M728" s="11">
        <f>ABS(L728/$U$6)</f>
        <v>0.1547475971763865</v>
      </c>
      <c r="N728" s="12">
        <f>L728*SIN(RADIANS(K728))</f>
        <v>-52.272045276545214</v>
      </c>
      <c r="O728" s="12">
        <f>L728*COS(RADIANS(K728))</f>
        <v>-9.2169719190693993</v>
      </c>
      <c r="P728" s="5">
        <v>1.6323917335908522</v>
      </c>
      <c r="Q728" s="5">
        <v>0.2072584623756899</v>
      </c>
      <c r="R728" s="6">
        <f>P728/Q728</f>
        <v>7.8761162023477471</v>
      </c>
    </row>
    <row r="729" spans="1:18" x14ac:dyDescent="0.35">
      <c r="A729" s="9">
        <v>729</v>
      </c>
      <c r="B729" s="5">
        <v>0.75</v>
      </c>
      <c r="C729" s="5">
        <v>4000000</v>
      </c>
      <c r="D729" s="5">
        <v>20</v>
      </c>
      <c r="E729" s="5">
        <v>0</v>
      </c>
      <c r="F729" s="5">
        <v>2.5000000000000001E-2</v>
      </c>
      <c r="G729" s="12">
        <f>(C729*$U$4)/($U$5*$U$3)</f>
        <v>58.775510204081627</v>
      </c>
      <c r="H729" s="11">
        <f>G729*COS(RADIANS(D729))</f>
        <v>55.230913221702366</v>
      </c>
      <c r="I729" s="11">
        <f>G729*SIN(RADIANS(D729))</f>
        <v>20.102408424039304</v>
      </c>
      <c r="J729" s="11">
        <v>0.27929999999999999</v>
      </c>
      <c r="K729" s="12">
        <v>0</v>
      </c>
      <c r="L729" s="12">
        <f>-(F729*G729*$U$3)/J729</f>
        <v>-5.260965825642824</v>
      </c>
      <c r="M729" s="11">
        <f>ABS(L729/$U$6)</f>
        <v>1.5338092786130682E-2</v>
      </c>
      <c r="N729" s="12">
        <f>L729*SIN(RADIANS(K729))</f>
        <v>0</v>
      </c>
      <c r="O729" s="12">
        <f>L729*COS(RADIANS(K729))</f>
        <v>-5.260965825642824</v>
      </c>
      <c r="P729" s="5">
        <v>0.95264309122213653</v>
      </c>
      <c r="Q729" s="5">
        <v>1.4746449482218569</v>
      </c>
      <c r="R729" s="6">
        <f>P729/Q729</f>
        <v>0.64601522717101767</v>
      </c>
    </row>
    <row r="730" spans="1:18" x14ac:dyDescent="0.35">
      <c r="A730" s="9">
        <v>730</v>
      </c>
      <c r="B730" s="5">
        <v>1</v>
      </c>
      <c r="C730" s="5">
        <v>2000000</v>
      </c>
      <c r="D730" s="5">
        <v>20</v>
      </c>
      <c r="E730" s="5">
        <v>0.125</v>
      </c>
      <c r="F730" s="5">
        <v>0</v>
      </c>
      <c r="G730" s="12">
        <f>(C730*$U$4)/($U$5*$U$3)</f>
        <v>29.387755102040813</v>
      </c>
      <c r="H730" s="11">
        <f>G730*COS(RADIANS(D730))</f>
        <v>27.615456610851183</v>
      </c>
      <c r="I730" s="11">
        <f>G730*SIN(RADIANS(D730))</f>
        <v>10.051204212019652</v>
      </c>
      <c r="J730" s="11">
        <v>0.33379999999999999</v>
      </c>
      <c r="K730" s="12">
        <v>14</v>
      </c>
      <c r="L730" s="12">
        <f>-(F730*G730*$U$3)/J730</f>
        <v>0</v>
      </c>
      <c r="M730" s="11">
        <f>ABS(L730/$U$6)</f>
        <v>0</v>
      </c>
      <c r="N730" s="12">
        <f>L730*SIN(RADIANS(K730))</f>
        <v>0</v>
      </c>
      <c r="O730" s="12">
        <f>L730*COS(RADIANS(K730))</f>
        <v>0</v>
      </c>
      <c r="P730" s="5">
        <v>5.7378072438982324</v>
      </c>
      <c r="Q730" s="5">
        <v>2.5525748551400227</v>
      </c>
      <c r="R730" s="6">
        <f>P730/Q730</f>
        <v>2.2478507270195145</v>
      </c>
    </row>
    <row r="731" spans="1:18" x14ac:dyDescent="0.35">
      <c r="A731" s="9">
        <v>731</v>
      </c>
      <c r="B731" s="5">
        <v>1</v>
      </c>
      <c r="C731" s="5">
        <v>6000000</v>
      </c>
      <c r="D731" s="5">
        <v>0</v>
      </c>
      <c r="E731" s="5">
        <v>0.375</v>
      </c>
      <c r="F731" s="5">
        <v>0</v>
      </c>
      <c r="G731" s="12">
        <f>(C731*$U$4)/($U$5*$U$3)</f>
        <v>88.16326530612244</v>
      </c>
      <c r="H731" s="11">
        <f>G731*COS(RADIANS(D731))</f>
        <v>88.16326530612244</v>
      </c>
      <c r="I731" s="11">
        <f>G731*SIN(RADIANS(D731))</f>
        <v>0</v>
      </c>
      <c r="J731" s="12">
        <v>0.33379999999999999</v>
      </c>
      <c r="K731" s="11">
        <v>49</v>
      </c>
      <c r="L731" s="12">
        <f>-(F731*G731*$U$3)/J731</f>
        <v>0</v>
      </c>
      <c r="M731" s="11">
        <f>ABS(L731/$U$6)</f>
        <v>0</v>
      </c>
      <c r="N731" s="12">
        <f>L731*SIN(RADIANS(K731))</f>
        <v>0</v>
      </c>
      <c r="O731" s="12">
        <f>L731*COS(RADIANS(K731))</f>
        <v>0</v>
      </c>
      <c r="P731" s="5">
        <v>6.0531109067862117</v>
      </c>
      <c r="Q731" s="5">
        <v>0.33936463699588487</v>
      </c>
      <c r="R731" s="6">
        <f>P731/Q731</f>
        <v>17.836598887760989</v>
      </c>
    </row>
    <row r="732" spans="1:18" x14ac:dyDescent="0.35">
      <c r="A732" s="9">
        <v>732</v>
      </c>
      <c r="B732" s="5">
        <v>1</v>
      </c>
      <c r="C732" s="5">
        <v>4000000</v>
      </c>
      <c r="D732" s="5">
        <v>5</v>
      </c>
      <c r="E732" s="5">
        <v>0</v>
      </c>
      <c r="F732" s="5">
        <v>0.05</v>
      </c>
      <c r="G732" s="12">
        <f>(C732*$U$4)/($U$5*$U$3)</f>
        <v>58.775510204081627</v>
      </c>
      <c r="H732" s="11">
        <f>G732*COS(RADIANS(D732))</f>
        <v>58.551851642943404</v>
      </c>
      <c r="I732" s="11">
        <f>G732*SIN(RADIANS(D732))</f>
        <v>5.1226232472092956</v>
      </c>
      <c r="J732" s="11">
        <v>0.33379999999999999</v>
      </c>
      <c r="K732" s="12">
        <v>0</v>
      </c>
      <c r="L732" s="12">
        <f>-(F732*G732*$U$3)/J732</f>
        <v>-8.8040009293112096</v>
      </c>
      <c r="M732" s="11">
        <f>ABS(L732/$U$6)</f>
        <v>2.566764119332714E-2</v>
      </c>
      <c r="N732" s="12">
        <f>L732*SIN(RADIANS(K732))</f>
        <v>0</v>
      </c>
      <c r="O732" s="12">
        <f>L732*COS(RADIANS(K732))</f>
        <v>-8.8040009293112096</v>
      </c>
      <c r="P732" s="5">
        <v>2.6545221199041009</v>
      </c>
      <c r="Q732" s="5">
        <v>1.431527618685182</v>
      </c>
      <c r="R732" s="6">
        <f>P732/Q732</f>
        <v>1.8543282611216436</v>
      </c>
    </row>
    <row r="733" spans="1:18" x14ac:dyDescent="0.35">
      <c r="A733" s="9">
        <v>733</v>
      </c>
      <c r="B733" s="5">
        <v>0.5</v>
      </c>
      <c r="C733" s="5">
        <v>4000000</v>
      </c>
      <c r="D733" s="5">
        <v>10</v>
      </c>
      <c r="E733" s="5">
        <v>0</v>
      </c>
      <c r="F733" s="5">
        <v>7.4999999999999997E-2</v>
      </c>
      <c r="G733" s="12">
        <f>(C733*$U$4)/($U$5*$U$3)</f>
        <v>58.775510204081627</v>
      </c>
      <c r="H733" s="11">
        <f>G733*COS(RADIANS(D733))</f>
        <v>57.882578136227728</v>
      </c>
      <c r="I733" s="11">
        <f>G733*SIN(RADIANS(D733))</f>
        <v>10.206260238382843</v>
      </c>
      <c r="J733" s="12">
        <v>0.23230000000000001</v>
      </c>
      <c r="K733" s="12">
        <v>0</v>
      </c>
      <c r="L733" s="12">
        <f>-(F733*G733*$U$3)/J733</f>
        <v>-18.976165584615249</v>
      </c>
      <c r="M733" s="11">
        <f>ABS(L733/$U$6)</f>
        <v>5.532409791433017E-2</v>
      </c>
      <c r="N733" s="12">
        <f>L733*SIN(RADIANS(K733))</f>
        <v>0</v>
      </c>
      <c r="O733" s="12">
        <f>L733*COS(RADIANS(K733))</f>
        <v>-18.976165584615249</v>
      </c>
      <c r="P733" s="5">
        <v>4.6187215062345155</v>
      </c>
      <c r="Q733" s="5">
        <v>0.62977665888448608</v>
      </c>
      <c r="R733" s="6">
        <f>P733/Q733</f>
        <v>7.3339039182804697</v>
      </c>
    </row>
    <row r="734" spans="1:18" x14ac:dyDescent="0.35">
      <c r="A734" s="9">
        <v>734</v>
      </c>
      <c r="B734" s="5">
        <v>0.25</v>
      </c>
      <c r="C734" s="5">
        <v>6000000</v>
      </c>
      <c r="D734" s="5">
        <v>0</v>
      </c>
      <c r="E734" s="5">
        <v>0.125</v>
      </c>
      <c r="F734" s="5">
        <v>2.5000000000000001E-2</v>
      </c>
      <c r="G734" s="12">
        <f>(C734*$U$4)/($U$5*$U$3)</f>
        <v>88.16326530612244</v>
      </c>
      <c r="H734" s="11">
        <f>G734*COS(RADIANS(D734))</f>
        <v>88.16326530612244</v>
      </c>
      <c r="I734" s="11">
        <f>G734*SIN(RADIANS(D734))</f>
        <v>0</v>
      </c>
      <c r="J734" s="11">
        <v>0.19020000000000001</v>
      </c>
      <c r="K734" s="12">
        <v>46</v>
      </c>
      <c r="L734" s="12">
        <f>-(F734*G734*$U$3)/J734</f>
        <v>-11.588231507113885</v>
      </c>
      <c r="M734" s="11">
        <f>ABS(L734/$U$6)</f>
        <v>3.3784931507620658E-2</v>
      </c>
      <c r="N734" s="12">
        <f>L734*SIN(RADIANS(K734))</f>
        <v>-8.3358761386053679</v>
      </c>
      <c r="O734" s="12">
        <f>L734*COS(RADIANS(K734))</f>
        <v>-8.0498620152333409</v>
      </c>
      <c r="P734" s="5">
        <v>1.9871735363943905</v>
      </c>
      <c r="Q734" s="5">
        <v>0.21507464930085021</v>
      </c>
      <c r="R734" s="6">
        <f>P734/Q734</f>
        <v>9.2394596148553845</v>
      </c>
    </row>
    <row r="735" spans="1:18" x14ac:dyDescent="0.35">
      <c r="A735" s="9">
        <v>735</v>
      </c>
      <c r="B735" s="5">
        <v>0.75</v>
      </c>
      <c r="C735" s="5">
        <v>4000000</v>
      </c>
      <c r="D735" s="5">
        <v>20</v>
      </c>
      <c r="E735" s="5">
        <v>0.375</v>
      </c>
      <c r="F735" s="5">
        <v>2.5000000000000001E-2</v>
      </c>
      <c r="G735" s="12">
        <f>(C735*$U$4)/($U$5*$U$3)</f>
        <v>58.775510204081627</v>
      </c>
      <c r="H735" s="11">
        <f>G735*COS(RADIANS(D735))</f>
        <v>55.230913221702366</v>
      </c>
      <c r="I735" s="11">
        <f>G735*SIN(RADIANS(D735))</f>
        <v>20.102408424039304</v>
      </c>
      <c r="J735" s="11">
        <v>0.29299999999999998</v>
      </c>
      <c r="K735" s="12">
        <v>57</v>
      </c>
      <c r="L735" s="12">
        <f>-(F735*G735*$U$3)/J735</f>
        <v>-5.0149752733858044</v>
      </c>
      <c r="M735" s="11">
        <f>ABS(L735/$U$6)</f>
        <v>1.46209191643901E-2</v>
      </c>
      <c r="N735" s="12">
        <f>L735*SIN(RADIANS(K735))</f>
        <v>-4.2059121607627308</v>
      </c>
      <c r="O735" s="12">
        <f>L735*COS(RADIANS(K735))</f>
        <v>-2.7313512935210662</v>
      </c>
      <c r="P735" s="5">
        <v>4.3213128046372811</v>
      </c>
      <c r="Q735" s="5">
        <v>0.67830565959859457</v>
      </c>
      <c r="R735" s="6">
        <f>P735/Q735</f>
        <v>6.3707456122281698</v>
      </c>
    </row>
    <row r="736" spans="1:18" x14ac:dyDescent="0.35">
      <c r="A736" s="9">
        <v>736</v>
      </c>
      <c r="B736" s="5">
        <v>1</v>
      </c>
      <c r="C736" s="5">
        <v>6000000</v>
      </c>
      <c r="D736" s="5">
        <v>20</v>
      </c>
      <c r="E736" s="5">
        <v>0.25</v>
      </c>
      <c r="F736" s="5">
        <v>2.5000000000000001E-2</v>
      </c>
      <c r="G736" s="12">
        <f>(C736*$U$4)/($U$5*$U$3)</f>
        <v>88.16326530612244</v>
      </c>
      <c r="H736" s="11">
        <f>G736*COS(RADIANS(D736))</f>
        <v>82.846369832553549</v>
      </c>
      <c r="I736" s="11">
        <f>G736*SIN(RADIANS(D736))</f>
        <v>30.153612636058952</v>
      </c>
      <c r="J736" s="13">
        <v>0.33379999999999999</v>
      </c>
      <c r="K736" s="12">
        <v>30</v>
      </c>
      <c r="L736" s="12">
        <f>-(F736*G736*$U$3)/J736</f>
        <v>-6.6030006969834067</v>
      </c>
      <c r="M736" s="11">
        <f>ABS(L736/$U$6)</f>
        <v>1.9250730894995356E-2</v>
      </c>
      <c r="N736" s="12">
        <f>L736*SIN(RADIANS(K736))</f>
        <v>-3.3015003484917029</v>
      </c>
      <c r="O736" s="12">
        <f>L736*COS(RADIANS(K736))</f>
        <v>-5.718366344793985</v>
      </c>
      <c r="P736" s="5">
        <v>4.5950626181616858</v>
      </c>
      <c r="Q736" s="5">
        <v>0.90071260342750104</v>
      </c>
      <c r="R736" s="6">
        <f>P736/Q736</f>
        <v>5.1015857896025825</v>
      </c>
    </row>
    <row r="737" spans="1:18" x14ac:dyDescent="0.35">
      <c r="A737" s="9">
        <v>737</v>
      </c>
      <c r="B737" s="5">
        <v>0.1</v>
      </c>
      <c r="C737" s="5">
        <v>4000000</v>
      </c>
      <c r="D737" s="5">
        <v>5</v>
      </c>
      <c r="E737" s="5">
        <v>0.375</v>
      </c>
      <c r="F737" s="5">
        <v>7.4999999999999997E-2</v>
      </c>
      <c r="G737" s="12">
        <f>(C737*$U$4)/($U$5*$U$3)</f>
        <v>58.775510204081627</v>
      </c>
      <c r="H737" s="11">
        <f>G737*COS(RADIANS(D737))</f>
        <v>58.551851642943404</v>
      </c>
      <c r="I737" s="11">
        <f>G737*SIN(RADIANS(D737))</f>
        <v>5.1226232472092956</v>
      </c>
      <c r="J737" s="12">
        <v>0.16789999999999999</v>
      </c>
      <c r="K737" s="11">
        <v>85</v>
      </c>
      <c r="L737" s="12">
        <f>-(F737*G737*$U$3)/J737</f>
        <v>-26.254694849947125</v>
      </c>
      <c r="M737" s="11">
        <f>ABS(L737/$U$6)</f>
        <v>7.6544299854073253E-2</v>
      </c>
      <c r="N737" s="12">
        <f>L737*SIN(RADIANS(K737))</f>
        <v>-26.154787809533982</v>
      </c>
      <c r="O737" s="12">
        <f>L737*COS(RADIANS(K737))</f>
        <v>-2.2882474302602565</v>
      </c>
      <c r="P737" s="5">
        <v>1.9144350416782947</v>
      </c>
      <c r="Q737" s="5">
        <v>0.3297985013859302</v>
      </c>
      <c r="R737" s="6">
        <f>P737/Q737</f>
        <v>5.8048627681240514</v>
      </c>
    </row>
    <row r="738" spans="1:18" x14ac:dyDescent="0.35">
      <c r="A738" s="9">
        <v>738</v>
      </c>
      <c r="B738" s="5">
        <v>0.5</v>
      </c>
      <c r="C738" s="5">
        <v>2000000</v>
      </c>
      <c r="D738" s="5">
        <v>10</v>
      </c>
      <c r="E738" s="5">
        <v>0.375</v>
      </c>
      <c r="F738" s="5">
        <v>3.5000000000000003E-2</v>
      </c>
      <c r="G738" s="12">
        <f>(C738*$U$4)/($U$5*$U$3)</f>
        <v>29.387755102040813</v>
      </c>
      <c r="H738" s="11">
        <f>G738*COS(RADIANS(D738))</f>
        <v>28.941289068113864</v>
      </c>
      <c r="I738" s="11">
        <f>G738*SIN(RADIANS(D738))</f>
        <v>5.1031301191914213</v>
      </c>
      <c r="J738" s="12">
        <v>0.24809999999999999</v>
      </c>
      <c r="K738" s="12">
        <v>67</v>
      </c>
      <c r="L738" s="12">
        <f>-(F738*G738*$U$3)/J738</f>
        <v>-4.1457937467610986</v>
      </c>
      <c r="M738" s="11">
        <f>ABS(L738/$U$6)</f>
        <v>1.2086862235455098E-2</v>
      </c>
      <c r="N738" s="12">
        <f>L738*SIN(RADIANS(K738))</f>
        <v>-3.8162232653063688</v>
      </c>
      <c r="O738" s="12">
        <f>L738*COS(RADIANS(K738))</f>
        <v>-1.6198906691557382</v>
      </c>
      <c r="P738" s="5">
        <v>3.2514643572070243</v>
      </c>
      <c r="Q738" s="5">
        <v>0.26183825544632616</v>
      </c>
      <c r="R738" s="6">
        <f>P738/Q738</f>
        <v>12.417835398668615</v>
      </c>
    </row>
    <row r="739" spans="1:18" x14ac:dyDescent="0.35">
      <c r="A739" s="9">
        <v>739</v>
      </c>
      <c r="B739" s="5">
        <v>0.5</v>
      </c>
      <c r="C739" s="5">
        <v>6000000</v>
      </c>
      <c r="D739" s="5">
        <v>0</v>
      </c>
      <c r="E739" s="5">
        <v>0.25</v>
      </c>
      <c r="F739" s="5">
        <v>3.5000000000000003E-2</v>
      </c>
      <c r="G739" s="12">
        <f>(C739*$U$4)/($U$5*$U$3)</f>
        <v>88.16326530612244</v>
      </c>
      <c r="H739" s="11">
        <f>G739*COS(RADIANS(D739))</f>
        <v>88.16326530612244</v>
      </c>
      <c r="I739" s="11">
        <f>G739*SIN(RADIANS(D739))</f>
        <v>0</v>
      </c>
      <c r="J739" s="11">
        <v>0.23580000000000001</v>
      </c>
      <c r="K739" s="11">
        <v>49</v>
      </c>
      <c r="L739" s="12">
        <f>-(F739*G739*$U$3)/J739</f>
        <v>-13.086150490730644</v>
      </c>
      <c r="M739" s="11">
        <f>ABS(L739/$U$6)</f>
        <v>3.8152042247028117E-2</v>
      </c>
      <c r="N739" s="12">
        <f>L739*SIN(RADIANS(K739))</f>
        <v>-9.8762431435913456</v>
      </c>
      <c r="O739" s="12">
        <f>L739*COS(RADIANS(K739))</f>
        <v>-8.5852871841723957</v>
      </c>
      <c r="P739" s="5">
        <v>2.5125910872425994</v>
      </c>
      <c r="Q739" s="5">
        <v>0.10417227994694503</v>
      </c>
      <c r="R739" s="6">
        <f>P739/Q739</f>
        <v>24.119574694172602</v>
      </c>
    </row>
    <row r="740" spans="1:18" x14ac:dyDescent="0.35">
      <c r="A740" s="9">
        <v>740</v>
      </c>
      <c r="B740" s="5">
        <v>1</v>
      </c>
      <c r="C740" s="5">
        <v>2000000</v>
      </c>
      <c r="D740" s="5">
        <v>5</v>
      </c>
      <c r="E740" s="5">
        <v>0.375</v>
      </c>
      <c r="F740" s="5">
        <v>0.05</v>
      </c>
      <c r="G740" s="12">
        <f>(C740*$U$4)/($U$5*$U$3)</f>
        <v>29.387755102040813</v>
      </c>
      <c r="H740" s="11">
        <f>G740*COS(RADIANS(D740))</f>
        <v>29.275925821471702</v>
      </c>
      <c r="I740" s="11">
        <f>G740*SIN(RADIANS(D740))</f>
        <v>2.5613116236046478</v>
      </c>
      <c r="J740" s="12">
        <v>0.33379999999999999</v>
      </c>
      <c r="K740" s="11">
        <v>49</v>
      </c>
      <c r="L740" s="12">
        <f>-(F740*G740*$U$3)/J740</f>
        <v>-4.4020004646556048</v>
      </c>
      <c r="M740" s="11">
        <f>ABS(L740/$U$6)</f>
        <v>1.283382059666357E-2</v>
      </c>
      <c r="N740" s="12">
        <f>L740*SIN(RADIANS(K740))</f>
        <v>-3.3222319228206789</v>
      </c>
      <c r="O740" s="12">
        <f>L740*COS(RADIANS(K740))</f>
        <v>-2.8879721504577178</v>
      </c>
      <c r="P740" s="5">
        <v>4.9589003470191644</v>
      </c>
      <c r="Q740" s="5">
        <v>-0.25364970256223784</v>
      </c>
      <c r="R740" s="6">
        <f>P740/Q740</f>
        <v>-19.550191846972115</v>
      </c>
    </row>
    <row r="741" spans="1:18" x14ac:dyDescent="0.35">
      <c r="A741" s="9">
        <v>741</v>
      </c>
      <c r="B741" s="5">
        <v>0.75</v>
      </c>
      <c r="C741" s="5">
        <v>4000000</v>
      </c>
      <c r="D741" s="5">
        <v>0</v>
      </c>
      <c r="E741" s="5">
        <v>0.25</v>
      </c>
      <c r="F741" s="5">
        <v>7.4999999999999997E-2</v>
      </c>
      <c r="G741" s="12">
        <f>(C741*$U$4)/($U$5*$U$3)</f>
        <v>58.775510204081627</v>
      </c>
      <c r="H741" s="11">
        <f>G741*COS(RADIANS(D741))</f>
        <v>58.775510204081627</v>
      </c>
      <c r="I741" s="11">
        <f>G741*SIN(RADIANS(D741))</f>
        <v>0</v>
      </c>
      <c r="J741" s="12">
        <v>0.28370000000000001</v>
      </c>
      <c r="K741" s="11">
        <v>38</v>
      </c>
      <c r="L741" s="12">
        <f>-(F741*G741*$U$3)/J741</f>
        <v>-15.538115140310616</v>
      </c>
      <c r="M741" s="11">
        <f>ABS(L741/$U$6)</f>
        <v>4.5300627231226284E-2</v>
      </c>
      <c r="N741" s="12">
        <f>L741*SIN(RADIANS(K741))</f>
        <v>-9.5662188910635813</v>
      </c>
      <c r="O741" s="12">
        <f>L741*COS(RADIANS(K741))</f>
        <v>-12.244201821344184</v>
      </c>
      <c r="P741" s="5">
        <v>3.613996771592995</v>
      </c>
      <c r="Q741" s="5">
        <v>-0.12582857556077881</v>
      </c>
      <c r="R741" s="6">
        <f>P741/Q741</f>
        <v>-28.721590111678019</v>
      </c>
    </row>
    <row r="742" spans="1:18" x14ac:dyDescent="0.35">
      <c r="A742" s="9">
        <v>742</v>
      </c>
      <c r="B742" s="5">
        <v>1</v>
      </c>
      <c r="C742" s="5">
        <v>4000000</v>
      </c>
      <c r="D742" s="5">
        <v>30</v>
      </c>
      <c r="E742" s="5">
        <v>0.125</v>
      </c>
      <c r="F742" s="5">
        <v>3.5000000000000003E-2</v>
      </c>
      <c r="G742" s="12">
        <f>(C742*$U$4)/($U$5*$U$3)</f>
        <v>58.775510204081627</v>
      </c>
      <c r="H742" s="11">
        <f>G742*COS(RADIANS(D742))</f>
        <v>50.901084957126187</v>
      </c>
      <c r="I742" s="11">
        <f>G742*SIN(RADIANS(D742))</f>
        <v>29.38775510204081</v>
      </c>
      <c r="J742" s="11">
        <v>0.33379999999999999</v>
      </c>
      <c r="K742" s="12">
        <v>14</v>
      </c>
      <c r="L742" s="12">
        <f>-(F742*G742*$U$3)/J742</f>
        <v>-6.1628006505178465</v>
      </c>
      <c r="M742" s="11">
        <f>ABS(L742/$U$6)</f>
        <v>1.7967348835328998E-2</v>
      </c>
      <c r="N742" s="12">
        <f>L742*SIN(RADIANS(K742))</f>
        <v>-1.4909164155761427</v>
      </c>
      <c r="O742" s="12">
        <f>L742*COS(RADIANS(K742))</f>
        <v>-5.9797391330883976</v>
      </c>
      <c r="P742" s="5">
        <v>3.7445910550406198</v>
      </c>
      <c r="Q742" s="5">
        <v>1.3406701492069433</v>
      </c>
      <c r="R742" s="6">
        <f>P742/Q742</f>
        <v>2.7930740885486904</v>
      </c>
    </row>
    <row r="743" spans="1:18" x14ac:dyDescent="0.35">
      <c r="A743" s="9">
        <v>743</v>
      </c>
      <c r="B743" s="5">
        <v>0.5</v>
      </c>
      <c r="C743" s="5">
        <v>4000000</v>
      </c>
      <c r="D743" s="5">
        <v>20</v>
      </c>
      <c r="E743" s="5">
        <v>0.125</v>
      </c>
      <c r="F743" s="5">
        <v>0.05</v>
      </c>
      <c r="G743" s="12">
        <f>(C743*$U$4)/($U$5*$U$3)</f>
        <v>58.775510204081627</v>
      </c>
      <c r="H743" s="11">
        <f>G743*COS(RADIANS(D743))</f>
        <v>55.230913221702366</v>
      </c>
      <c r="I743" s="11">
        <f>G743*SIN(RADIANS(D743))</f>
        <v>20.102408424039304</v>
      </c>
      <c r="J743" s="12">
        <v>0.23300000000000001</v>
      </c>
      <c r="K743" s="11">
        <v>27</v>
      </c>
      <c r="L743" s="12">
        <f>-(F743*G743*$U$3)/J743</f>
        <v>-12.612770430060435</v>
      </c>
      <c r="M743" s="11">
        <f>ABS(L743/$U$6)</f>
        <v>3.6771925452071239E-2</v>
      </c>
      <c r="N743" s="12">
        <f>L743*SIN(RADIANS(K743))</f>
        <v>-5.7260779506433144</v>
      </c>
      <c r="O743" s="12">
        <f>L743*COS(RADIANS(K743))</f>
        <v>-11.238060741273975</v>
      </c>
      <c r="P743" s="5">
        <v>4.9447583898609597</v>
      </c>
      <c r="Q743" s="5">
        <v>1.1113246595404969</v>
      </c>
      <c r="R743" s="6">
        <f>P743/Q743</f>
        <v>4.449427399465324</v>
      </c>
    </row>
    <row r="744" spans="1:18" x14ac:dyDescent="0.35">
      <c r="A744" s="9">
        <v>744</v>
      </c>
      <c r="B744" s="5">
        <v>0.75</v>
      </c>
      <c r="C744" s="5">
        <v>6000000</v>
      </c>
      <c r="D744" s="5">
        <v>5</v>
      </c>
      <c r="E744" s="5">
        <v>0</v>
      </c>
      <c r="F744" s="5">
        <v>2.5000000000000001E-2</v>
      </c>
      <c r="G744" s="12">
        <f>(C744*$U$4)/($U$5*$U$3)</f>
        <v>88.16326530612244</v>
      </c>
      <c r="H744" s="11">
        <f>G744*COS(RADIANS(D744))</f>
        <v>87.827777464415107</v>
      </c>
      <c r="I744" s="11">
        <f>G744*SIN(RADIANS(D744))</f>
        <v>7.6839348708139434</v>
      </c>
      <c r="J744" s="11">
        <v>0.27929999999999999</v>
      </c>
      <c r="K744" s="12">
        <v>0</v>
      </c>
      <c r="L744" s="12">
        <f>-(F744*G744*$U$3)/J744</f>
        <v>-7.891448738464236</v>
      </c>
      <c r="M744" s="11">
        <f>ABS(L744/$U$6)</f>
        <v>2.3007139179196022E-2</v>
      </c>
      <c r="N744" s="12">
        <f>L744*SIN(RADIANS(K744))</f>
        <v>0</v>
      </c>
      <c r="O744" s="12">
        <f>L744*COS(RADIANS(K744))</f>
        <v>-7.891448738464236</v>
      </c>
      <c r="P744" s="5">
        <v>2.5852898568131746</v>
      </c>
      <c r="Q744" s="5">
        <v>1.0398268340975163</v>
      </c>
      <c r="R744" s="6">
        <f>P744/Q744</f>
        <v>2.4862696095518562</v>
      </c>
    </row>
    <row r="745" spans="1:18" x14ac:dyDescent="0.35">
      <c r="A745" s="9">
        <v>745</v>
      </c>
      <c r="B745" s="5">
        <v>0.75</v>
      </c>
      <c r="C745" s="5">
        <v>4000000</v>
      </c>
      <c r="D745" s="5">
        <v>20</v>
      </c>
      <c r="E745" s="5">
        <v>0</v>
      </c>
      <c r="F745" s="5">
        <v>0.05</v>
      </c>
      <c r="G745" s="12">
        <f>(C745*$U$4)/($U$5*$U$3)</f>
        <v>58.775510204081627</v>
      </c>
      <c r="H745" s="11">
        <f>G745*COS(RADIANS(D745))</f>
        <v>55.230913221702366</v>
      </c>
      <c r="I745" s="11">
        <f>G745*SIN(RADIANS(D745))</f>
        <v>20.102408424039304</v>
      </c>
      <c r="J745" s="11">
        <v>0.27929999999999999</v>
      </c>
      <c r="K745" s="12">
        <v>0</v>
      </c>
      <c r="L745" s="12">
        <f>-(F745*G745*$U$3)/J745</f>
        <v>-10.521931651285648</v>
      </c>
      <c r="M745" s="11">
        <f>ABS(L745/$U$6)</f>
        <v>3.0676185572261365E-2</v>
      </c>
      <c r="N745" s="12">
        <f>L745*SIN(RADIANS(K745))</f>
        <v>0</v>
      </c>
      <c r="O745" s="12">
        <f>L745*COS(RADIANS(K745))</f>
        <v>-10.521931651285648</v>
      </c>
      <c r="P745" s="5">
        <v>3.8924217207891458</v>
      </c>
      <c r="Q745" s="5">
        <v>1.1662789909694575</v>
      </c>
      <c r="R745" s="6">
        <f>P745/Q745</f>
        <v>3.3374704945628917</v>
      </c>
    </row>
    <row r="746" spans="1:18" x14ac:dyDescent="0.35">
      <c r="A746" s="9">
        <v>746</v>
      </c>
      <c r="B746" s="5">
        <v>0.75</v>
      </c>
      <c r="C746" s="5">
        <v>4000000</v>
      </c>
      <c r="D746" s="5">
        <v>30</v>
      </c>
      <c r="E746" s="5">
        <v>0.375</v>
      </c>
      <c r="F746" s="5">
        <v>0</v>
      </c>
      <c r="G746" s="12">
        <f>(C746*$U$4)/($U$5*$U$3)</f>
        <v>58.775510204081627</v>
      </c>
      <c r="H746" s="11">
        <f>G746*COS(RADIANS(D746))</f>
        <v>50.901084957126187</v>
      </c>
      <c r="I746" s="11">
        <f>G746*SIN(RADIANS(D746))</f>
        <v>29.38775510204081</v>
      </c>
      <c r="J746" s="11">
        <v>0.29299999999999998</v>
      </c>
      <c r="K746" s="12">
        <v>57</v>
      </c>
      <c r="L746" s="12">
        <f>-(F746*G746*$U$3)/J746</f>
        <v>0</v>
      </c>
      <c r="M746" s="11">
        <f>ABS(L746/$U$6)</f>
        <v>0</v>
      </c>
      <c r="N746" s="12">
        <f>L746*SIN(RADIANS(K746))</f>
        <v>0</v>
      </c>
      <c r="O746" s="12">
        <f>L746*COS(RADIANS(K746))</f>
        <v>0</v>
      </c>
      <c r="P746" s="5">
        <v>4.503653577721459</v>
      </c>
      <c r="Q746" s="5">
        <v>2.1749891374875854</v>
      </c>
      <c r="R746" s="6">
        <f>P746/Q746</f>
        <v>2.0706556644801477</v>
      </c>
    </row>
    <row r="747" spans="1:18" x14ac:dyDescent="0.35">
      <c r="A747" s="9">
        <v>747</v>
      </c>
      <c r="B747" s="5">
        <v>0.5</v>
      </c>
      <c r="C747" s="5">
        <v>6000000</v>
      </c>
      <c r="D747" s="5">
        <v>10</v>
      </c>
      <c r="E747" s="5">
        <v>0.375</v>
      </c>
      <c r="F747" s="5">
        <v>0</v>
      </c>
      <c r="G747" s="12">
        <f>(C747*$U$4)/($U$5*$U$3)</f>
        <v>88.16326530612244</v>
      </c>
      <c r="H747" s="11">
        <f>G747*COS(RADIANS(D747))</f>
        <v>86.823867204341596</v>
      </c>
      <c r="I747" s="11">
        <f>G747*SIN(RADIANS(D747))</f>
        <v>15.309390357574264</v>
      </c>
      <c r="J747" s="12">
        <v>0.24809999999999999</v>
      </c>
      <c r="K747" s="12">
        <v>67</v>
      </c>
      <c r="L747" s="12">
        <f>-(F747*G747*$U$3)/J747</f>
        <v>0</v>
      </c>
      <c r="M747" s="11">
        <f>ABS(L747/$U$6)</f>
        <v>0</v>
      </c>
      <c r="N747" s="12">
        <f>L747*SIN(RADIANS(K747))</f>
        <v>0</v>
      </c>
      <c r="O747" s="12">
        <f>L747*COS(RADIANS(K747))</f>
        <v>0</v>
      </c>
      <c r="P747" s="5">
        <v>4.2675075295753127</v>
      </c>
      <c r="Q747" s="5">
        <v>0.83304959352233199</v>
      </c>
      <c r="R747" s="6">
        <f>P747/Q747</f>
        <v>5.1227532703440559</v>
      </c>
    </row>
    <row r="748" spans="1:18" x14ac:dyDescent="0.35">
      <c r="A748" s="9">
        <v>2164</v>
      </c>
      <c r="B748" s="5">
        <v>0.1</v>
      </c>
      <c r="C748" s="5">
        <v>4000000</v>
      </c>
      <c r="D748" s="5">
        <v>10</v>
      </c>
      <c r="E748" s="5">
        <v>0.25</v>
      </c>
      <c r="F748" s="5">
        <v>0.15</v>
      </c>
      <c r="G748" s="12">
        <f>(C748*$U$4)/($U$5*$U$3)</f>
        <v>58.775510204081627</v>
      </c>
      <c r="H748" s="11">
        <f>G748*COS(RADIANS(D748))</f>
        <v>57.882578136227728</v>
      </c>
      <c r="I748" s="11">
        <f>G748*SIN(RADIANS(D748))</f>
        <v>10.206260238382843</v>
      </c>
      <c r="J748" s="20">
        <v>0.1661</v>
      </c>
      <c r="K748" s="19">
        <v>80</v>
      </c>
      <c r="L748" s="12">
        <f>-(F748*G748*$U$3)/J748</f>
        <v>-53.078425831500567</v>
      </c>
      <c r="M748" s="11">
        <f>ABS(L748/$U$6)</f>
        <v>0.1547475971763865</v>
      </c>
      <c r="N748" s="12">
        <f>L748*SIN(RADIANS(K748))</f>
        <v>-52.272045276545214</v>
      </c>
      <c r="O748" s="12">
        <f>L748*COS(RADIANS(K748))</f>
        <v>-9.2169719190693993</v>
      </c>
      <c r="P748" s="5">
        <v>1.9982049265637265</v>
      </c>
      <c r="Q748" s="5">
        <v>0.50601221747130054</v>
      </c>
      <c r="R748" s="6">
        <f>P748/Q748</f>
        <v>3.9489262463846706</v>
      </c>
    </row>
    <row r="749" spans="1:18" x14ac:dyDescent="0.35">
      <c r="A749" s="9">
        <v>749</v>
      </c>
      <c r="B749" s="5">
        <v>0.1</v>
      </c>
      <c r="C749" s="5">
        <v>4000000</v>
      </c>
      <c r="D749" s="5">
        <v>30</v>
      </c>
      <c r="E749" s="5">
        <v>0.25</v>
      </c>
      <c r="F749" s="5">
        <v>0.05</v>
      </c>
      <c r="G749" s="12">
        <f>(C749*$U$4)/($U$5*$U$3)</f>
        <v>58.775510204081627</v>
      </c>
      <c r="H749" s="11">
        <f>G749*COS(RADIANS(D749))</f>
        <v>50.901084957126187</v>
      </c>
      <c r="I749" s="11">
        <f>G749*SIN(RADIANS(D749))</f>
        <v>29.38775510204081</v>
      </c>
      <c r="J749" s="11">
        <v>0.1661</v>
      </c>
      <c r="K749" s="12">
        <v>80</v>
      </c>
      <c r="L749" s="12">
        <f>-(F749*G749*$U$3)/J749</f>
        <v>-17.69280861050019</v>
      </c>
      <c r="M749" s="11">
        <f>ABS(L749/$U$6)</f>
        <v>5.1582532392128837E-2</v>
      </c>
      <c r="N749" s="12">
        <f>L749*SIN(RADIANS(K749))</f>
        <v>-17.42401509218174</v>
      </c>
      <c r="O749" s="12">
        <f>L749*COS(RADIANS(K749))</f>
        <v>-3.0723239730231331</v>
      </c>
      <c r="P749" s="5">
        <v>1.3637428539059864</v>
      </c>
      <c r="Q749" s="5">
        <v>1.0304745425915789</v>
      </c>
      <c r="R749" s="6">
        <f>P749/Q749</f>
        <v>1.3234124643935974</v>
      </c>
    </row>
    <row r="750" spans="1:18" x14ac:dyDescent="0.35">
      <c r="A750" s="9">
        <v>750</v>
      </c>
      <c r="B750" s="5">
        <v>1</v>
      </c>
      <c r="C750" s="5">
        <v>4000000</v>
      </c>
      <c r="D750" s="5">
        <v>10</v>
      </c>
      <c r="E750" s="5">
        <v>0.25</v>
      </c>
      <c r="F750" s="5">
        <v>0.05</v>
      </c>
      <c r="G750" s="12">
        <f>(C750*$U$4)/($U$5*$U$3)</f>
        <v>58.775510204081627</v>
      </c>
      <c r="H750" s="11">
        <f>G750*COS(RADIANS(D750))</f>
        <v>57.882578136227728</v>
      </c>
      <c r="I750" s="11">
        <f>G750*SIN(RADIANS(D750))</f>
        <v>10.206260238382843</v>
      </c>
      <c r="J750" s="13">
        <v>0.33379999999999999</v>
      </c>
      <c r="K750" s="12">
        <v>30</v>
      </c>
      <c r="L750" s="12">
        <f>-(F750*G750*$U$3)/J750</f>
        <v>-8.8040009293112096</v>
      </c>
      <c r="M750" s="11">
        <f>ABS(L750/$U$6)</f>
        <v>2.566764119332714E-2</v>
      </c>
      <c r="N750" s="12">
        <f>L750*SIN(RADIANS(K750))</f>
        <v>-4.4020004646556039</v>
      </c>
      <c r="O750" s="12">
        <f>L750*COS(RADIANS(K750))</f>
        <v>-7.6244884597253142</v>
      </c>
      <c r="P750" s="5">
        <v>3.6366892388915781</v>
      </c>
      <c r="Q750" s="5">
        <v>0.91577871557736967</v>
      </c>
      <c r="R750" s="6">
        <f>P750/Q750</f>
        <v>3.9711440952181989</v>
      </c>
    </row>
    <row r="751" spans="1:18" x14ac:dyDescent="0.35">
      <c r="A751" s="9">
        <v>76</v>
      </c>
      <c r="B751" s="5">
        <v>0.1</v>
      </c>
      <c r="C751" s="5">
        <v>4000000</v>
      </c>
      <c r="D751" s="5">
        <v>20</v>
      </c>
      <c r="E751" s="5">
        <v>0.375</v>
      </c>
      <c r="F751" s="5">
        <v>0.15</v>
      </c>
      <c r="G751" s="12">
        <f>(C751*$U$4)/($U$5*$U$3)</f>
        <v>58.775510204081627</v>
      </c>
      <c r="H751" s="11">
        <f>G751*COS(RADIANS(D751))</f>
        <v>55.230913221702366</v>
      </c>
      <c r="I751" s="11">
        <f>G751*SIN(RADIANS(D751))</f>
        <v>20.102408424039304</v>
      </c>
      <c r="J751" s="12">
        <v>0.16789999999999999</v>
      </c>
      <c r="K751" s="20">
        <v>85</v>
      </c>
      <c r="L751" s="12">
        <f>-(F751*G751*$U$3)/J751</f>
        <v>-52.50938969989425</v>
      </c>
      <c r="M751" s="11">
        <f>ABS(L751/$U$6)</f>
        <v>0.15308859970814651</v>
      </c>
      <c r="N751" s="12">
        <f>L751*SIN(RADIANS(K751))</f>
        <v>-52.309575619067964</v>
      </c>
      <c r="O751" s="12">
        <f>L751*COS(RADIANS(K751))</f>
        <v>-4.5764948605205129</v>
      </c>
      <c r="P751" s="5">
        <v>2.1007271669945351</v>
      </c>
      <c r="Q751" s="5">
        <v>0.93092204520032917</v>
      </c>
      <c r="R751" s="6">
        <f>P751/Q751</f>
        <v>2.2566091090285334</v>
      </c>
    </row>
    <row r="752" spans="1:18" x14ac:dyDescent="0.35">
      <c r="A752" s="9">
        <v>752</v>
      </c>
      <c r="B752" s="5">
        <v>0.75</v>
      </c>
      <c r="C752" s="5">
        <v>6000000</v>
      </c>
      <c r="D752" s="5">
        <v>30</v>
      </c>
      <c r="E752" s="5">
        <v>0.25</v>
      </c>
      <c r="F752" s="5">
        <v>0.05</v>
      </c>
      <c r="G752" s="12">
        <f>(C752*$U$4)/($U$5*$U$3)</f>
        <v>88.16326530612244</v>
      </c>
      <c r="H752" s="11">
        <f>G752*COS(RADIANS(D752))</f>
        <v>76.351627435689281</v>
      </c>
      <c r="I752" s="11">
        <f>G752*SIN(RADIANS(D752))</f>
        <v>44.081632653061213</v>
      </c>
      <c r="J752" s="12">
        <v>0.28370000000000001</v>
      </c>
      <c r="K752" s="11">
        <v>38</v>
      </c>
      <c r="L752" s="12">
        <f>-(F752*G752*$U$3)/J752</f>
        <v>-15.538115140310616</v>
      </c>
      <c r="M752" s="11">
        <f>ABS(L752/$U$6)</f>
        <v>4.5300627231226284E-2</v>
      </c>
      <c r="N752" s="12">
        <f>L752*SIN(RADIANS(K752))</f>
        <v>-9.5662188910635813</v>
      </c>
      <c r="O752" s="12">
        <f>L752*COS(RADIANS(K752))</f>
        <v>-12.244201821344184</v>
      </c>
      <c r="P752" s="5">
        <v>3.4070422190900183</v>
      </c>
      <c r="Q752" s="5">
        <v>1.280802841273829</v>
      </c>
      <c r="R752" s="6">
        <f>P752/Q752</f>
        <v>2.6600832769089791</v>
      </c>
    </row>
    <row r="753" spans="1:18" x14ac:dyDescent="0.35">
      <c r="A753" s="9">
        <v>753</v>
      </c>
      <c r="B753" s="5">
        <v>0.5</v>
      </c>
      <c r="C753" s="5">
        <v>4000000</v>
      </c>
      <c r="D753" s="5">
        <v>30</v>
      </c>
      <c r="E753" s="5">
        <v>0.375</v>
      </c>
      <c r="F753" s="5">
        <v>0</v>
      </c>
      <c r="G753" s="12">
        <f>(C753*$U$4)/($U$5*$U$3)</f>
        <v>58.775510204081627</v>
      </c>
      <c r="H753" s="11">
        <f>G753*COS(RADIANS(D753))</f>
        <v>50.901084957126187</v>
      </c>
      <c r="I753" s="11">
        <f>G753*SIN(RADIANS(D753))</f>
        <v>29.38775510204081</v>
      </c>
      <c r="J753" s="12">
        <v>0.24809999999999999</v>
      </c>
      <c r="K753" s="12">
        <v>67</v>
      </c>
      <c r="L753" s="12">
        <f>-(F753*G753*$U$3)/J753</f>
        <v>0</v>
      </c>
      <c r="M753" s="11">
        <f>ABS(L753/$U$6)</f>
        <v>0</v>
      </c>
      <c r="N753" s="12">
        <f>L753*SIN(RADIANS(K753))</f>
        <v>0</v>
      </c>
      <c r="O753" s="12">
        <f>L753*COS(RADIANS(K753))</f>
        <v>0</v>
      </c>
      <c r="P753" s="5">
        <v>3.5364762902927223</v>
      </c>
      <c r="Q753" s="5">
        <v>1.7317303970738962</v>
      </c>
      <c r="R753" s="6">
        <f>P753/Q753</f>
        <v>2.0421633161075787</v>
      </c>
    </row>
    <row r="754" spans="1:18" x14ac:dyDescent="0.35">
      <c r="A754" s="9">
        <v>754</v>
      </c>
      <c r="B754" s="5">
        <v>0.75</v>
      </c>
      <c r="C754" s="5">
        <v>4000000</v>
      </c>
      <c r="D754" s="5">
        <v>10</v>
      </c>
      <c r="E754" s="5">
        <v>0.125</v>
      </c>
      <c r="F754" s="5">
        <v>0.05</v>
      </c>
      <c r="G754" s="12">
        <f>(C754*$U$4)/($U$5*$U$3)</f>
        <v>58.775510204081627</v>
      </c>
      <c r="H754" s="11">
        <f>G754*COS(RADIANS(D754))</f>
        <v>57.882578136227728</v>
      </c>
      <c r="I754" s="11">
        <f>G754*SIN(RADIANS(D754))</f>
        <v>10.206260238382843</v>
      </c>
      <c r="J754" s="12">
        <v>0.2802</v>
      </c>
      <c r="K754" s="12">
        <v>19</v>
      </c>
      <c r="L754" s="12">
        <f>-(F754*G754*$U$3)/J754</f>
        <v>-10.488135296945329</v>
      </c>
      <c r="M754" s="11">
        <f>ABS(L754/$U$6)</f>
        <v>3.0577653926954312E-2</v>
      </c>
      <c r="N754" s="12">
        <f>L754*SIN(RADIANS(K754))</f>
        <v>-3.414602852323454</v>
      </c>
      <c r="O754" s="12">
        <f>L754*COS(RADIANS(K754))</f>
        <v>-9.9167267466606646</v>
      </c>
      <c r="P754" s="5">
        <v>5.0878259132667241</v>
      </c>
      <c r="Q754" s="5">
        <v>0.45788419995450386</v>
      </c>
      <c r="R754" s="6">
        <f>P754/Q754</f>
        <v>11.111599644128928</v>
      </c>
    </row>
    <row r="755" spans="1:18" x14ac:dyDescent="0.35">
      <c r="A755" s="9">
        <v>755</v>
      </c>
      <c r="B755" s="5">
        <v>0.75</v>
      </c>
      <c r="C755" s="5">
        <v>4000000</v>
      </c>
      <c r="D755" s="5">
        <v>20</v>
      </c>
      <c r="E755" s="5">
        <v>0.25</v>
      </c>
      <c r="F755" s="5">
        <v>0.1</v>
      </c>
      <c r="G755" s="12">
        <f>(C755*$U$4)/($U$5*$U$3)</f>
        <v>58.775510204081627</v>
      </c>
      <c r="H755" s="11">
        <f>G755*COS(RADIANS(D755))</f>
        <v>55.230913221702366</v>
      </c>
      <c r="I755" s="11">
        <f>G755*SIN(RADIANS(D755))</f>
        <v>20.102408424039304</v>
      </c>
      <c r="J755" s="12">
        <v>0.28370000000000001</v>
      </c>
      <c r="K755" s="11">
        <v>38</v>
      </c>
      <c r="L755" s="12">
        <f>-(F755*G755*$U$3)/J755</f>
        <v>-20.717486853747488</v>
      </c>
      <c r="M755" s="11">
        <f>ABS(L755/$U$6)</f>
        <v>6.0400836308301717E-2</v>
      </c>
      <c r="N755" s="12">
        <f>L755*SIN(RADIANS(K755))</f>
        <v>-12.754958521418109</v>
      </c>
      <c r="O755" s="12">
        <f>L755*COS(RADIANS(K755))</f>
        <v>-16.325602428458911</v>
      </c>
      <c r="P755" s="5">
        <v>4.7028469671455122</v>
      </c>
      <c r="Q755" s="5">
        <v>0.68304062194333215</v>
      </c>
      <c r="R755" s="6">
        <f>P755/Q755</f>
        <v>6.8851643900261026</v>
      </c>
    </row>
    <row r="756" spans="1:18" x14ac:dyDescent="0.35">
      <c r="A756" s="9">
        <v>756</v>
      </c>
      <c r="B756" s="5">
        <v>1</v>
      </c>
      <c r="C756" s="5">
        <v>2000000</v>
      </c>
      <c r="D756" s="5">
        <v>0</v>
      </c>
      <c r="E756" s="5">
        <v>0.25</v>
      </c>
      <c r="F756" s="5">
        <v>0</v>
      </c>
      <c r="G756" s="12">
        <f>(C756*$U$4)/($U$5*$U$3)</f>
        <v>29.387755102040813</v>
      </c>
      <c r="H756" s="11">
        <f>G756*COS(RADIANS(D756))</f>
        <v>29.387755102040813</v>
      </c>
      <c r="I756" s="11">
        <f>G756*SIN(RADIANS(D756))</f>
        <v>0</v>
      </c>
      <c r="J756" s="13">
        <v>0.33379999999999999</v>
      </c>
      <c r="K756" s="12">
        <v>30</v>
      </c>
      <c r="L756" s="12">
        <f>-(F756*G756*$U$3)/J756</f>
        <v>0</v>
      </c>
      <c r="M756" s="11">
        <f>ABS(L756/$U$6)</f>
        <v>0</v>
      </c>
      <c r="N756" s="12">
        <f>L756*SIN(RADIANS(K756))</f>
        <v>0</v>
      </c>
      <c r="O756" s="12">
        <f>L756*COS(RADIANS(K756))</f>
        <v>0</v>
      </c>
      <c r="P756" s="5">
        <v>6.9230131732886058</v>
      </c>
      <c r="Q756" s="5">
        <v>0.69659894200479944</v>
      </c>
      <c r="R756" s="6">
        <f>P756/Q756</f>
        <v>9.9383056100606417</v>
      </c>
    </row>
    <row r="757" spans="1:18" x14ac:dyDescent="0.35">
      <c r="A757" s="9">
        <v>757</v>
      </c>
      <c r="B757" s="5">
        <v>0.25</v>
      </c>
      <c r="C757" s="5">
        <v>2000000</v>
      </c>
      <c r="D757" s="5">
        <v>30</v>
      </c>
      <c r="E757" s="5">
        <v>0.25</v>
      </c>
      <c r="F757" s="5">
        <v>0.15</v>
      </c>
      <c r="G757" s="12">
        <f>(C757*$U$4)/($U$5*$U$3)</f>
        <v>29.387755102040813</v>
      </c>
      <c r="H757" s="11">
        <f>G757*COS(RADIANS(D757))</f>
        <v>25.450542478563094</v>
      </c>
      <c r="I757" s="11">
        <f>G757*SIN(RADIANS(D757))</f>
        <v>14.693877551020405</v>
      </c>
      <c r="J757" s="12">
        <v>0.1913</v>
      </c>
      <c r="K757" s="11">
        <v>67</v>
      </c>
      <c r="L757" s="12">
        <f>-(F757*G757*$U$3)/J757</f>
        <v>-23.043195323084799</v>
      </c>
      <c r="M757" s="11">
        <f>ABS(L757/$U$6)</f>
        <v>6.7181327472550428E-2</v>
      </c>
      <c r="N757" s="12">
        <f>L757*SIN(RADIANS(K757))</f>
        <v>-21.211373133952133</v>
      </c>
      <c r="O757" s="12">
        <f>L757*COS(RADIANS(K757))</f>
        <v>-9.0036937125876779</v>
      </c>
      <c r="P757" s="5">
        <v>3.1645542228654926</v>
      </c>
      <c r="Q757" s="5">
        <v>1.0738827205287174</v>
      </c>
      <c r="R757" s="6">
        <f>P757/Q757</f>
        <v>2.9468341024310831</v>
      </c>
    </row>
    <row r="758" spans="1:18" x14ac:dyDescent="0.35">
      <c r="A758" s="9">
        <v>758</v>
      </c>
      <c r="B758" s="5">
        <v>0.5</v>
      </c>
      <c r="C758" s="5">
        <v>2000000</v>
      </c>
      <c r="D758" s="5">
        <v>0</v>
      </c>
      <c r="E758" s="5">
        <v>0.375</v>
      </c>
      <c r="F758" s="5">
        <v>0.15</v>
      </c>
      <c r="G758" s="12">
        <f>(C758*$U$4)/($U$5*$U$3)</f>
        <v>29.387755102040813</v>
      </c>
      <c r="H758" s="11">
        <f>G758*COS(RADIANS(D758))</f>
        <v>29.387755102040813</v>
      </c>
      <c r="I758" s="11">
        <f>G758*SIN(RADIANS(D758))</f>
        <v>0</v>
      </c>
      <c r="J758" s="12">
        <v>0.24809999999999999</v>
      </c>
      <c r="K758" s="12">
        <v>67</v>
      </c>
      <c r="L758" s="12">
        <f>-(F758*G758*$U$3)/J758</f>
        <v>-17.767687486118994</v>
      </c>
      <c r="M758" s="11">
        <f>ABS(L758/$U$6)</f>
        <v>5.1800838151950419E-2</v>
      </c>
      <c r="N758" s="12">
        <f>L758*SIN(RADIANS(K758))</f>
        <v>-16.355242565598722</v>
      </c>
      <c r="O758" s="12">
        <f>L758*COS(RADIANS(K758))</f>
        <v>-6.9423885820960214</v>
      </c>
      <c r="P758" s="5">
        <v>4.4672635842164086</v>
      </c>
      <c r="Q758" s="5">
        <v>-0.59462521204284891</v>
      </c>
      <c r="R758" s="6">
        <f>P758/Q758</f>
        <v>-7.5127382656194808</v>
      </c>
    </row>
    <row r="759" spans="1:18" x14ac:dyDescent="0.35">
      <c r="A759" s="9">
        <v>759</v>
      </c>
      <c r="B759" s="5">
        <v>0.1</v>
      </c>
      <c r="C759" s="5">
        <v>4000000</v>
      </c>
      <c r="D759" s="5">
        <v>20</v>
      </c>
      <c r="E759" s="5">
        <v>0.125</v>
      </c>
      <c r="F759" s="5">
        <v>7.4999999999999997E-2</v>
      </c>
      <c r="G759" s="12">
        <f>(C759*$U$4)/($U$5*$U$3)</f>
        <v>58.775510204081627</v>
      </c>
      <c r="H759" s="11">
        <f>G759*COS(RADIANS(D759))</f>
        <v>55.230913221702366</v>
      </c>
      <c r="I759" s="11">
        <f>G759*SIN(RADIANS(D759))</f>
        <v>20.102408424039304</v>
      </c>
      <c r="J759" s="12">
        <v>0.1658</v>
      </c>
      <c r="K759" s="12">
        <v>69</v>
      </c>
      <c r="L759" s="12">
        <f>-(F759*G759*$U$3)/J759</f>
        <v>-26.587233204500134</v>
      </c>
      <c r="M759" s="11">
        <f>ABS(L759/$U$6)</f>
        <v>7.7513799430029548E-2</v>
      </c>
      <c r="N759" s="12">
        <f>L759*SIN(RADIANS(K759))</f>
        <v>-24.821320514437797</v>
      </c>
      <c r="O759" s="12">
        <f>L759*COS(RADIANS(K759))</f>
        <v>-9.5280122475794382</v>
      </c>
      <c r="P759" s="5">
        <v>1.6521589999157635</v>
      </c>
      <c r="Q759" s="5">
        <v>0.74984357923414291</v>
      </c>
      <c r="R759" s="6">
        <f>P759/Q759</f>
        <v>2.2033381970186445</v>
      </c>
    </row>
    <row r="760" spans="1:18" x14ac:dyDescent="0.35">
      <c r="A760" s="9">
        <v>760</v>
      </c>
      <c r="B760" s="5">
        <v>1</v>
      </c>
      <c r="C760" s="5">
        <v>2000000</v>
      </c>
      <c r="D760" s="5">
        <v>5</v>
      </c>
      <c r="E760" s="5">
        <v>0.375</v>
      </c>
      <c r="F760" s="5">
        <v>1.4999999999999999E-2</v>
      </c>
      <c r="G760" s="12">
        <f>(C760*$U$4)/($U$5*$U$3)</f>
        <v>29.387755102040813</v>
      </c>
      <c r="H760" s="11">
        <f>G760*COS(RADIANS(D760))</f>
        <v>29.275925821471702</v>
      </c>
      <c r="I760" s="11">
        <f>G760*SIN(RADIANS(D760))</f>
        <v>2.5613116236046478</v>
      </c>
      <c r="J760" s="12">
        <v>0.33379999999999999</v>
      </c>
      <c r="K760" s="11">
        <v>49</v>
      </c>
      <c r="L760" s="12">
        <f>-(F760*G760*$U$3)/J760</f>
        <v>-1.3206001393966813</v>
      </c>
      <c r="M760" s="11">
        <f>ABS(L760/$U$6)</f>
        <v>3.8501461789990708E-3</v>
      </c>
      <c r="N760" s="12">
        <f>L760*SIN(RADIANS(K760))</f>
        <v>-0.99666957684620361</v>
      </c>
      <c r="O760" s="12">
        <f>L760*COS(RADIANS(K760))</f>
        <v>-0.86639164513731526</v>
      </c>
      <c r="P760" s="5">
        <v>4.9696782535959665</v>
      </c>
      <c r="Q760" s="5">
        <v>-0.27139703502862306</v>
      </c>
      <c r="R760" s="6">
        <f>P760/Q760</f>
        <v>-18.311468484067397</v>
      </c>
    </row>
    <row r="761" spans="1:18" x14ac:dyDescent="0.35">
      <c r="A761" s="9">
        <v>761</v>
      </c>
      <c r="B761" s="5">
        <v>1</v>
      </c>
      <c r="C761" s="5">
        <v>6000000</v>
      </c>
      <c r="D761" s="5">
        <v>5</v>
      </c>
      <c r="E761" s="5">
        <v>0.375</v>
      </c>
      <c r="F761" s="5">
        <v>0.1</v>
      </c>
      <c r="G761" s="12">
        <f>(C761*$U$4)/($U$5*$U$3)</f>
        <v>88.16326530612244</v>
      </c>
      <c r="H761" s="11">
        <f>G761*COS(RADIANS(D761))</f>
        <v>87.827777464415107</v>
      </c>
      <c r="I761" s="11">
        <f>G761*SIN(RADIANS(D761))</f>
        <v>7.6839348708139434</v>
      </c>
      <c r="J761" s="12">
        <v>0.33379999999999999</v>
      </c>
      <c r="K761" s="11">
        <v>49</v>
      </c>
      <c r="L761" s="12">
        <f>-(F761*G761*$U$3)/J761</f>
        <v>-26.412002787933627</v>
      </c>
      <c r="M761" s="11">
        <f>ABS(L761/$U$6)</f>
        <v>7.7002923579981425E-2</v>
      </c>
      <c r="N761" s="12">
        <f>L761*SIN(RADIANS(K761))</f>
        <v>-19.933391536924074</v>
      </c>
      <c r="O761" s="12">
        <f>L761*COS(RADIANS(K761))</f>
        <v>-17.327832902746305</v>
      </c>
      <c r="P761" s="5">
        <v>6.3367071355292399</v>
      </c>
      <c r="Q761" s="5">
        <v>-0.5934511539088122</v>
      </c>
      <c r="R761" s="6">
        <f>P761/Q761</f>
        <v>-10.677723168607939</v>
      </c>
    </row>
    <row r="762" spans="1:18" x14ac:dyDescent="0.35">
      <c r="A762" s="9">
        <v>762</v>
      </c>
      <c r="B762" s="5">
        <v>0.5</v>
      </c>
      <c r="C762" s="5">
        <v>2000000</v>
      </c>
      <c r="D762" s="5">
        <v>10</v>
      </c>
      <c r="E762" s="5">
        <v>0.125</v>
      </c>
      <c r="F762" s="5">
        <v>2.5000000000000001E-2</v>
      </c>
      <c r="G762" s="12">
        <f>(C762*$U$4)/($U$5*$U$3)</f>
        <v>29.387755102040813</v>
      </c>
      <c r="H762" s="11">
        <f>G762*COS(RADIANS(D762))</f>
        <v>28.941289068113864</v>
      </c>
      <c r="I762" s="11">
        <f>G762*SIN(RADIANS(D762))</f>
        <v>5.1031301191914213</v>
      </c>
      <c r="J762" s="12">
        <v>0.23300000000000001</v>
      </c>
      <c r="K762" s="11">
        <v>27</v>
      </c>
      <c r="L762" s="12">
        <f>-(F762*G762*$U$3)/J762</f>
        <v>-3.1531926075151087</v>
      </c>
      <c r="M762" s="11">
        <f>ABS(L762/$U$6)</f>
        <v>9.1929813630178096E-3</v>
      </c>
      <c r="N762" s="12">
        <f>L762*SIN(RADIANS(K762))</f>
        <v>-1.4315194876608286</v>
      </c>
      <c r="O762" s="12">
        <f>L762*COS(RADIANS(K762))</f>
        <v>-2.8095151853184936</v>
      </c>
      <c r="P762" s="5">
        <v>3.7331925606616556</v>
      </c>
      <c r="Q762" s="5">
        <v>0.5807788279914331</v>
      </c>
      <c r="R762" s="6">
        <f>P762/Q762</f>
        <v>6.4279074593206813</v>
      </c>
    </row>
    <row r="763" spans="1:18" x14ac:dyDescent="0.35">
      <c r="A763" s="9">
        <v>763</v>
      </c>
      <c r="B763" s="5">
        <v>0.25</v>
      </c>
      <c r="C763" s="5">
        <v>6000000</v>
      </c>
      <c r="D763" s="5">
        <v>15</v>
      </c>
      <c r="E763" s="5">
        <v>0.125</v>
      </c>
      <c r="F763" s="5">
        <v>3.5000000000000003E-2</v>
      </c>
      <c r="G763" s="12">
        <f>(C763*$U$4)/($U$5*$U$3)</f>
        <v>88.16326530612244</v>
      </c>
      <c r="H763" s="11">
        <f>G763*COS(RADIANS(D763))</f>
        <v>85.159174889158663</v>
      </c>
      <c r="I763" s="11">
        <f>G763*SIN(RADIANS(D763))</f>
        <v>22.818332139650806</v>
      </c>
      <c r="J763" s="11">
        <v>0.19020000000000001</v>
      </c>
      <c r="K763" s="12">
        <v>46</v>
      </c>
      <c r="L763" s="12">
        <f>-(F763*G763*$U$3)/J763</f>
        <v>-16.223524109959442</v>
      </c>
      <c r="M763" s="11">
        <f>ABS(L763/$U$6)</f>
        <v>4.7298904110668928E-2</v>
      </c>
      <c r="N763" s="12">
        <f>L763*SIN(RADIANS(K763))</f>
        <v>-11.670226594047516</v>
      </c>
      <c r="O763" s="12">
        <f>L763*COS(RADIANS(K763))</f>
        <v>-11.26980682132668</v>
      </c>
      <c r="P763" s="5">
        <v>2.1870838194027562</v>
      </c>
      <c r="Q763" s="5">
        <v>0.56561799698372262</v>
      </c>
      <c r="R763" s="6">
        <f>P763/Q763</f>
        <v>3.866715399909201</v>
      </c>
    </row>
    <row r="764" spans="1:18" x14ac:dyDescent="0.35">
      <c r="A764" s="9">
        <v>764</v>
      </c>
      <c r="B764" s="5">
        <v>0.1</v>
      </c>
      <c r="C764" s="5">
        <v>6000000</v>
      </c>
      <c r="D764" s="5">
        <v>5</v>
      </c>
      <c r="E764" s="5">
        <v>0</v>
      </c>
      <c r="F764" s="5">
        <v>1.4999999999999999E-2</v>
      </c>
      <c r="G764" s="12">
        <f>(C764*$U$4)/($U$5*$U$3)</f>
        <v>88.16326530612244</v>
      </c>
      <c r="H764" s="11">
        <f>G764*COS(RADIANS(D764))</f>
        <v>87.827777464415107</v>
      </c>
      <c r="I764" s="11">
        <f>G764*SIN(RADIANS(D764))</f>
        <v>7.6839348708139434</v>
      </c>
      <c r="J764" s="11">
        <v>0.16569999999999999</v>
      </c>
      <c r="K764" s="12">
        <v>0</v>
      </c>
      <c r="L764" s="12">
        <f>-(F764*G764*$U$3)/J764</f>
        <v>-7.980983582328526</v>
      </c>
      <c r="M764" s="11">
        <f>ABS(L764/$U$6)</f>
        <v>2.3268173709412612E-2</v>
      </c>
      <c r="N764" s="12">
        <f>L764*SIN(RADIANS(K764))</f>
        <v>0</v>
      </c>
      <c r="O764" s="12">
        <f>L764*COS(RADIANS(K764))</f>
        <v>-7.980983582328526</v>
      </c>
      <c r="P764" s="5">
        <v>1.169992889115324</v>
      </c>
      <c r="Q764" s="5">
        <v>0.3104833655380545</v>
      </c>
      <c r="R764" s="6">
        <f>P764/Q764</f>
        <v>3.7682949200443505</v>
      </c>
    </row>
    <row r="765" spans="1:18" x14ac:dyDescent="0.35">
      <c r="A765" s="9">
        <v>765</v>
      </c>
      <c r="B765" s="5">
        <v>1</v>
      </c>
      <c r="C765" s="5">
        <v>2000000</v>
      </c>
      <c r="D765" s="5">
        <v>20</v>
      </c>
      <c r="E765" s="5">
        <v>0.25</v>
      </c>
      <c r="F765" s="5">
        <v>3.5000000000000003E-2</v>
      </c>
      <c r="G765" s="12">
        <f>(C765*$U$4)/($U$5*$U$3)</f>
        <v>29.387755102040813</v>
      </c>
      <c r="H765" s="11">
        <f>G765*COS(RADIANS(D765))</f>
        <v>27.615456610851183</v>
      </c>
      <c r="I765" s="11">
        <f>G765*SIN(RADIANS(D765))</f>
        <v>10.051204212019652</v>
      </c>
      <c r="J765" s="13">
        <v>0.33379999999999999</v>
      </c>
      <c r="K765" s="12">
        <v>30</v>
      </c>
      <c r="L765" s="12">
        <f>-(F765*G765*$U$3)/J765</f>
        <v>-3.0814003252589233</v>
      </c>
      <c r="M765" s="11">
        <f>ABS(L765/$U$6)</f>
        <v>8.983674417664499E-3</v>
      </c>
      <c r="N765" s="12">
        <f>L765*SIN(RADIANS(K765))</f>
        <v>-1.5407001626294614</v>
      </c>
      <c r="O765" s="12">
        <f>L765*COS(RADIANS(K765))</f>
        <v>-2.6685709609038599</v>
      </c>
      <c r="P765" s="5">
        <v>3.6029304444280719</v>
      </c>
      <c r="Q765" s="5">
        <v>1.0946032707978586</v>
      </c>
      <c r="R765" s="6">
        <f>P765/Q765</f>
        <v>3.291539994944368</v>
      </c>
    </row>
    <row r="766" spans="1:18" x14ac:dyDescent="0.35">
      <c r="A766" s="9">
        <v>766</v>
      </c>
      <c r="B766" s="5">
        <v>0.1</v>
      </c>
      <c r="C766" s="5">
        <v>6000000</v>
      </c>
      <c r="D766" s="5">
        <v>0</v>
      </c>
      <c r="E766" s="5">
        <v>0.25</v>
      </c>
      <c r="F766" s="5">
        <v>0</v>
      </c>
      <c r="G766" s="12">
        <f>(C766*$U$4)/($U$5*$U$3)</f>
        <v>88.16326530612244</v>
      </c>
      <c r="H766" s="11">
        <f>G766*COS(RADIANS(D766))</f>
        <v>88.16326530612244</v>
      </c>
      <c r="I766" s="11">
        <f>G766*SIN(RADIANS(D766))</f>
        <v>0</v>
      </c>
      <c r="J766" s="11">
        <v>0.1661</v>
      </c>
      <c r="K766" s="12">
        <v>80</v>
      </c>
      <c r="L766" s="12">
        <f>-(F766*G766*$U$3)/J766</f>
        <v>0</v>
      </c>
      <c r="M766" s="11">
        <f>ABS(L766/$U$6)</f>
        <v>0</v>
      </c>
      <c r="N766" s="12">
        <f>L766*SIN(RADIANS(K766))</f>
        <v>0</v>
      </c>
      <c r="O766" s="12">
        <f>L766*COS(RADIANS(K766))</f>
        <v>0</v>
      </c>
      <c r="P766" s="5">
        <v>1.4265570524932651</v>
      </c>
      <c r="Q766" s="5">
        <v>0.23687940375155206</v>
      </c>
      <c r="R766" s="6">
        <f>P766/Q766</f>
        <v>6.0222924825895428</v>
      </c>
    </row>
    <row r="767" spans="1:18" x14ac:dyDescent="0.35">
      <c r="A767" s="9">
        <v>767</v>
      </c>
      <c r="B767" s="5">
        <v>1</v>
      </c>
      <c r="C767" s="5">
        <v>2000000</v>
      </c>
      <c r="D767" s="5">
        <v>15</v>
      </c>
      <c r="E767" s="5">
        <v>0</v>
      </c>
      <c r="F767" s="5">
        <v>3.5000000000000003E-2</v>
      </c>
      <c r="G767" s="12">
        <f>(C767*$U$4)/($U$5*$U$3)</f>
        <v>29.387755102040813</v>
      </c>
      <c r="H767" s="11">
        <f>G767*COS(RADIANS(D767))</f>
        <v>28.386391629719554</v>
      </c>
      <c r="I767" s="11">
        <f>G767*SIN(RADIANS(D767))</f>
        <v>7.6061107132169354</v>
      </c>
      <c r="J767" s="11">
        <v>0.33379999999999999</v>
      </c>
      <c r="K767" s="12">
        <v>0</v>
      </c>
      <c r="L767" s="12">
        <f>-(F767*G767*$U$3)/J767</f>
        <v>-3.0814003252589233</v>
      </c>
      <c r="M767" s="11">
        <f>ABS(L767/$U$6)</f>
        <v>8.983674417664499E-3</v>
      </c>
      <c r="N767" s="12">
        <f>L767*SIN(RADIANS(K767))</f>
        <v>0</v>
      </c>
      <c r="O767" s="12">
        <f>L767*COS(RADIANS(K767))</f>
        <v>-3.0814003252589233</v>
      </c>
      <c r="P767" s="5">
        <v>0.55782397774710735</v>
      </c>
      <c r="Q767" s="5">
        <v>2.1049002408081843</v>
      </c>
      <c r="R767" s="6">
        <f>P767/Q767</f>
        <v>0.26501207369947793</v>
      </c>
    </row>
    <row r="768" spans="1:18" x14ac:dyDescent="0.35">
      <c r="A768" s="9">
        <v>768</v>
      </c>
      <c r="B768" s="5">
        <v>0.75</v>
      </c>
      <c r="C768" s="5">
        <v>6000000</v>
      </c>
      <c r="D768" s="5">
        <v>0</v>
      </c>
      <c r="E768" s="5">
        <v>0.125</v>
      </c>
      <c r="F768" s="5">
        <v>1.4999999999999999E-2</v>
      </c>
      <c r="G768" s="12">
        <f>(C768*$U$4)/($U$5*$U$3)</f>
        <v>88.16326530612244</v>
      </c>
      <c r="H768" s="11">
        <f>G768*COS(RADIANS(D768))</f>
        <v>88.16326530612244</v>
      </c>
      <c r="I768" s="11">
        <f>G768*SIN(RADIANS(D768))</f>
        <v>0</v>
      </c>
      <c r="J768" s="12">
        <v>0.2802</v>
      </c>
      <c r="K768" s="12">
        <v>19</v>
      </c>
      <c r="L768" s="12">
        <f>-(F768*G768*$U$3)/J768</f>
        <v>-4.7196608836253979</v>
      </c>
      <c r="M768" s="11">
        <f>ABS(L768/$U$6)</f>
        <v>1.375994426712944E-2</v>
      </c>
      <c r="N768" s="12">
        <f>L768*SIN(RADIANS(K768))</f>
        <v>-1.5365712835455543</v>
      </c>
      <c r="O768" s="12">
        <f>L768*COS(RADIANS(K768))</f>
        <v>-4.4625270359972991</v>
      </c>
      <c r="P768" s="5">
        <v>4.277703684309512</v>
      </c>
      <c r="Q768" s="5">
        <v>0.22559093693884474</v>
      </c>
      <c r="R768" s="6">
        <f>P768/Q768</f>
        <v>18.962214273125479</v>
      </c>
    </row>
    <row r="769" spans="1:18" x14ac:dyDescent="0.35">
      <c r="A769" s="9">
        <v>769</v>
      </c>
      <c r="B769" s="5">
        <v>1</v>
      </c>
      <c r="C769" s="5">
        <v>2000000</v>
      </c>
      <c r="D769" s="5">
        <v>15</v>
      </c>
      <c r="E769" s="5">
        <v>0.25</v>
      </c>
      <c r="F769" s="5">
        <v>0.15</v>
      </c>
      <c r="G769" s="12">
        <f>(C769*$U$4)/($U$5*$U$3)</f>
        <v>29.387755102040813</v>
      </c>
      <c r="H769" s="11">
        <f>G769*COS(RADIANS(D769))</f>
        <v>28.386391629719554</v>
      </c>
      <c r="I769" s="11">
        <f>G769*SIN(RADIANS(D769))</f>
        <v>7.6061107132169354</v>
      </c>
      <c r="J769" s="13">
        <v>0.33379999999999999</v>
      </c>
      <c r="K769" s="12">
        <v>30</v>
      </c>
      <c r="L769" s="12">
        <f>-(F769*G769*$U$3)/J769</f>
        <v>-13.206001393966813</v>
      </c>
      <c r="M769" s="11">
        <f>ABS(L769/$U$6)</f>
        <v>3.8501461789990712E-2</v>
      </c>
      <c r="N769" s="12">
        <f>L769*SIN(RADIANS(K769))</f>
        <v>-6.6030006969834059</v>
      </c>
      <c r="O769" s="12">
        <f>L769*COS(RADIANS(K769))</f>
        <v>-11.43673268958797</v>
      </c>
      <c r="P769" s="5">
        <v>5.4006135253434575</v>
      </c>
      <c r="Q769" s="5">
        <v>0.25313873896816064</v>
      </c>
      <c r="R769" s="6">
        <f>P769/Q769</f>
        <v>21.334599150479047</v>
      </c>
    </row>
    <row r="770" spans="1:18" x14ac:dyDescent="0.35">
      <c r="A770" s="9">
        <v>770</v>
      </c>
      <c r="B770" s="5">
        <v>0.5</v>
      </c>
      <c r="C770" s="5">
        <v>6000000</v>
      </c>
      <c r="D770" s="5">
        <v>30</v>
      </c>
      <c r="E770" s="5">
        <v>0.125</v>
      </c>
      <c r="F770" s="5">
        <v>0</v>
      </c>
      <c r="G770" s="12">
        <f>(C770*$U$4)/($U$5*$U$3)</f>
        <v>88.16326530612244</v>
      </c>
      <c r="H770" s="11">
        <f>G770*COS(RADIANS(D770))</f>
        <v>76.351627435689281</v>
      </c>
      <c r="I770" s="11">
        <f>G770*SIN(RADIANS(D770))</f>
        <v>44.081632653061213</v>
      </c>
      <c r="J770" s="12">
        <v>0.23300000000000001</v>
      </c>
      <c r="K770" s="11">
        <v>27</v>
      </c>
      <c r="L770" s="12">
        <f>-(F770*G770*$U$3)/J770</f>
        <v>0</v>
      </c>
      <c r="M770" s="11">
        <f>ABS(L770/$U$6)</f>
        <v>0</v>
      </c>
      <c r="N770" s="12">
        <f>L770*SIN(RADIANS(K770))</f>
        <v>0</v>
      </c>
      <c r="O770" s="12">
        <f>L770*COS(RADIANS(K770))</f>
        <v>0</v>
      </c>
      <c r="P770" s="5">
        <v>3.3728144316094268</v>
      </c>
      <c r="Q770" s="5">
        <v>1.6852229152426903</v>
      </c>
      <c r="R770" s="6">
        <f>P770/Q770</f>
        <v>2.0014055120557774</v>
      </c>
    </row>
    <row r="771" spans="1:18" x14ac:dyDescent="0.35">
      <c r="A771" s="9">
        <v>771</v>
      </c>
      <c r="B771" s="5">
        <v>0.75</v>
      </c>
      <c r="C771" s="5">
        <v>6000000</v>
      </c>
      <c r="D771" s="5">
        <v>30</v>
      </c>
      <c r="E771" s="5">
        <v>0</v>
      </c>
      <c r="F771" s="5">
        <v>0.05</v>
      </c>
      <c r="G771" s="12">
        <f>(C771*$U$4)/($U$5*$U$3)</f>
        <v>88.16326530612244</v>
      </c>
      <c r="H771" s="11">
        <f>G771*COS(RADIANS(D771))</f>
        <v>76.351627435689281</v>
      </c>
      <c r="I771" s="11">
        <f>G771*SIN(RADIANS(D771))</f>
        <v>44.081632653061213</v>
      </c>
      <c r="J771" s="11">
        <v>0.27929999999999999</v>
      </c>
      <c r="K771" s="12">
        <v>0</v>
      </c>
      <c r="L771" s="12">
        <f>-(F771*G771*$U$3)/J771</f>
        <v>-15.782897476928472</v>
      </c>
      <c r="M771" s="11">
        <f>ABS(L771/$U$6)</f>
        <v>4.6014278358392044E-2</v>
      </c>
      <c r="N771" s="12">
        <f>L771*SIN(RADIANS(K771))</f>
        <v>0</v>
      </c>
      <c r="O771" s="12">
        <f>L771*COS(RADIANS(K771))</f>
        <v>-15.782897476928472</v>
      </c>
      <c r="P771" s="5">
        <v>2.103474688659424</v>
      </c>
      <c r="Q771" s="5">
        <v>1.3895064816502354</v>
      </c>
      <c r="R771" s="6">
        <f>P771/Q771</f>
        <v>1.513828626521591</v>
      </c>
    </row>
    <row r="772" spans="1:18" x14ac:dyDescent="0.35">
      <c r="A772" s="9">
        <v>772</v>
      </c>
      <c r="B772" s="5">
        <v>0.75</v>
      </c>
      <c r="C772" s="5">
        <v>4000000</v>
      </c>
      <c r="D772" s="5">
        <v>15</v>
      </c>
      <c r="E772" s="5">
        <v>0</v>
      </c>
      <c r="F772" s="5">
        <v>0</v>
      </c>
      <c r="G772" s="12">
        <f>(C772*$U$4)/($U$5*$U$3)</f>
        <v>58.775510204081627</v>
      </c>
      <c r="H772" s="11">
        <f>G772*COS(RADIANS(D772))</f>
        <v>56.772783259439109</v>
      </c>
      <c r="I772" s="11">
        <f>G772*SIN(RADIANS(D772))</f>
        <v>15.212221426433871</v>
      </c>
      <c r="J772" s="11">
        <v>0.27929999999999999</v>
      </c>
      <c r="K772" s="12">
        <v>0</v>
      </c>
      <c r="L772" s="12">
        <f>-(F772*G772*$U$3)/J772</f>
        <v>0</v>
      </c>
      <c r="M772" s="11">
        <f>ABS(L772/$U$6)</f>
        <v>0</v>
      </c>
      <c r="N772" s="12">
        <f>L772*SIN(RADIANS(K772))</f>
        <v>0</v>
      </c>
      <c r="O772" s="12">
        <f>L772*COS(RADIANS(K772))</f>
        <v>0</v>
      </c>
      <c r="P772" s="5">
        <v>3.8203043613348302</v>
      </c>
      <c r="Q772" s="5">
        <v>1.6637850051372727</v>
      </c>
      <c r="R772" s="6">
        <f>P772/Q772</f>
        <v>2.2961526576684292</v>
      </c>
    </row>
    <row r="773" spans="1:18" x14ac:dyDescent="0.35">
      <c r="A773" s="9">
        <v>773</v>
      </c>
      <c r="B773" s="5">
        <v>0.75</v>
      </c>
      <c r="C773" s="5">
        <v>2000000</v>
      </c>
      <c r="D773" s="5">
        <v>30</v>
      </c>
      <c r="E773" s="5">
        <v>0.25</v>
      </c>
      <c r="F773" s="5">
        <v>0.1</v>
      </c>
      <c r="G773" s="12">
        <f>(C773*$U$4)/($U$5*$U$3)</f>
        <v>29.387755102040813</v>
      </c>
      <c r="H773" s="11">
        <f>G773*COS(RADIANS(D773))</f>
        <v>25.450542478563094</v>
      </c>
      <c r="I773" s="11">
        <f>G773*SIN(RADIANS(D773))</f>
        <v>14.693877551020405</v>
      </c>
      <c r="J773" s="12">
        <v>0.28370000000000001</v>
      </c>
      <c r="K773" s="11">
        <v>38</v>
      </c>
      <c r="L773" s="12">
        <f>-(F773*G773*$U$3)/J773</f>
        <v>-10.358743426873744</v>
      </c>
      <c r="M773" s="11">
        <f>ABS(L773/$U$6)</f>
        <v>3.0200418154150858E-2</v>
      </c>
      <c r="N773" s="12">
        <f>L773*SIN(RADIANS(K773))</f>
        <v>-6.3774792607090545</v>
      </c>
      <c r="O773" s="12">
        <f>L773*COS(RADIANS(K773))</f>
        <v>-8.1628012142294555</v>
      </c>
      <c r="P773" s="5">
        <v>4.8761008212755472</v>
      </c>
      <c r="Q773" s="5">
        <v>1.2562131367909004</v>
      </c>
      <c r="R773" s="6">
        <f>P773/Q773</f>
        <v>3.8815871912722923</v>
      </c>
    </row>
    <row r="774" spans="1:18" x14ac:dyDescent="0.35">
      <c r="A774" s="9">
        <v>774</v>
      </c>
      <c r="B774" s="5">
        <v>0.5</v>
      </c>
      <c r="C774" s="5">
        <v>2000000</v>
      </c>
      <c r="D774" s="5">
        <v>5</v>
      </c>
      <c r="E774" s="5">
        <v>0.125</v>
      </c>
      <c r="F774" s="5">
        <v>1.4999999999999999E-2</v>
      </c>
      <c r="G774" s="12">
        <f>(C774*$U$4)/($U$5*$U$3)</f>
        <v>29.387755102040813</v>
      </c>
      <c r="H774" s="11">
        <f>G774*COS(RADIANS(D774))</f>
        <v>29.275925821471702</v>
      </c>
      <c r="I774" s="11">
        <f>G774*SIN(RADIANS(D774))</f>
        <v>2.5613116236046478</v>
      </c>
      <c r="J774" s="12">
        <v>0.23300000000000001</v>
      </c>
      <c r="K774" s="11">
        <v>27</v>
      </c>
      <c r="L774" s="12">
        <f>-(F774*G774*$U$3)/J774</f>
        <v>-1.8919155645090651</v>
      </c>
      <c r="M774" s="11">
        <f>ABS(L774/$U$6)</f>
        <v>5.5157888178106853E-3</v>
      </c>
      <c r="N774" s="12">
        <f>L774*SIN(RADIANS(K774))</f>
        <v>-0.85891169259649713</v>
      </c>
      <c r="O774" s="12">
        <f>L774*COS(RADIANS(K774))</f>
        <v>-1.685709111191096</v>
      </c>
      <c r="P774" s="5">
        <v>3.5044918870337436</v>
      </c>
      <c r="Q774" s="5">
        <v>0.41745652230182045</v>
      </c>
      <c r="R774" s="6">
        <f>P774/Q774</f>
        <v>8.3948667701016326</v>
      </c>
    </row>
    <row r="775" spans="1:18" x14ac:dyDescent="0.35">
      <c r="A775" s="9">
        <v>775</v>
      </c>
      <c r="B775" s="5">
        <v>1</v>
      </c>
      <c r="C775" s="5">
        <v>2000000</v>
      </c>
      <c r="D775" s="5">
        <v>10</v>
      </c>
      <c r="E775" s="5">
        <v>0.125</v>
      </c>
      <c r="F775" s="5">
        <v>0.15</v>
      </c>
      <c r="G775" s="12">
        <f>(C775*$U$4)/($U$5*$U$3)</f>
        <v>29.387755102040813</v>
      </c>
      <c r="H775" s="11">
        <f>G775*COS(RADIANS(D775))</f>
        <v>28.941289068113864</v>
      </c>
      <c r="I775" s="11">
        <f>G775*SIN(RADIANS(D775))</f>
        <v>5.1031301191914213</v>
      </c>
      <c r="J775" s="11">
        <v>0.33379999999999999</v>
      </c>
      <c r="K775" s="12">
        <v>14</v>
      </c>
      <c r="L775" s="12">
        <f>-(F775*G775*$U$3)/J775</f>
        <v>-13.206001393966813</v>
      </c>
      <c r="M775" s="11">
        <f>ABS(L775/$U$6)</f>
        <v>3.8501461789990712E-2</v>
      </c>
      <c r="N775" s="12">
        <f>L775*SIN(RADIANS(K775))</f>
        <v>-3.1948208905203059</v>
      </c>
      <c r="O775" s="12">
        <f>L775*COS(RADIANS(K775))</f>
        <v>-12.81372671376085</v>
      </c>
      <c r="P775" s="5">
        <v>4.2593347593156228</v>
      </c>
      <c r="Q775" s="5">
        <v>0.31968795007561651</v>
      </c>
      <c r="R775" s="6">
        <f>P775/Q775</f>
        <v>13.323413529687787</v>
      </c>
    </row>
    <row r="776" spans="1:18" x14ac:dyDescent="0.35">
      <c r="A776" s="9">
        <v>776</v>
      </c>
      <c r="B776" s="5">
        <v>0.5</v>
      </c>
      <c r="C776" s="5">
        <v>2000000</v>
      </c>
      <c r="D776" s="5">
        <v>15</v>
      </c>
      <c r="E776" s="5">
        <v>0</v>
      </c>
      <c r="F776" s="5">
        <v>1.4999999999999999E-2</v>
      </c>
      <c r="G776" s="12">
        <f>(C776*$U$4)/($U$5*$U$3)</f>
        <v>29.387755102040813</v>
      </c>
      <c r="H776" s="11">
        <f>G776*COS(RADIANS(D776))</f>
        <v>28.386391629719554</v>
      </c>
      <c r="I776" s="11">
        <f>G776*SIN(RADIANS(D776))</f>
        <v>7.6061107132169354</v>
      </c>
      <c r="J776" s="12">
        <v>0.23230000000000001</v>
      </c>
      <c r="K776" s="12">
        <v>0</v>
      </c>
      <c r="L776" s="12">
        <f>-(F776*G776*$U$3)/J776</f>
        <v>-1.8976165584615248</v>
      </c>
      <c r="M776" s="11">
        <f>ABS(L776/$U$6)</f>
        <v>5.5324097914330166E-3</v>
      </c>
      <c r="N776" s="12">
        <f>L776*SIN(RADIANS(K776))</f>
        <v>0</v>
      </c>
      <c r="O776" s="12">
        <f>L776*COS(RADIANS(K776))</f>
        <v>-1.8976165584615248</v>
      </c>
      <c r="P776" s="5">
        <v>2.8807403965492155</v>
      </c>
      <c r="Q776" s="5">
        <v>0.85068682159650166</v>
      </c>
      <c r="R776" s="6">
        <f>P776/Q776</f>
        <v>3.3863700758204649</v>
      </c>
    </row>
    <row r="777" spans="1:18" x14ac:dyDescent="0.35">
      <c r="A777" s="9">
        <v>78</v>
      </c>
      <c r="B777" s="5">
        <v>0.1</v>
      </c>
      <c r="C777" s="5">
        <v>4000000</v>
      </c>
      <c r="D777" s="5">
        <v>30</v>
      </c>
      <c r="E777" s="5">
        <v>0.375</v>
      </c>
      <c r="F777" s="5">
        <v>0.15</v>
      </c>
      <c r="G777" s="12">
        <f>(C777*$U$4)/($U$5*$U$3)</f>
        <v>58.775510204081627</v>
      </c>
      <c r="H777" s="11">
        <f>G777*COS(RADIANS(D777))</f>
        <v>50.901084957126187</v>
      </c>
      <c r="I777" s="11">
        <f>G777*SIN(RADIANS(D777))</f>
        <v>29.38775510204081</v>
      </c>
      <c r="J777" s="12">
        <v>0.16789999999999999</v>
      </c>
      <c r="K777" s="20">
        <v>85</v>
      </c>
      <c r="L777" s="12">
        <f>-(F777*G777*$U$3)/J777</f>
        <v>-52.50938969989425</v>
      </c>
      <c r="M777" s="11">
        <f>ABS(L777/$U$6)</f>
        <v>0.15308859970814651</v>
      </c>
      <c r="N777" s="12">
        <f>L777*SIN(RADIANS(K777))</f>
        <v>-52.309575619067964</v>
      </c>
      <c r="O777" s="12">
        <f>L777*COS(RADIANS(K777))</f>
        <v>-4.5764948605205129</v>
      </c>
      <c r="P777" s="5">
        <v>1.7819626396560662</v>
      </c>
      <c r="Q777" s="5">
        <v>1.2367289921748206</v>
      </c>
      <c r="R777" s="6">
        <f>P777/Q777</f>
        <v>1.4408675230637538</v>
      </c>
    </row>
    <row r="778" spans="1:18" x14ac:dyDescent="0.35">
      <c r="A778" s="9">
        <v>778</v>
      </c>
      <c r="B778" s="5">
        <v>1</v>
      </c>
      <c r="C778" s="5">
        <v>6000000</v>
      </c>
      <c r="D778" s="5">
        <v>20</v>
      </c>
      <c r="E778" s="5">
        <v>0</v>
      </c>
      <c r="F778" s="5">
        <v>2.5000000000000001E-2</v>
      </c>
      <c r="G778" s="12">
        <f>(C778*$U$4)/($U$5*$U$3)</f>
        <v>88.16326530612244</v>
      </c>
      <c r="H778" s="11">
        <f>G778*COS(RADIANS(D778))</f>
        <v>82.846369832553549</v>
      </c>
      <c r="I778" s="11">
        <f>G778*SIN(RADIANS(D778))</f>
        <v>30.153612636058952</v>
      </c>
      <c r="J778" s="11">
        <v>0.33379999999999999</v>
      </c>
      <c r="K778" s="12">
        <v>0</v>
      </c>
      <c r="L778" s="12">
        <f>-(F778*G778*$U$3)/J778</f>
        <v>-6.6030006969834067</v>
      </c>
      <c r="M778" s="11">
        <f>ABS(L778/$U$6)</f>
        <v>1.9250730894995356E-2</v>
      </c>
      <c r="N778" s="12">
        <f>L778*SIN(RADIANS(K778))</f>
        <v>0</v>
      </c>
      <c r="O778" s="12">
        <f>L778*COS(RADIANS(K778))</f>
        <v>-6.6030006969834067</v>
      </c>
      <c r="P778" s="5">
        <v>3.389275152699482</v>
      </c>
      <c r="Q778" s="5">
        <v>1.4116197144307685</v>
      </c>
      <c r="R778" s="6">
        <f>P778/Q778</f>
        <v>2.4009831529352064</v>
      </c>
    </row>
    <row r="779" spans="1:18" x14ac:dyDescent="0.35">
      <c r="A779" s="9">
        <v>779</v>
      </c>
      <c r="B779" s="5">
        <v>1</v>
      </c>
      <c r="C779" s="5">
        <v>6000000</v>
      </c>
      <c r="D779" s="5">
        <v>5</v>
      </c>
      <c r="E779" s="5">
        <v>0.25</v>
      </c>
      <c r="F779" s="5">
        <v>2.5000000000000001E-2</v>
      </c>
      <c r="G779" s="12">
        <f>(C779*$U$4)/($U$5*$U$3)</f>
        <v>88.16326530612244</v>
      </c>
      <c r="H779" s="11">
        <f>G779*COS(RADIANS(D779))</f>
        <v>87.827777464415107</v>
      </c>
      <c r="I779" s="11">
        <f>G779*SIN(RADIANS(D779))</f>
        <v>7.6839348708139434</v>
      </c>
      <c r="J779" s="13">
        <v>0.33379999999999999</v>
      </c>
      <c r="K779" s="12">
        <v>30</v>
      </c>
      <c r="L779" s="12">
        <f>-(F779*G779*$U$3)/J779</f>
        <v>-6.6030006969834067</v>
      </c>
      <c r="M779" s="11">
        <f>ABS(L779/$U$6)</f>
        <v>1.9250730894995356E-2</v>
      </c>
      <c r="N779" s="12">
        <f>L779*SIN(RADIANS(K779))</f>
        <v>-3.3015003484917029</v>
      </c>
      <c r="O779" s="12">
        <f>L779*COS(RADIANS(K779))</f>
        <v>-5.718366344793985</v>
      </c>
      <c r="P779" s="5">
        <v>4.6555596574531952</v>
      </c>
      <c r="Q779" s="5">
        <v>4.6342840561938693E-2</v>
      </c>
      <c r="R779" s="6">
        <f>P779/Q779</f>
        <v>100.4590914368076</v>
      </c>
    </row>
    <row r="780" spans="1:18" x14ac:dyDescent="0.35">
      <c r="A780" s="9">
        <v>138</v>
      </c>
      <c r="B780" s="5">
        <v>0.1</v>
      </c>
      <c r="C780" s="5">
        <v>6000000</v>
      </c>
      <c r="D780" s="5">
        <v>0</v>
      </c>
      <c r="E780" s="5">
        <v>0.375</v>
      </c>
      <c r="F780" s="5">
        <v>0.1</v>
      </c>
      <c r="G780" s="12">
        <f>(C780*$U$4)/($U$5*$U$3)</f>
        <v>88.16326530612244</v>
      </c>
      <c r="H780" s="11">
        <f>G780*COS(RADIANS(D780))</f>
        <v>88.16326530612244</v>
      </c>
      <c r="I780" s="11">
        <f>G780*SIN(RADIANS(D780))</f>
        <v>0</v>
      </c>
      <c r="J780" s="19">
        <v>0.16789999999999999</v>
      </c>
      <c r="K780" s="20">
        <v>85</v>
      </c>
      <c r="L780" s="12">
        <f>-(F780*G780*$U$3)/J780</f>
        <v>-52.50938969989425</v>
      </c>
      <c r="M780" s="11">
        <f>ABS(L780/$U$6)</f>
        <v>0.15308859970814651</v>
      </c>
      <c r="N780" s="12">
        <f>L780*SIN(RADIANS(K780))</f>
        <v>-52.309575619067964</v>
      </c>
      <c r="O780" s="12">
        <f>L780*COS(RADIANS(K780))</f>
        <v>-4.5764948605205129</v>
      </c>
      <c r="P780" s="5">
        <v>1.8094735680714715</v>
      </c>
      <c r="Q780" s="5">
        <v>0.17285010804955875</v>
      </c>
      <c r="R780" s="6">
        <f>P780/Q780</f>
        <v>10.468454943358601</v>
      </c>
    </row>
    <row r="781" spans="1:18" x14ac:dyDescent="0.35">
      <c r="A781" s="9">
        <v>781</v>
      </c>
      <c r="B781" s="5">
        <v>0.75</v>
      </c>
      <c r="C781" s="5">
        <v>2000000</v>
      </c>
      <c r="D781" s="5">
        <v>0</v>
      </c>
      <c r="E781" s="5">
        <v>0.25</v>
      </c>
      <c r="F781" s="5">
        <v>0.1</v>
      </c>
      <c r="G781" s="12">
        <f>(C781*$U$4)/($U$5*$U$3)</f>
        <v>29.387755102040813</v>
      </c>
      <c r="H781" s="11">
        <f>G781*COS(RADIANS(D781))</f>
        <v>29.387755102040813</v>
      </c>
      <c r="I781" s="11">
        <f>G781*SIN(RADIANS(D781))</f>
        <v>0</v>
      </c>
      <c r="J781" s="12">
        <v>0.28370000000000001</v>
      </c>
      <c r="K781" s="11">
        <v>38</v>
      </c>
      <c r="L781" s="12">
        <f>-(F781*G781*$U$3)/J781</f>
        <v>-10.358743426873744</v>
      </c>
      <c r="M781" s="11">
        <f>ABS(L781/$U$6)</f>
        <v>3.0200418154150858E-2</v>
      </c>
      <c r="N781" s="12">
        <f>L781*SIN(RADIANS(K781))</f>
        <v>-6.3774792607090545</v>
      </c>
      <c r="O781" s="12">
        <f>L781*COS(RADIANS(K781))</f>
        <v>-8.1628012142294555</v>
      </c>
      <c r="P781" s="5">
        <v>4.2479485791800666</v>
      </c>
      <c r="Q781" s="5">
        <v>-0.25243732167373978</v>
      </c>
      <c r="R781" s="6">
        <f>P781/Q781</f>
        <v>-16.827735895052346</v>
      </c>
    </row>
    <row r="782" spans="1:18" x14ac:dyDescent="0.35">
      <c r="A782" s="9">
        <v>782</v>
      </c>
      <c r="B782" s="5">
        <v>0.75</v>
      </c>
      <c r="C782" s="5">
        <v>2000000</v>
      </c>
      <c r="D782" s="5">
        <v>10</v>
      </c>
      <c r="E782" s="5">
        <v>0</v>
      </c>
      <c r="F782" s="5">
        <v>0.05</v>
      </c>
      <c r="G782" s="12">
        <f>(C782*$U$4)/($U$5*$U$3)</f>
        <v>29.387755102040813</v>
      </c>
      <c r="H782" s="11">
        <f>G782*COS(RADIANS(D782))</f>
        <v>28.941289068113864</v>
      </c>
      <c r="I782" s="11">
        <f>G782*SIN(RADIANS(D782))</f>
        <v>5.1031301191914213</v>
      </c>
      <c r="J782" s="11">
        <v>0.27929999999999999</v>
      </c>
      <c r="K782" s="12">
        <v>0</v>
      </c>
      <c r="L782" s="12">
        <f>-(F782*G782*$U$3)/J782</f>
        <v>-5.260965825642824</v>
      </c>
      <c r="M782" s="11">
        <f>ABS(L782/$U$6)</f>
        <v>1.5338092786130682E-2</v>
      </c>
      <c r="N782" s="12">
        <f>L782*SIN(RADIANS(K782))</f>
        <v>0</v>
      </c>
      <c r="O782" s="12">
        <f>L782*COS(RADIANS(K782))</f>
        <v>-5.260965825642824</v>
      </c>
      <c r="P782" s="5">
        <v>4.1266587528561844</v>
      </c>
      <c r="Q782" s="5">
        <v>0.88108272321966641</v>
      </c>
      <c r="R782" s="6">
        <f>P782/Q782</f>
        <v>4.6836223706401627</v>
      </c>
    </row>
    <row r="783" spans="1:18" x14ac:dyDescent="0.35">
      <c r="A783" s="9">
        <v>783</v>
      </c>
      <c r="B783" s="5">
        <v>1</v>
      </c>
      <c r="C783" s="5">
        <v>4000000</v>
      </c>
      <c r="D783" s="5">
        <v>30</v>
      </c>
      <c r="E783" s="5">
        <v>0</v>
      </c>
      <c r="F783" s="5">
        <v>0</v>
      </c>
      <c r="G783" s="12">
        <f>(C783*$U$4)/($U$5*$U$3)</f>
        <v>58.775510204081627</v>
      </c>
      <c r="H783" s="11">
        <f>G783*COS(RADIANS(D783))</f>
        <v>50.901084957126187</v>
      </c>
      <c r="I783" s="11">
        <f>G783*SIN(RADIANS(D783))</f>
        <v>29.38775510204081</v>
      </c>
      <c r="J783" s="11">
        <v>0.33379999999999999</v>
      </c>
      <c r="K783" s="12">
        <v>0</v>
      </c>
      <c r="L783" s="12">
        <f>-(F783*G783*$U$3)/J783</f>
        <v>0</v>
      </c>
      <c r="M783" s="11">
        <f>ABS(L783/$U$6)</f>
        <v>0</v>
      </c>
      <c r="N783" s="12">
        <f>L783*SIN(RADIANS(K783))</f>
        <v>0</v>
      </c>
      <c r="O783" s="12">
        <f>L783*COS(RADIANS(K783))</f>
        <v>0</v>
      </c>
      <c r="P783" s="5">
        <v>5.0328462614212697</v>
      </c>
      <c r="Q783" s="5">
        <v>2.9285779655010913</v>
      </c>
      <c r="R783" s="6">
        <f>P783/Q783</f>
        <v>1.7185290337865837</v>
      </c>
    </row>
    <row r="784" spans="1:18" x14ac:dyDescent="0.35">
      <c r="A784" s="9">
        <v>784</v>
      </c>
      <c r="B784" s="5">
        <v>0.75</v>
      </c>
      <c r="C784" s="5">
        <v>6000000</v>
      </c>
      <c r="D784" s="5">
        <v>0</v>
      </c>
      <c r="E784" s="5">
        <v>0.375</v>
      </c>
      <c r="F784" s="5">
        <v>0</v>
      </c>
      <c r="G784" s="12">
        <f>(C784*$U$4)/($U$5*$U$3)</f>
        <v>88.16326530612244</v>
      </c>
      <c r="H784" s="11">
        <f>G784*COS(RADIANS(D784))</f>
        <v>88.16326530612244</v>
      </c>
      <c r="I784" s="11">
        <f>G784*SIN(RADIANS(D784))</f>
        <v>0</v>
      </c>
      <c r="J784" s="11">
        <v>0.29299999999999998</v>
      </c>
      <c r="K784" s="12">
        <v>57</v>
      </c>
      <c r="L784" s="12">
        <f>-(F784*G784*$U$3)/J784</f>
        <v>0</v>
      </c>
      <c r="M784" s="11">
        <f>ABS(L784/$U$6)</f>
        <v>0</v>
      </c>
      <c r="N784" s="12">
        <f>L784*SIN(RADIANS(K784))</f>
        <v>0</v>
      </c>
      <c r="O784" s="12">
        <f>L784*COS(RADIANS(K784))</f>
        <v>0</v>
      </c>
      <c r="P784" s="5">
        <v>4.9596346691280431</v>
      </c>
      <c r="Q784" s="5">
        <v>0.32116874787191341</v>
      </c>
      <c r="R784" s="6">
        <f>P784/Q784</f>
        <v>15.442457281385344</v>
      </c>
    </row>
    <row r="785" spans="1:18" x14ac:dyDescent="0.35">
      <c r="A785" s="9">
        <v>785</v>
      </c>
      <c r="B785" s="5">
        <v>1</v>
      </c>
      <c r="C785" s="5">
        <v>4000000</v>
      </c>
      <c r="D785" s="5">
        <v>10</v>
      </c>
      <c r="E785" s="5">
        <v>0.25</v>
      </c>
      <c r="F785" s="5">
        <v>0.1</v>
      </c>
      <c r="G785" s="12">
        <f>(C785*$U$4)/($U$5*$U$3)</f>
        <v>58.775510204081627</v>
      </c>
      <c r="H785" s="11">
        <f>G785*COS(RADIANS(D785))</f>
        <v>57.882578136227728</v>
      </c>
      <c r="I785" s="11">
        <f>G785*SIN(RADIANS(D785))</f>
        <v>10.206260238382843</v>
      </c>
      <c r="J785" s="13">
        <v>0.33379999999999999</v>
      </c>
      <c r="K785" s="12">
        <v>30</v>
      </c>
      <c r="L785" s="12">
        <f>-(F785*G785*$U$3)/J785</f>
        <v>-17.608001858622419</v>
      </c>
      <c r="M785" s="11">
        <f>ABS(L785/$U$6)</f>
        <v>5.1335282386654281E-2</v>
      </c>
      <c r="N785" s="12">
        <f>L785*SIN(RADIANS(K785))</f>
        <v>-8.8040009293112078</v>
      </c>
      <c r="O785" s="12">
        <f>L785*COS(RADIANS(K785))</f>
        <v>-15.248976919450628</v>
      </c>
      <c r="P785" s="5">
        <v>9.5825952918042585</v>
      </c>
      <c r="Q785" s="5">
        <v>-0.68592087598320339</v>
      </c>
      <c r="R785" s="6">
        <f>P785/Q785</f>
        <v>-13.970409164276425</v>
      </c>
    </row>
    <row r="786" spans="1:18" x14ac:dyDescent="0.35">
      <c r="A786" s="9">
        <v>786</v>
      </c>
      <c r="B786" s="5">
        <v>0.5</v>
      </c>
      <c r="C786" s="5">
        <v>4000000</v>
      </c>
      <c r="D786" s="5">
        <v>20</v>
      </c>
      <c r="E786" s="5">
        <v>0.125</v>
      </c>
      <c r="F786" s="5">
        <v>0.1</v>
      </c>
      <c r="G786" s="12">
        <f>(C786*$U$4)/($U$5*$U$3)</f>
        <v>58.775510204081627</v>
      </c>
      <c r="H786" s="11">
        <f>G786*COS(RADIANS(D786))</f>
        <v>55.230913221702366</v>
      </c>
      <c r="I786" s="11">
        <f>G786*SIN(RADIANS(D786))</f>
        <v>20.102408424039304</v>
      </c>
      <c r="J786" s="12">
        <v>0.23300000000000001</v>
      </c>
      <c r="K786" s="11">
        <v>27</v>
      </c>
      <c r="L786" s="12">
        <f>-(F786*G786*$U$3)/J786</f>
        <v>-25.225540860120869</v>
      </c>
      <c r="M786" s="11">
        <f>ABS(L786/$U$6)</f>
        <v>7.3543850904142477E-2</v>
      </c>
      <c r="N786" s="12">
        <f>L786*SIN(RADIANS(K786))</f>
        <v>-11.452155901286629</v>
      </c>
      <c r="O786" s="12">
        <f>L786*COS(RADIANS(K786))</f>
        <v>-22.476121482547949</v>
      </c>
      <c r="P786" s="5">
        <v>3.545401157640363</v>
      </c>
      <c r="Q786" s="5">
        <v>0.78978683651924431</v>
      </c>
      <c r="R786" s="6">
        <f>P786/Q786</f>
        <v>4.4890608373085668</v>
      </c>
    </row>
    <row r="787" spans="1:18" x14ac:dyDescent="0.35">
      <c r="A787" s="9">
        <v>787</v>
      </c>
      <c r="B787" s="5">
        <v>0.75</v>
      </c>
      <c r="C787" s="5">
        <v>4000000</v>
      </c>
      <c r="D787" s="5">
        <v>0</v>
      </c>
      <c r="E787" s="5">
        <v>0.375</v>
      </c>
      <c r="F787" s="5">
        <v>7.4999999999999997E-2</v>
      </c>
      <c r="G787" s="12">
        <f>(C787*$U$4)/($U$5*$U$3)</f>
        <v>58.775510204081627</v>
      </c>
      <c r="H787" s="11">
        <f>G787*COS(RADIANS(D787))</f>
        <v>58.775510204081627</v>
      </c>
      <c r="I787" s="11">
        <f>G787*SIN(RADIANS(D787))</f>
        <v>0</v>
      </c>
      <c r="J787" s="11">
        <v>0.29299999999999998</v>
      </c>
      <c r="K787" s="12">
        <v>57</v>
      </c>
      <c r="L787" s="12">
        <f>-(F787*G787*$U$3)/J787</f>
        <v>-15.044925820157413</v>
      </c>
      <c r="M787" s="11">
        <f>ABS(L787/$U$6)</f>
        <v>4.3862757493170298E-2</v>
      </c>
      <c r="N787" s="12">
        <f>L787*SIN(RADIANS(K787))</f>
        <v>-12.617736482288192</v>
      </c>
      <c r="O787" s="12">
        <f>L787*COS(RADIANS(K787))</f>
        <v>-8.1940538805631977</v>
      </c>
      <c r="P787" s="5">
        <v>4.7256487038609185</v>
      </c>
      <c r="Q787" s="5">
        <v>-0.64608645473162629</v>
      </c>
      <c r="R787" s="6">
        <f>P787/Q787</f>
        <v>-7.3142667970401503</v>
      </c>
    </row>
    <row r="788" spans="1:18" x14ac:dyDescent="0.35">
      <c r="A788" s="9">
        <v>788</v>
      </c>
      <c r="B788" s="5">
        <v>0.25</v>
      </c>
      <c r="C788" s="5">
        <v>4000000</v>
      </c>
      <c r="D788" s="5">
        <v>10</v>
      </c>
      <c r="E788" s="5">
        <v>0.25</v>
      </c>
      <c r="F788" s="5">
        <v>7.4999999999999997E-2</v>
      </c>
      <c r="G788" s="12">
        <f>(C788*$U$4)/($U$5*$U$3)</f>
        <v>58.775510204081627</v>
      </c>
      <c r="H788" s="11">
        <f>G788*COS(RADIANS(D788))</f>
        <v>57.882578136227728</v>
      </c>
      <c r="I788" s="11">
        <f>G788*SIN(RADIANS(D788))</f>
        <v>10.206260238382843</v>
      </c>
      <c r="J788" s="12">
        <v>0.1913</v>
      </c>
      <c r="K788" s="11">
        <v>67</v>
      </c>
      <c r="L788" s="12">
        <f>-(F788*G788*$U$3)/J788</f>
        <v>-23.043195323084799</v>
      </c>
      <c r="M788" s="11">
        <f>ABS(L788/$U$6)</f>
        <v>6.7181327472550428E-2</v>
      </c>
      <c r="N788" s="12">
        <f>L788*SIN(RADIANS(K788))</f>
        <v>-21.211373133952133</v>
      </c>
      <c r="O788" s="12">
        <f>L788*COS(RADIANS(K788))</f>
        <v>-9.0036937125876779</v>
      </c>
      <c r="P788" s="5">
        <v>2.257199307093964</v>
      </c>
      <c r="Q788" s="5">
        <v>0.39453999221703567</v>
      </c>
      <c r="R788" s="6">
        <f>P788/Q788</f>
        <v>5.7210912749556782</v>
      </c>
    </row>
    <row r="789" spans="1:18" x14ac:dyDescent="0.35">
      <c r="A789" s="9">
        <v>748</v>
      </c>
      <c r="B789" s="5">
        <v>0.1</v>
      </c>
      <c r="C789" s="5">
        <v>4000000</v>
      </c>
      <c r="D789" s="5">
        <v>5</v>
      </c>
      <c r="E789" s="5">
        <v>0.375</v>
      </c>
      <c r="F789" s="5">
        <v>0.15</v>
      </c>
      <c r="G789" s="12">
        <f>(C789*$U$4)/($U$5*$U$3)</f>
        <v>58.775510204081627</v>
      </c>
      <c r="H789" s="11">
        <f>G789*COS(RADIANS(D789))</f>
        <v>58.551851642943404</v>
      </c>
      <c r="I789" s="11">
        <f>G789*SIN(RADIANS(D789))</f>
        <v>5.1226232472092956</v>
      </c>
      <c r="J789" s="12">
        <v>0.16789999999999999</v>
      </c>
      <c r="K789" s="20">
        <v>85</v>
      </c>
      <c r="L789" s="12">
        <f>-(F789*G789*$U$3)/J789</f>
        <v>-52.50938969989425</v>
      </c>
      <c r="M789" s="11">
        <f>ABS(L789/$U$6)</f>
        <v>0.15308859970814651</v>
      </c>
      <c r="N789" s="12">
        <f>L789*SIN(RADIANS(K789))</f>
        <v>-52.309575619067964</v>
      </c>
      <c r="O789" s="12">
        <f>L789*COS(RADIANS(K789))</f>
        <v>-4.5764948605205129</v>
      </c>
      <c r="P789" s="5">
        <v>2.1560651673833644</v>
      </c>
      <c r="Q789" s="5">
        <v>0.32405282376810057</v>
      </c>
      <c r="R789" s="6">
        <f>P789/Q789</f>
        <v>6.6534373696008666</v>
      </c>
    </row>
    <row r="790" spans="1:18" x14ac:dyDescent="0.35">
      <c r="A790" s="9">
        <v>790</v>
      </c>
      <c r="B790" s="5">
        <v>0.1</v>
      </c>
      <c r="C790" s="5">
        <v>2000000</v>
      </c>
      <c r="D790" s="5">
        <v>30</v>
      </c>
      <c r="E790" s="5">
        <v>0.25</v>
      </c>
      <c r="F790" s="5">
        <v>2.5000000000000001E-2</v>
      </c>
      <c r="G790" s="12">
        <f>(C790*$U$4)/($U$5*$U$3)</f>
        <v>29.387755102040813</v>
      </c>
      <c r="H790" s="11">
        <f>G790*COS(RADIANS(D790))</f>
        <v>25.450542478563094</v>
      </c>
      <c r="I790" s="11">
        <f>G790*SIN(RADIANS(D790))</f>
        <v>14.693877551020405</v>
      </c>
      <c r="J790" s="11">
        <v>0.1661</v>
      </c>
      <c r="K790" s="12">
        <v>80</v>
      </c>
      <c r="L790" s="12">
        <f>-(F790*G790*$U$3)/J790</f>
        <v>-4.4232021526250476</v>
      </c>
      <c r="M790" s="11">
        <f>ABS(L790/$U$6)</f>
        <v>1.2895633098032209E-2</v>
      </c>
      <c r="N790" s="12">
        <f>L790*SIN(RADIANS(K790))</f>
        <v>-4.3560037730454351</v>
      </c>
      <c r="O790" s="12">
        <f>L790*COS(RADIANS(K790))</f>
        <v>-0.76808099325578327</v>
      </c>
      <c r="P790" s="5">
        <v>1.2034468742732956</v>
      </c>
      <c r="Q790" s="5">
        <v>0.95520273391125954</v>
      </c>
      <c r="R790" s="6">
        <f>P790/Q790</f>
        <v>1.2598863377887886</v>
      </c>
    </row>
    <row r="791" spans="1:18" x14ac:dyDescent="0.35">
      <c r="A791" s="9">
        <v>791</v>
      </c>
      <c r="B791" s="5">
        <v>0.5</v>
      </c>
      <c r="C791" s="5">
        <v>2000000</v>
      </c>
      <c r="D791" s="5">
        <v>10</v>
      </c>
      <c r="E791" s="5">
        <v>0</v>
      </c>
      <c r="F791" s="5">
        <v>0.15</v>
      </c>
      <c r="G791" s="12">
        <f>(C791*$U$4)/($U$5*$U$3)</f>
        <v>29.387755102040813</v>
      </c>
      <c r="H791" s="11">
        <f>G791*COS(RADIANS(D791))</f>
        <v>28.941289068113864</v>
      </c>
      <c r="I791" s="11">
        <f>G791*SIN(RADIANS(D791))</f>
        <v>5.1031301191914213</v>
      </c>
      <c r="J791" s="12">
        <v>0.23230000000000001</v>
      </c>
      <c r="K791" s="12">
        <v>0</v>
      </c>
      <c r="L791" s="12">
        <f>-(F791*G791*$U$3)/J791</f>
        <v>-18.976165584615249</v>
      </c>
      <c r="M791" s="11">
        <f>ABS(L791/$U$6)</f>
        <v>5.532409791433017E-2</v>
      </c>
      <c r="N791" s="12">
        <f>L791*SIN(RADIANS(K791))</f>
        <v>0</v>
      </c>
      <c r="O791" s="12">
        <f>L791*COS(RADIANS(K791))</f>
        <v>-18.976165584615249</v>
      </c>
      <c r="P791" s="5">
        <v>4.6823031367043573</v>
      </c>
      <c r="Q791" s="5">
        <v>0.42085102474990088</v>
      </c>
      <c r="R791" s="6">
        <f>P791/Q791</f>
        <v>11.125797161803062</v>
      </c>
    </row>
    <row r="792" spans="1:18" x14ac:dyDescent="0.35">
      <c r="A792" s="9">
        <v>792</v>
      </c>
      <c r="B792" s="5">
        <v>0.25</v>
      </c>
      <c r="C792" s="5">
        <v>4000000</v>
      </c>
      <c r="D792" s="5">
        <v>10</v>
      </c>
      <c r="E792" s="5">
        <v>0.25</v>
      </c>
      <c r="F792" s="5">
        <v>1.4999999999999999E-2</v>
      </c>
      <c r="G792" s="12">
        <f>(C792*$U$4)/($U$5*$U$3)</f>
        <v>58.775510204081627</v>
      </c>
      <c r="H792" s="11">
        <f>G792*COS(RADIANS(D792))</f>
        <v>57.882578136227728</v>
      </c>
      <c r="I792" s="11">
        <f>G792*SIN(RADIANS(D792))</f>
        <v>10.206260238382843</v>
      </c>
      <c r="J792" s="12">
        <v>0.1913</v>
      </c>
      <c r="K792" s="11">
        <v>67</v>
      </c>
      <c r="L792" s="12">
        <f>-(F792*G792*$U$3)/J792</f>
        <v>-4.6086390646169599</v>
      </c>
      <c r="M792" s="11">
        <f>ABS(L792/$U$6)</f>
        <v>1.3436265494510087E-2</v>
      </c>
      <c r="N792" s="12">
        <f>L792*SIN(RADIANS(K792))</f>
        <v>-4.2422746267904268</v>
      </c>
      <c r="O792" s="12">
        <f>L792*COS(RADIANS(K792))</f>
        <v>-1.8007387425175356</v>
      </c>
      <c r="P792" s="5">
        <v>2.1759432055622678</v>
      </c>
      <c r="Q792" s="5">
        <v>0.41992534094625678</v>
      </c>
      <c r="R792" s="6">
        <f>P792/Q792</f>
        <v>5.181738260089312</v>
      </c>
    </row>
    <row r="793" spans="1:18" x14ac:dyDescent="0.35">
      <c r="A793" s="9">
        <v>793</v>
      </c>
      <c r="B793" s="5">
        <v>1</v>
      </c>
      <c r="C793" s="5">
        <v>2000000</v>
      </c>
      <c r="D793" s="5">
        <v>10</v>
      </c>
      <c r="E793" s="5">
        <v>0</v>
      </c>
      <c r="F793" s="5">
        <v>0.1</v>
      </c>
      <c r="G793" s="12">
        <f>(C793*$U$4)/($U$5*$U$3)</f>
        <v>29.387755102040813</v>
      </c>
      <c r="H793" s="11">
        <f>G793*COS(RADIANS(D793))</f>
        <v>28.941289068113864</v>
      </c>
      <c r="I793" s="11">
        <f>G793*SIN(RADIANS(D793))</f>
        <v>5.1031301191914213</v>
      </c>
      <c r="J793" s="11">
        <v>0.33379999999999999</v>
      </c>
      <c r="K793" s="12">
        <v>0</v>
      </c>
      <c r="L793" s="12">
        <f>-(F793*G793*$U$3)/J793</f>
        <v>-8.8040009293112096</v>
      </c>
      <c r="M793" s="11">
        <f>ABS(L793/$U$6)</f>
        <v>2.566764119332714E-2</v>
      </c>
      <c r="N793" s="12">
        <f>L793*SIN(RADIANS(K793))</f>
        <v>0</v>
      </c>
      <c r="O793" s="12">
        <f>L793*COS(RADIANS(K793))</f>
        <v>-8.8040009293112096</v>
      </c>
      <c r="P793" s="5">
        <v>2.0774036800500548</v>
      </c>
      <c r="Q793" s="5">
        <v>1.6046848720952311</v>
      </c>
      <c r="R793" s="6">
        <f>P793/Q793</f>
        <v>1.2945866918640521</v>
      </c>
    </row>
    <row r="794" spans="1:18" x14ac:dyDescent="0.35">
      <c r="A794" s="9">
        <v>794</v>
      </c>
      <c r="B794" s="5">
        <v>1</v>
      </c>
      <c r="C794" s="5">
        <v>2000000</v>
      </c>
      <c r="D794" s="5">
        <v>15</v>
      </c>
      <c r="E794" s="5">
        <v>0</v>
      </c>
      <c r="F794" s="5">
        <v>0.05</v>
      </c>
      <c r="G794" s="12">
        <f>(C794*$U$4)/($U$5*$U$3)</f>
        <v>29.387755102040813</v>
      </c>
      <c r="H794" s="11">
        <f>G794*COS(RADIANS(D794))</f>
        <v>28.386391629719554</v>
      </c>
      <c r="I794" s="11">
        <f>G794*SIN(RADIANS(D794))</f>
        <v>7.6061107132169354</v>
      </c>
      <c r="J794" s="11">
        <v>0.33379999999999999</v>
      </c>
      <c r="K794" s="12">
        <v>0</v>
      </c>
      <c r="L794" s="12">
        <f>-(F794*G794*$U$3)/J794</f>
        <v>-4.4020004646556048</v>
      </c>
      <c r="M794" s="11">
        <f>ABS(L794/$U$6)</f>
        <v>1.283382059666357E-2</v>
      </c>
      <c r="N794" s="12">
        <f>L794*SIN(RADIANS(K794))</f>
        <v>0</v>
      </c>
      <c r="O794" s="12">
        <f>L794*COS(RADIANS(K794))</f>
        <v>-4.4020004646556048</v>
      </c>
      <c r="P794" s="5">
        <v>1.0891237265263087</v>
      </c>
      <c r="Q794" s="5">
        <v>1.876148316535289</v>
      </c>
      <c r="R794" s="6">
        <f>P794/Q794</f>
        <v>0.58051046227390468</v>
      </c>
    </row>
    <row r="795" spans="1:18" x14ac:dyDescent="0.35">
      <c r="A795" s="9">
        <v>795</v>
      </c>
      <c r="B795" s="5">
        <v>0.75</v>
      </c>
      <c r="C795" s="5">
        <v>4000000</v>
      </c>
      <c r="D795" s="5">
        <v>20</v>
      </c>
      <c r="E795" s="5">
        <v>0.125</v>
      </c>
      <c r="F795" s="5">
        <v>0.15</v>
      </c>
      <c r="G795" s="12">
        <f>(C795*$U$4)/($U$5*$U$3)</f>
        <v>58.775510204081627</v>
      </c>
      <c r="H795" s="11">
        <f>G795*COS(RADIANS(D795))</f>
        <v>55.230913221702366</v>
      </c>
      <c r="I795" s="11">
        <f>G795*SIN(RADIANS(D795))</f>
        <v>20.102408424039304</v>
      </c>
      <c r="J795" s="12">
        <v>0.2802</v>
      </c>
      <c r="K795" s="12">
        <v>19</v>
      </c>
      <c r="L795" s="12">
        <f>-(F795*G795*$U$3)/J795</f>
        <v>-31.464405890835987</v>
      </c>
      <c r="M795" s="11">
        <f>ABS(L795/$U$6)</f>
        <v>9.1732961780862932E-2</v>
      </c>
      <c r="N795" s="12">
        <f>L795*SIN(RADIANS(K795))</f>
        <v>-10.243808556970363</v>
      </c>
      <c r="O795" s="12">
        <f>L795*COS(RADIANS(K795))</f>
        <v>-29.750180239981997</v>
      </c>
      <c r="P795" s="5">
        <v>4.0732276907239378</v>
      </c>
      <c r="Q795" s="5">
        <v>0.75857498374022159</v>
      </c>
      <c r="R795" s="6">
        <f>P795/Q795</f>
        <v>5.3695781933653093</v>
      </c>
    </row>
    <row r="796" spans="1:18" x14ac:dyDescent="0.35">
      <c r="A796" s="9">
        <v>796</v>
      </c>
      <c r="B796" s="5">
        <v>0.5</v>
      </c>
      <c r="C796" s="5">
        <v>2000000</v>
      </c>
      <c r="D796" s="5">
        <v>20</v>
      </c>
      <c r="E796" s="5">
        <v>0.125</v>
      </c>
      <c r="F796" s="5">
        <v>0.1</v>
      </c>
      <c r="G796" s="12">
        <f>(C796*$U$4)/($U$5*$U$3)</f>
        <v>29.387755102040813</v>
      </c>
      <c r="H796" s="11">
        <f>G796*COS(RADIANS(D796))</f>
        <v>27.615456610851183</v>
      </c>
      <c r="I796" s="11">
        <f>G796*SIN(RADIANS(D796))</f>
        <v>10.051204212019652</v>
      </c>
      <c r="J796" s="12">
        <v>0.23300000000000001</v>
      </c>
      <c r="K796" s="11">
        <v>27</v>
      </c>
      <c r="L796" s="12">
        <f>-(F796*G796*$U$3)/J796</f>
        <v>-12.612770430060435</v>
      </c>
      <c r="M796" s="11">
        <f>ABS(L796/$U$6)</f>
        <v>3.6771925452071239E-2</v>
      </c>
      <c r="N796" s="12">
        <f>L796*SIN(RADIANS(K796))</f>
        <v>-5.7260779506433144</v>
      </c>
      <c r="O796" s="12">
        <f>L796*COS(RADIANS(K796))</f>
        <v>-11.238060741273975</v>
      </c>
      <c r="P796" s="5">
        <v>3.6135815777761007</v>
      </c>
      <c r="Q796" s="5">
        <v>0.80432677820056486</v>
      </c>
      <c r="R796" s="6">
        <f>P796/Q796</f>
        <v>4.4926784432819504</v>
      </c>
    </row>
    <row r="797" spans="1:18" x14ac:dyDescent="0.35">
      <c r="A797" s="9">
        <v>1011</v>
      </c>
      <c r="B797" s="5">
        <v>0.1</v>
      </c>
      <c r="C797" s="5">
        <v>6000000</v>
      </c>
      <c r="D797" s="5">
        <v>15</v>
      </c>
      <c r="E797" s="5">
        <v>0.375</v>
      </c>
      <c r="F797" s="5">
        <v>0.1</v>
      </c>
      <c r="G797" s="12">
        <f>(C797*$U$4)/($U$5*$U$3)</f>
        <v>88.16326530612244</v>
      </c>
      <c r="H797" s="11">
        <f>G797*COS(RADIANS(D797))</f>
        <v>85.159174889158663</v>
      </c>
      <c r="I797" s="11">
        <f>G797*SIN(RADIANS(D797))</f>
        <v>22.818332139650806</v>
      </c>
      <c r="J797" s="12">
        <v>0.16789999999999999</v>
      </c>
      <c r="K797" s="11">
        <v>85</v>
      </c>
      <c r="L797" s="12">
        <f>-(F797*G797*$U$3)/J797</f>
        <v>-52.50938969989425</v>
      </c>
      <c r="M797" s="11">
        <f>ABS(L797/$U$6)</f>
        <v>0.15308859970814651</v>
      </c>
      <c r="N797" s="12">
        <f>L797*SIN(RADIANS(K797))</f>
        <v>-52.309575619067964</v>
      </c>
      <c r="O797" s="12">
        <f>L797*COS(RADIANS(K797))</f>
        <v>-4.5764948605205129</v>
      </c>
      <c r="P797" s="5">
        <v>2.0635533257644938</v>
      </c>
      <c r="Q797" s="5">
        <v>0.72120480383841157</v>
      </c>
      <c r="R797" s="6">
        <f>P797/Q797</f>
        <v>2.8612584314217075</v>
      </c>
    </row>
    <row r="798" spans="1:18" x14ac:dyDescent="0.35">
      <c r="A798" s="9">
        <v>1071</v>
      </c>
      <c r="B798" s="5">
        <v>0.1</v>
      </c>
      <c r="C798" s="5">
        <v>6000000</v>
      </c>
      <c r="D798" s="5">
        <v>5</v>
      </c>
      <c r="E798" s="5">
        <v>0.375</v>
      </c>
      <c r="F798" s="5">
        <v>0.1</v>
      </c>
      <c r="G798" s="12">
        <f>(C798*$U$4)/($U$5*$U$3)</f>
        <v>88.16326530612244</v>
      </c>
      <c r="H798" s="11">
        <f>G798*COS(RADIANS(D798))</f>
        <v>87.827777464415107</v>
      </c>
      <c r="I798" s="11">
        <f>G798*SIN(RADIANS(D798))</f>
        <v>7.6839348708139434</v>
      </c>
      <c r="J798" s="12">
        <v>0.16789999999999999</v>
      </c>
      <c r="K798" s="20">
        <v>85</v>
      </c>
      <c r="L798" s="12">
        <f>-(F798*G798*$U$3)/J798</f>
        <v>-52.50938969989425</v>
      </c>
      <c r="M798" s="11">
        <f>ABS(L798/$U$6)</f>
        <v>0.15308859970814651</v>
      </c>
      <c r="N798" s="12">
        <f>L798*SIN(RADIANS(K798))</f>
        <v>-52.309575619067964</v>
      </c>
      <c r="O798" s="12">
        <f>L798*COS(RADIANS(K798))</f>
        <v>-4.5764948605205129</v>
      </c>
      <c r="P798" s="5">
        <v>2.0006289112717219</v>
      </c>
      <c r="Q798" s="5">
        <v>0.32939712962084727</v>
      </c>
      <c r="R798" s="6">
        <f>P798/Q798</f>
        <v>6.0736076042148479</v>
      </c>
    </row>
    <row r="799" spans="1:18" x14ac:dyDescent="0.35">
      <c r="A799" s="9">
        <v>799</v>
      </c>
      <c r="B799" s="5">
        <v>0.1</v>
      </c>
      <c r="C799" s="5">
        <v>4000000</v>
      </c>
      <c r="D799" s="5">
        <v>30</v>
      </c>
      <c r="E799" s="5">
        <v>0.125</v>
      </c>
      <c r="F799" s="5">
        <v>3.5000000000000003E-2</v>
      </c>
      <c r="G799" s="12">
        <f>(C799*$U$4)/($U$5*$U$3)</f>
        <v>58.775510204081627</v>
      </c>
      <c r="H799" s="11">
        <f>G799*COS(RADIANS(D799))</f>
        <v>50.901084957126187</v>
      </c>
      <c r="I799" s="11">
        <f>G799*SIN(RADIANS(D799))</f>
        <v>29.38775510204081</v>
      </c>
      <c r="J799" s="12">
        <v>0.1658</v>
      </c>
      <c r="K799" s="12">
        <v>69</v>
      </c>
      <c r="L799" s="12">
        <f>-(F799*G799*$U$3)/J799</f>
        <v>-12.407375495433396</v>
      </c>
      <c r="M799" s="11">
        <f>ABS(L799/$U$6)</f>
        <v>3.6173106400680451E-2</v>
      </c>
      <c r="N799" s="12">
        <f>L799*SIN(RADIANS(K799))</f>
        <v>-11.58328290673764</v>
      </c>
      <c r="O799" s="12">
        <f>L799*COS(RADIANS(K799))</f>
        <v>-4.4464057155370718</v>
      </c>
      <c r="P799" s="5">
        <v>1.1054846535530742</v>
      </c>
      <c r="Q799" s="5">
        <v>0.89981001274999473</v>
      </c>
      <c r="R799" s="6">
        <f>P799/Q799</f>
        <v>1.2285756302872177</v>
      </c>
    </row>
    <row r="800" spans="1:18" x14ac:dyDescent="0.35">
      <c r="A800" s="9">
        <v>800</v>
      </c>
      <c r="B800" s="5">
        <v>0.75</v>
      </c>
      <c r="C800" s="5">
        <v>6000000</v>
      </c>
      <c r="D800" s="5">
        <v>0</v>
      </c>
      <c r="E800" s="5">
        <v>0.375</v>
      </c>
      <c r="F800" s="5">
        <v>3.5000000000000003E-2</v>
      </c>
      <c r="G800" s="12">
        <f>(C800*$U$4)/($U$5*$U$3)</f>
        <v>88.16326530612244</v>
      </c>
      <c r="H800" s="11">
        <f>G800*COS(RADIANS(D800))</f>
        <v>88.16326530612244</v>
      </c>
      <c r="I800" s="11">
        <f>G800*SIN(RADIANS(D800))</f>
        <v>0</v>
      </c>
      <c r="J800" s="11">
        <v>0.29299999999999998</v>
      </c>
      <c r="K800" s="12">
        <v>57</v>
      </c>
      <c r="L800" s="12">
        <f>-(F800*G800*$U$3)/J800</f>
        <v>-10.531448074110191</v>
      </c>
      <c r="M800" s="11">
        <f>ABS(L800/$U$6)</f>
        <v>3.0703930245219217E-2</v>
      </c>
      <c r="N800" s="12">
        <f>L800*SIN(RADIANS(K800))</f>
        <v>-8.8324155376017366</v>
      </c>
      <c r="O800" s="12">
        <f>L800*COS(RADIANS(K800))</f>
        <v>-5.73583771639424</v>
      </c>
      <c r="P800" s="5">
        <v>3.592544678550496</v>
      </c>
      <c r="Q800" s="5">
        <v>-0.22769003209723063</v>
      </c>
      <c r="R800" s="6">
        <f>P800/Q800</f>
        <v>-15.778225535215213</v>
      </c>
    </row>
    <row r="801" spans="1:18" x14ac:dyDescent="0.35">
      <c r="A801" s="9">
        <v>801</v>
      </c>
      <c r="B801" s="5">
        <v>1</v>
      </c>
      <c r="C801" s="5">
        <v>2000000</v>
      </c>
      <c r="D801" s="5">
        <v>0</v>
      </c>
      <c r="E801" s="5">
        <v>0.375</v>
      </c>
      <c r="F801" s="5">
        <v>3.5000000000000003E-2</v>
      </c>
      <c r="G801" s="12">
        <f>(C801*$U$4)/($U$5*$U$3)</f>
        <v>29.387755102040813</v>
      </c>
      <c r="H801" s="11">
        <f>G801*COS(RADIANS(D801))</f>
        <v>29.387755102040813</v>
      </c>
      <c r="I801" s="11">
        <f>G801*SIN(RADIANS(D801))</f>
        <v>0</v>
      </c>
      <c r="J801" s="12">
        <v>0.33379999999999999</v>
      </c>
      <c r="K801" s="11">
        <v>49</v>
      </c>
      <c r="L801" s="12">
        <f>-(F801*G801*$U$3)/J801</f>
        <v>-3.0814003252589233</v>
      </c>
      <c r="M801" s="11">
        <f>ABS(L801/$U$6)</f>
        <v>8.983674417664499E-3</v>
      </c>
      <c r="N801" s="12">
        <f>L801*SIN(RADIANS(K801))</f>
        <v>-2.325562345974475</v>
      </c>
      <c r="O801" s="12">
        <f>L801*COS(RADIANS(K801))</f>
        <v>-2.0215805053204026</v>
      </c>
      <c r="P801" s="5">
        <v>4.4042802277113182</v>
      </c>
      <c r="Q801" s="5">
        <v>-0.42886177096037825</v>
      </c>
      <c r="R801" s="6">
        <f>P801/Q801</f>
        <v>-10.269696498824143</v>
      </c>
    </row>
    <row r="802" spans="1:18" x14ac:dyDescent="0.35">
      <c r="A802" s="9">
        <v>802</v>
      </c>
      <c r="B802" s="5">
        <v>1</v>
      </c>
      <c r="C802" s="5">
        <v>2000000</v>
      </c>
      <c r="D802" s="5">
        <v>15</v>
      </c>
      <c r="E802" s="5">
        <v>0</v>
      </c>
      <c r="F802" s="5">
        <v>0.15</v>
      </c>
      <c r="G802" s="12">
        <f>(C802*$U$4)/($U$5*$U$3)</f>
        <v>29.387755102040813</v>
      </c>
      <c r="H802" s="11">
        <f>G802*COS(RADIANS(D802))</f>
        <v>28.386391629719554</v>
      </c>
      <c r="I802" s="11">
        <f>G802*SIN(RADIANS(D802))</f>
        <v>7.6061107132169354</v>
      </c>
      <c r="J802" s="11">
        <v>0.33379999999999999</v>
      </c>
      <c r="K802" s="12">
        <v>0</v>
      </c>
      <c r="L802" s="12">
        <f>-(F802*G802*$U$3)/J802</f>
        <v>-13.206001393966813</v>
      </c>
      <c r="M802" s="11">
        <f>ABS(L802/$U$6)</f>
        <v>3.8501461789990712E-2</v>
      </c>
      <c r="N802" s="12">
        <f>L802*SIN(RADIANS(K802))</f>
        <v>0</v>
      </c>
      <c r="O802" s="12">
        <f>L802*COS(RADIANS(K802))</f>
        <v>-13.206001393966813</v>
      </c>
      <c r="P802" s="5">
        <v>1.9379045199249592</v>
      </c>
      <c r="Q802" s="5">
        <v>1.3849098387970331</v>
      </c>
      <c r="R802" s="6">
        <f>P802/Q802</f>
        <v>1.3993001317748388</v>
      </c>
    </row>
    <row r="803" spans="1:18" x14ac:dyDescent="0.35">
      <c r="A803" s="9">
        <v>1171</v>
      </c>
      <c r="B803" s="5">
        <v>0.1</v>
      </c>
      <c r="C803" s="5">
        <v>6000000</v>
      </c>
      <c r="D803" s="5">
        <v>30</v>
      </c>
      <c r="E803" s="5">
        <v>0.375</v>
      </c>
      <c r="F803" s="5">
        <v>0.1</v>
      </c>
      <c r="G803" s="12">
        <f>(C803*$U$4)/($U$5*$U$3)</f>
        <v>88.16326530612244</v>
      </c>
      <c r="H803" s="11">
        <f>G803*COS(RADIANS(D803))</f>
        <v>76.351627435689281</v>
      </c>
      <c r="I803" s="11">
        <f>G803*SIN(RADIANS(D803))</f>
        <v>44.081632653061213</v>
      </c>
      <c r="J803" s="19">
        <v>0.16789999999999999</v>
      </c>
      <c r="K803" s="20">
        <v>85</v>
      </c>
      <c r="L803" s="12">
        <f>-(F803*G803*$U$3)/J803</f>
        <v>-52.50938969989425</v>
      </c>
      <c r="M803" s="11">
        <f>ABS(L803/$U$6)</f>
        <v>0.15308859970814651</v>
      </c>
      <c r="N803" s="12">
        <f>L803*SIN(RADIANS(K803))</f>
        <v>-52.309575619067964</v>
      </c>
      <c r="O803" s="12">
        <f>L803*COS(RADIANS(K803))</f>
        <v>-4.5764948605205129</v>
      </c>
      <c r="P803" s="5">
        <v>1.630934124040643</v>
      </c>
      <c r="Q803" s="5">
        <v>1.1794754737795319</v>
      </c>
      <c r="R803" s="6">
        <f>P803/Q803</f>
        <v>1.3827622195605722</v>
      </c>
    </row>
    <row r="804" spans="1:18" x14ac:dyDescent="0.35">
      <c r="A804" s="9">
        <v>804</v>
      </c>
      <c r="B804" s="5">
        <v>0.75</v>
      </c>
      <c r="C804" s="5">
        <v>6000000</v>
      </c>
      <c r="D804" s="5">
        <v>10</v>
      </c>
      <c r="E804" s="5">
        <v>0.375</v>
      </c>
      <c r="F804" s="5">
        <v>7.4999999999999997E-2</v>
      </c>
      <c r="G804" s="12">
        <f>(C804*$U$4)/($U$5*$U$3)</f>
        <v>88.16326530612244</v>
      </c>
      <c r="H804" s="11">
        <f>G804*COS(RADIANS(D804))</f>
        <v>86.823867204341596</v>
      </c>
      <c r="I804" s="11">
        <f>G804*SIN(RADIANS(D804))</f>
        <v>15.309390357574264</v>
      </c>
      <c r="J804" s="11">
        <v>0.29299999999999998</v>
      </c>
      <c r="K804" s="12">
        <v>57</v>
      </c>
      <c r="L804" s="12">
        <f>-(F804*G804*$U$3)/J804</f>
        <v>-22.567388730236122</v>
      </c>
      <c r="M804" s="11">
        <f>ABS(L804/$U$6)</f>
        <v>6.5794136239755455E-2</v>
      </c>
      <c r="N804" s="12">
        <f>L804*SIN(RADIANS(K804))</f>
        <v>-18.926604723432291</v>
      </c>
      <c r="O804" s="12">
        <f>L804*COS(RADIANS(K804))</f>
        <v>-12.291080820844799</v>
      </c>
      <c r="P804" s="5">
        <v>5.0419068438258439</v>
      </c>
      <c r="Q804" s="5">
        <v>-2.0631848599675994E-2</v>
      </c>
      <c r="R804" s="6">
        <f>P804/Q804</f>
        <v>-244.37494388675492</v>
      </c>
    </row>
    <row r="805" spans="1:18" x14ac:dyDescent="0.35">
      <c r="A805" s="9">
        <v>805</v>
      </c>
      <c r="B805" s="5">
        <v>0.25</v>
      </c>
      <c r="C805" s="5">
        <v>2000000</v>
      </c>
      <c r="D805" s="5">
        <v>15</v>
      </c>
      <c r="E805" s="5">
        <v>0.375</v>
      </c>
      <c r="F805" s="5">
        <v>1.4999999999999999E-2</v>
      </c>
      <c r="G805" s="12">
        <f>(C805*$U$4)/($U$5*$U$3)</f>
        <v>29.387755102040813</v>
      </c>
      <c r="H805" s="11">
        <f>G805*COS(RADIANS(D805))</f>
        <v>28.386391629719554</v>
      </c>
      <c r="I805" s="11">
        <f>G805*SIN(RADIANS(D805))</f>
        <v>7.6061107132169354</v>
      </c>
      <c r="J805" s="11">
        <v>0.1976</v>
      </c>
      <c r="K805" s="12">
        <v>78</v>
      </c>
      <c r="L805" s="12">
        <f>-(F805*G805*$U$3)/J805</f>
        <v>-2.2308518549120051</v>
      </c>
      <c r="M805" s="11">
        <f>ABS(L805/$U$6)</f>
        <v>6.5039412679650296E-3</v>
      </c>
      <c r="N805" s="12">
        <f>L805*SIN(RADIANS(K805))</f>
        <v>-2.1821023894747373</v>
      </c>
      <c r="O805" s="12">
        <f>L805*COS(RADIANS(K805))</f>
        <v>-0.46382018111869</v>
      </c>
      <c r="P805" s="5">
        <v>2.3619995855052403</v>
      </c>
      <c r="Q805" s="5">
        <v>0.61114753236466857</v>
      </c>
      <c r="R805" s="6">
        <f>P805/Q805</f>
        <v>3.8648598913033774</v>
      </c>
    </row>
    <row r="806" spans="1:18" x14ac:dyDescent="0.35">
      <c r="A806" s="9">
        <v>806</v>
      </c>
      <c r="B806" s="5">
        <v>0.5</v>
      </c>
      <c r="C806" s="5">
        <v>2000000</v>
      </c>
      <c r="D806" s="5">
        <v>30</v>
      </c>
      <c r="E806" s="5">
        <v>0.375</v>
      </c>
      <c r="F806" s="5">
        <v>3.5000000000000003E-2</v>
      </c>
      <c r="G806" s="12">
        <f>(C806*$U$4)/($U$5*$U$3)</f>
        <v>29.387755102040813</v>
      </c>
      <c r="H806" s="11">
        <f>G806*COS(RADIANS(D806))</f>
        <v>25.450542478563094</v>
      </c>
      <c r="I806" s="11">
        <f>G806*SIN(RADIANS(D806))</f>
        <v>14.693877551020405</v>
      </c>
      <c r="J806" s="12">
        <v>0.24809999999999999</v>
      </c>
      <c r="K806" s="12">
        <v>67</v>
      </c>
      <c r="L806" s="12">
        <f>-(F806*G806*$U$3)/J806</f>
        <v>-4.1457937467610986</v>
      </c>
      <c r="M806" s="11">
        <f>ABS(L806/$U$6)</f>
        <v>1.2086862235455098E-2</v>
      </c>
      <c r="N806" s="12">
        <f>L806*SIN(RADIANS(K806))</f>
        <v>-3.8162232653063688</v>
      </c>
      <c r="O806" s="12">
        <f>L806*COS(RADIANS(K806))</f>
        <v>-1.6198906691557382</v>
      </c>
      <c r="P806" s="5">
        <v>3.5080793413790445</v>
      </c>
      <c r="Q806" s="5">
        <v>1.1441489475541089</v>
      </c>
      <c r="R806" s="6">
        <f>P806/Q806</f>
        <v>3.0661037174210581</v>
      </c>
    </row>
    <row r="807" spans="1:18" x14ac:dyDescent="0.35">
      <c r="A807" s="9">
        <v>807</v>
      </c>
      <c r="B807" s="5">
        <v>0.1</v>
      </c>
      <c r="C807" s="5">
        <v>2000000</v>
      </c>
      <c r="D807" s="5">
        <v>10</v>
      </c>
      <c r="E807" s="5">
        <v>0</v>
      </c>
      <c r="F807" s="5">
        <v>0.05</v>
      </c>
      <c r="G807" s="12">
        <f>(C807*$U$4)/($U$5*$U$3)</f>
        <v>29.387755102040813</v>
      </c>
      <c r="H807" s="11">
        <f>G807*COS(RADIANS(D807))</f>
        <v>28.941289068113864</v>
      </c>
      <c r="I807" s="11">
        <f>G807*SIN(RADIANS(D807))</f>
        <v>5.1031301191914213</v>
      </c>
      <c r="J807" s="11">
        <v>0.16569999999999999</v>
      </c>
      <c r="K807" s="12">
        <v>0</v>
      </c>
      <c r="L807" s="12">
        <f>-(F807*G807*$U$3)/J807</f>
        <v>-8.8677595359205839</v>
      </c>
      <c r="M807" s="11">
        <f>ABS(L807/$U$6)</f>
        <v>2.5853526343791788E-2</v>
      </c>
      <c r="N807" s="12">
        <f>L807*SIN(RADIANS(K807))</f>
        <v>0</v>
      </c>
      <c r="O807" s="12">
        <f>L807*COS(RADIANS(K807))</f>
        <v>-8.8677595359205839</v>
      </c>
      <c r="P807" s="5">
        <v>1.433679732339308</v>
      </c>
      <c r="Q807" s="5">
        <v>0.41934199418978813</v>
      </c>
      <c r="R807" s="6">
        <f>P807/Q807</f>
        <v>3.4188794640263129</v>
      </c>
    </row>
    <row r="808" spans="1:18" x14ac:dyDescent="0.35">
      <c r="A808" s="9">
        <v>1381</v>
      </c>
      <c r="B808" s="5">
        <v>0.1</v>
      </c>
      <c r="C808" s="5">
        <v>6000000</v>
      </c>
      <c r="D808" s="5">
        <v>10</v>
      </c>
      <c r="E808" s="5">
        <v>0.375</v>
      </c>
      <c r="F808" s="5">
        <v>0.1</v>
      </c>
      <c r="G808" s="12">
        <f>(C808*$U$4)/($U$5*$U$3)</f>
        <v>88.16326530612244</v>
      </c>
      <c r="H808" s="11">
        <f>G808*COS(RADIANS(D808))</f>
        <v>86.823867204341596</v>
      </c>
      <c r="I808" s="11">
        <f>G808*SIN(RADIANS(D808))</f>
        <v>15.309390357574264</v>
      </c>
      <c r="J808" s="12">
        <v>0.16789999999999999</v>
      </c>
      <c r="K808" s="11">
        <v>85</v>
      </c>
      <c r="L808" s="12">
        <f>-(F808*G808*$U$3)/J808</f>
        <v>-52.50938969989425</v>
      </c>
      <c r="M808" s="11">
        <f>ABS(L808/$U$6)</f>
        <v>0.15308859970814651</v>
      </c>
      <c r="N808" s="12">
        <f>L808*SIN(RADIANS(K808))</f>
        <v>-52.309575619067964</v>
      </c>
      <c r="O808" s="12">
        <f>L808*COS(RADIANS(K808))</f>
        <v>-4.5764948605205129</v>
      </c>
      <c r="P808" s="5">
        <v>2.1487964523980274</v>
      </c>
      <c r="Q808" s="5">
        <v>0.53164942699784412</v>
      </c>
      <c r="R808" s="6">
        <f>P808/Q808</f>
        <v>4.0417544781944077</v>
      </c>
    </row>
    <row r="809" spans="1:18" x14ac:dyDescent="0.35">
      <c r="A809" s="9">
        <v>809</v>
      </c>
      <c r="B809" s="5">
        <v>0.75</v>
      </c>
      <c r="C809" s="5">
        <v>2000000</v>
      </c>
      <c r="D809" s="5">
        <v>15</v>
      </c>
      <c r="E809" s="5">
        <v>0.25</v>
      </c>
      <c r="F809" s="5">
        <v>0.1</v>
      </c>
      <c r="G809" s="12">
        <f>(C809*$U$4)/($U$5*$U$3)</f>
        <v>29.387755102040813</v>
      </c>
      <c r="H809" s="11">
        <f>G809*COS(RADIANS(D809))</f>
        <v>28.386391629719554</v>
      </c>
      <c r="I809" s="11">
        <f>G809*SIN(RADIANS(D809))</f>
        <v>7.6061107132169354</v>
      </c>
      <c r="J809" s="12">
        <v>0.28370000000000001</v>
      </c>
      <c r="K809" s="11">
        <v>38</v>
      </c>
      <c r="L809" s="12">
        <f>-(F809*G809*$U$3)/J809</f>
        <v>-10.358743426873744</v>
      </c>
      <c r="M809" s="11">
        <f>ABS(L809/$U$6)</f>
        <v>3.0200418154150858E-2</v>
      </c>
      <c r="N809" s="12">
        <f>L809*SIN(RADIANS(K809))</f>
        <v>-6.3774792607090545</v>
      </c>
      <c r="O809" s="12">
        <f>L809*COS(RADIANS(K809))</f>
        <v>-8.1628012142294555</v>
      </c>
      <c r="P809" s="5">
        <v>4.6136288165940069</v>
      </c>
      <c r="Q809" s="5">
        <v>0.41303610057606516</v>
      </c>
      <c r="R809" s="6">
        <f>P809/Q809</f>
        <v>11.170037704111911</v>
      </c>
    </row>
    <row r="810" spans="1:18" x14ac:dyDescent="0.35">
      <c r="A810" s="9">
        <v>810</v>
      </c>
      <c r="B810" s="5">
        <v>0.75</v>
      </c>
      <c r="C810" s="5">
        <v>6000000</v>
      </c>
      <c r="D810" s="5">
        <v>5</v>
      </c>
      <c r="E810" s="5">
        <v>0.375</v>
      </c>
      <c r="F810" s="5">
        <v>7.4999999999999997E-2</v>
      </c>
      <c r="G810" s="12">
        <f>(C810*$U$4)/($U$5*$U$3)</f>
        <v>88.16326530612244</v>
      </c>
      <c r="H810" s="11">
        <f>G810*COS(RADIANS(D810))</f>
        <v>87.827777464415107</v>
      </c>
      <c r="I810" s="11">
        <f>G810*SIN(RADIANS(D810))</f>
        <v>7.6839348708139434</v>
      </c>
      <c r="J810" s="11">
        <v>0.29299999999999998</v>
      </c>
      <c r="K810" s="12">
        <v>57</v>
      </c>
      <c r="L810" s="12">
        <f>-(F810*G810*$U$3)/J810</f>
        <v>-22.567388730236122</v>
      </c>
      <c r="M810" s="11">
        <f>ABS(L810/$U$6)</f>
        <v>6.5794136239755455E-2</v>
      </c>
      <c r="N810" s="12">
        <f>L810*SIN(RADIANS(K810))</f>
        <v>-18.926604723432291</v>
      </c>
      <c r="O810" s="12">
        <f>L810*COS(RADIANS(K810))</f>
        <v>-12.291080820844799</v>
      </c>
      <c r="P810" s="5">
        <v>4.9249717937660282</v>
      </c>
      <c r="Q810" s="5">
        <v>-0.34565113181845014</v>
      </c>
      <c r="R810" s="6">
        <f>P810/Q810</f>
        <v>-14.248389026982331</v>
      </c>
    </row>
    <row r="811" spans="1:18" x14ac:dyDescent="0.35">
      <c r="A811" s="9">
        <v>811</v>
      </c>
      <c r="B811" s="5">
        <v>0.25</v>
      </c>
      <c r="C811" s="5">
        <v>6000000</v>
      </c>
      <c r="D811" s="5">
        <v>30</v>
      </c>
      <c r="E811" s="5">
        <v>0</v>
      </c>
      <c r="F811" s="5">
        <v>2.5000000000000001E-2</v>
      </c>
      <c r="G811" s="12">
        <f>(C811*$U$4)/($U$5*$U$3)</f>
        <v>88.16326530612244</v>
      </c>
      <c r="H811" s="11">
        <f>G811*COS(RADIANS(D811))</f>
        <v>76.351627435689281</v>
      </c>
      <c r="I811" s="11">
        <f>G811*SIN(RADIANS(D811))</f>
        <v>44.081632653061213</v>
      </c>
      <c r="J811" s="12">
        <v>0.18990000000000001</v>
      </c>
      <c r="K811" s="12">
        <v>0</v>
      </c>
      <c r="L811" s="12">
        <f>-(F811*G811*$U$3)/J811</f>
        <v>-11.606538349937129</v>
      </c>
      <c r="M811" s="11">
        <f>ABS(L811/$U$6)</f>
        <v>3.3838304227221949E-2</v>
      </c>
      <c r="N811" s="12">
        <f>L811*SIN(RADIANS(K811))</f>
        <v>0</v>
      </c>
      <c r="O811" s="12">
        <f>L811*COS(RADIANS(K811))</f>
        <v>-11.606538349937129</v>
      </c>
      <c r="P811" s="5">
        <v>2.0825520882426223</v>
      </c>
      <c r="Q811" s="5">
        <v>0.85567854663354925</v>
      </c>
      <c r="R811" s="6">
        <f>P811/Q811</f>
        <v>2.4338019182973518</v>
      </c>
    </row>
    <row r="812" spans="1:18" x14ac:dyDescent="0.35">
      <c r="A812" s="9">
        <v>812</v>
      </c>
      <c r="B812" s="5">
        <v>1</v>
      </c>
      <c r="C812" s="5">
        <v>4000000</v>
      </c>
      <c r="D812" s="5">
        <v>10</v>
      </c>
      <c r="E812" s="5">
        <v>0.125</v>
      </c>
      <c r="F812" s="5">
        <v>0</v>
      </c>
      <c r="G812" s="12">
        <f>(C812*$U$4)/($U$5*$U$3)</f>
        <v>58.775510204081627</v>
      </c>
      <c r="H812" s="11">
        <f>G812*COS(RADIANS(D812))</f>
        <v>57.882578136227728</v>
      </c>
      <c r="I812" s="11">
        <f>G812*SIN(RADIANS(D812))</f>
        <v>10.206260238382843</v>
      </c>
      <c r="J812" s="11">
        <v>0.33379999999999999</v>
      </c>
      <c r="K812" s="12">
        <v>14</v>
      </c>
      <c r="L812" s="12">
        <f>-(F812*G812*$U$3)/J812</f>
        <v>0</v>
      </c>
      <c r="M812" s="11">
        <f>ABS(L812/$U$6)</f>
        <v>0</v>
      </c>
      <c r="N812" s="12">
        <f>L812*SIN(RADIANS(K812))</f>
        <v>0</v>
      </c>
      <c r="O812" s="12">
        <f>L812*COS(RADIANS(K812))</f>
        <v>0</v>
      </c>
      <c r="P812" s="5">
        <v>6.1694653470450627</v>
      </c>
      <c r="Q812" s="5">
        <v>1.9096078008182531</v>
      </c>
      <c r="R812" s="6">
        <f>P812/Q812</f>
        <v>3.2307499709634051</v>
      </c>
    </row>
    <row r="813" spans="1:18" x14ac:dyDescent="0.35">
      <c r="A813" s="9">
        <v>2087</v>
      </c>
      <c r="B813" s="5">
        <v>0.1</v>
      </c>
      <c r="C813" s="5">
        <v>4000000</v>
      </c>
      <c r="D813" s="5">
        <v>0</v>
      </c>
      <c r="E813" s="5">
        <v>0.375</v>
      </c>
      <c r="F813" s="5">
        <v>0.15</v>
      </c>
      <c r="G813" s="12">
        <f>(C813*$U$4)/($U$5*$U$3)</f>
        <v>58.775510204081627</v>
      </c>
      <c r="H813" s="11">
        <f>G813*COS(RADIANS(D813))</f>
        <v>58.775510204081627</v>
      </c>
      <c r="I813" s="11">
        <f>G813*SIN(RADIANS(D813))</f>
        <v>0</v>
      </c>
      <c r="J813" s="19">
        <v>0.16789999999999999</v>
      </c>
      <c r="K813" s="11">
        <v>85</v>
      </c>
      <c r="L813" s="12">
        <f>-(F813*G813*$U$3)/J813</f>
        <v>-52.50938969989425</v>
      </c>
      <c r="M813" s="11">
        <f>ABS(L813/$U$6)</f>
        <v>0.15308859970814651</v>
      </c>
      <c r="N813" s="12">
        <f>L813*SIN(RADIANS(K813))</f>
        <v>-52.309575619067964</v>
      </c>
      <c r="O813" s="12">
        <f>L813*COS(RADIANS(K813))</f>
        <v>-4.5764948605205129</v>
      </c>
      <c r="P813" s="5">
        <v>1.9230486426084383</v>
      </c>
      <c r="Q813" s="5">
        <v>0.15385489167666891</v>
      </c>
      <c r="R813" s="6">
        <f>P813/Q813</f>
        <v>12.499106278985188</v>
      </c>
    </row>
    <row r="814" spans="1:18" x14ac:dyDescent="0.35">
      <c r="A814" s="9">
        <v>814</v>
      </c>
      <c r="B814" s="5">
        <v>0.75</v>
      </c>
      <c r="C814" s="5">
        <v>4000000</v>
      </c>
      <c r="D814" s="5">
        <v>20</v>
      </c>
      <c r="E814" s="5">
        <v>0.375</v>
      </c>
      <c r="F814" s="5">
        <v>7.4999999999999997E-2</v>
      </c>
      <c r="G814" s="12">
        <f>(C814*$U$4)/($U$5*$U$3)</f>
        <v>58.775510204081627</v>
      </c>
      <c r="H814" s="11">
        <f>G814*COS(RADIANS(D814))</f>
        <v>55.230913221702366</v>
      </c>
      <c r="I814" s="11">
        <f>G814*SIN(RADIANS(D814))</f>
        <v>20.102408424039304</v>
      </c>
      <c r="J814" s="11">
        <v>0.29299999999999998</v>
      </c>
      <c r="K814" s="12">
        <v>57</v>
      </c>
      <c r="L814" s="12">
        <f>-(F814*G814*$U$3)/J814</f>
        <v>-15.044925820157413</v>
      </c>
      <c r="M814" s="11">
        <f>ABS(L814/$U$6)</f>
        <v>4.3862757493170298E-2</v>
      </c>
      <c r="N814" s="12">
        <f>L814*SIN(RADIANS(K814))</f>
        <v>-12.617736482288192</v>
      </c>
      <c r="O814" s="12">
        <f>L814*COS(RADIANS(K814))</f>
        <v>-8.1940538805631977</v>
      </c>
      <c r="P814" s="5">
        <v>5.3817288895287509</v>
      </c>
      <c r="Q814" s="5">
        <v>0.63903664083864375</v>
      </c>
      <c r="R814" s="6">
        <f>P814/Q814</f>
        <v>8.4216280344519916</v>
      </c>
    </row>
    <row r="815" spans="1:18" x14ac:dyDescent="0.35">
      <c r="A815" s="9">
        <v>815</v>
      </c>
      <c r="B815" s="5">
        <v>1</v>
      </c>
      <c r="C815" s="5">
        <v>4000000</v>
      </c>
      <c r="D815" s="5">
        <v>15</v>
      </c>
      <c r="E815" s="5">
        <v>0.375</v>
      </c>
      <c r="F815" s="5">
        <v>7.4999999999999997E-2</v>
      </c>
      <c r="G815" s="12">
        <f>(C815*$U$4)/($U$5*$U$3)</f>
        <v>58.775510204081627</v>
      </c>
      <c r="H815" s="11">
        <f>G815*COS(RADIANS(D815))</f>
        <v>56.772783259439109</v>
      </c>
      <c r="I815" s="11">
        <f>G815*SIN(RADIANS(D815))</f>
        <v>15.212221426433871</v>
      </c>
      <c r="J815" s="12">
        <v>0.33379999999999999</v>
      </c>
      <c r="K815" s="11">
        <v>49</v>
      </c>
      <c r="L815" s="12">
        <f>-(F815*G815*$U$3)/J815</f>
        <v>-13.206001393966813</v>
      </c>
      <c r="M815" s="11">
        <f>ABS(L815/$U$6)</f>
        <v>3.8501461789990712E-2</v>
      </c>
      <c r="N815" s="12">
        <f>L815*SIN(RADIANS(K815))</f>
        <v>-9.9666957684620368</v>
      </c>
      <c r="O815" s="12">
        <f>L815*COS(RADIANS(K815))</f>
        <v>-8.6639164513731526</v>
      </c>
      <c r="P815" s="5">
        <v>5.9790107972737037</v>
      </c>
      <c r="Q815" s="5">
        <v>0.31912649533978371</v>
      </c>
      <c r="R815" s="6">
        <f>P815/Q815</f>
        <v>18.735551214284694</v>
      </c>
    </row>
    <row r="816" spans="1:18" x14ac:dyDescent="0.35">
      <c r="A816" s="9">
        <v>816</v>
      </c>
      <c r="B816" s="5">
        <v>0.5</v>
      </c>
      <c r="C816" s="5">
        <v>6000000</v>
      </c>
      <c r="D816" s="5">
        <v>10</v>
      </c>
      <c r="E816" s="5">
        <v>0</v>
      </c>
      <c r="F816" s="5">
        <v>0</v>
      </c>
      <c r="G816" s="12">
        <f>(C816*$U$4)/($U$5*$U$3)</f>
        <v>88.16326530612244</v>
      </c>
      <c r="H816" s="11">
        <f>G816*COS(RADIANS(D816))</f>
        <v>86.823867204341596</v>
      </c>
      <c r="I816" s="11">
        <f>G816*SIN(RADIANS(D816))</f>
        <v>15.309390357574264</v>
      </c>
      <c r="J816" s="12">
        <v>0.23230000000000001</v>
      </c>
      <c r="K816" s="12">
        <v>0</v>
      </c>
      <c r="L816" s="12">
        <f>-(F816*G816*$U$3)/J816</f>
        <v>0</v>
      </c>
      <c r="M816" s="11">
        <f>ABS(L816/$U$6)</f>
        <v>0</v>
      </c>
      <c r="N816" s="12">
        <f>L816*SIN(RADIANS(K816))</f>
        <v>0</v>
      </c>
      <c r="O816" s="12">
        <f>L816*COS(RADIANS(K816))</f>
        <v>0</v>
      </c>
      <c r="P816" s="5">
        <v>3.7740739965718828</v>
      </c>
      <c r="Q816" s="5">
        <v>0.88321373336096998</v>
      </c>
      <c r="R816" s="6">
        <f>P816/Q816</f>
        <v>4.2731151634271711</v>
      </c>
    </row>
    <row r="817" spans="1:18" x14ac:dyDescent="0.35">
      <c r="A817" s="9">
        <v>817</v>
      </c>
      <c r="B817" s="5">
        <v>0.1</v>
      </c>
      <c r="C817" s="5">
        <v>6000000</v>
      </c>
      <c r="D817" s="5">
        <v>10</v>
      </c>
      <c r="E817" s="5">
        <v>0.375</v>
      </c>
      <c r="F817" s="5">
        <v>0.05</v>
      </c>
      <c r="G817" s="12">
        <f>(C817*$U$4)/($U$5*$U$3)</f>
        <v>88.16326530612244</v>
      </c>
      <c r="H817" s="11">
        <f>G817*COS(RADIANS(D817))</f>
        <v>86.823867204341596</v>
      </c>
      <c r="I817" s="11">
        <f>G817*SIN(RADIANS(D817))</f>
        <v>15.309390357574264</v>
      </c>
      <c r="J817" s="12">
        <v>0.16789999999999999</v>
      </c>
      <c r="K817" s="11">
        <v>85</v>
      </c>
      <c r="L817" s="12">
        <f>-(F817*G817*$U$3)/J817</f>
        <v>-26.254694849947125</v>
      </c>
      <c r="M817" s="11">
        <f>ABS(L817/$U$6)</f>
        <v>7.6544299854073253E-2</v>
      </c>
      <c r="N817" s="12">
        <f>L817*SIN(RADIANS(K817))</f>
        <v>-26.154787809533982</v>
      </c>
      <c r="O817" s="12">
        <f>L817*COS(RADIANS(K817))</f>
        <v>-2.2882474302602565</v>
      </c>
      <c r="P817" s="5">
        <v>1.9073812751682719</v>
      </c>
      <c r="Q817" s="5">
        <v>0.51125401806215143</v>
      </c>
      <c r="R817" s="6">
        <f>P817/Q817</f>
        <v>3.7307897987735679</v>
      </c>
    </row>
    <row r="818" spans="1:18" x14ac:dyDescent="0.35">
      <c r="A818" s="9">
        <v>818</v>
      </c>
      <c r="B818" s="5">
        <v>0.5</v>
      </c>
      <c r="C818" s="5">
        <v>4000000</v>
      </c>
      <c r="D818" s="5">
        <v>10</v>
      </c>
      <c r="E818" s="5">
        <v>0.375</v>
      </c>
      <c r="F818" s="5">
        <v>3.5000000000000003E-2</v>
      </c>
      <c r="G818" s="12">
        <f>(C818*$U$4)/($U$5*$U$3)</f>
        <v>58.775510204081627</v>
      </c>
      <c r="H818" s="11">
        <f>G818*COS(RADIANS(D818))</f>
        <v>57.882578136227728</v>
      </c>
      <c r="I818" s="11">
        <f>G818*SIN(RADIANS(D818))</f>
        <v>10.206260238382843</v>
      </c>
      <c r="J818" s="12">
        <v>0.24809999999999999</v>
      </c>
      <c r="K818" s="12">
        <v>67</v>
      </c>
      <c r="L818" s="12">
        <f>-(F818*G818*$U$3)/J818</f>
        <v>-8.2915874935221971</v>
      </c>
      <c r="M818" s="11">
        <f>ABS(L818/$U$6)</f>
        <v>2.4173724470910197E-2</v>
      </c>
      <c r="N818" s="12">
        <f>L818*SIN(RADIANS(K818))</f>
        <v>-7.6324465306127376</v>
      </c>
      <c r="O818" s="12">
        <f>L818*COS(RADIANS(K818))</f>
        <v>-3.2397813383114764</v>
      </c>
      <c r="P818" s="5">
        <v>3.2782274088955856</v>
      </c>
      <c r="Q818" s="5">
        <v>0.2553262639661214</v>
      </c>
      <c r="R818" s="6">
        <f>P818/Q818</f>
        <v>12.839366220979779</v>
      </c>
    </row>
    <row r="819" spans="1:18" x14ac:dyDescent="0.35">
      <c r="A819" s="9">
        <v>819</v>
      </c>
      <c r="B819" s="5">
        <v>1</v>
      </c>
      <c r="C819" s="5">
        <v>2000000</v>
      </c>
      <c r="D819" s="5">
        <v>10</v>
      </c>
      <c r="E819" s="5">
        <v>0.125</v>
      </c>
      <c r="F819" s="5">
        <v>0.05</v>
      </c>
      <c r="G819" s="12">
        <f>(C819*$U$4)/($U$5*$U$3)</f>
        <v>29.387755102040813</v>
      </c>
      <c r="H819" s="11">
        <f>G819*COS(RADIANS(D819))</f>
        <v>28.941289068113864</v>
      </c>
      <c r="I819" s="11">
        <f>G819*SIN(RADIANS(D819))</f>
        <v>5.1031301191914213</v>
      </c>
      <c r="J819" s="11">
        <v>0.33379999999999999</v>
      </c>
      <c r="K819" s="12">
        <v>14</v>
      </c>
      <c r="L819" s="12">
        <f>-(F819*G819*$U$3)/J819</f>
        <v>-4.4020004646556048</v>
      </c>
      <c r="M819" s="11">
        <f>ABS(L819/$U$6)</f>
        <v>1.283382059666357E-2</v>
      </c>
      <c r="N819" s="12">
        <f>L819*SIN(RADIANS(K819))</f>
        <v>-1.0649402968401021</v>
      </c>
      <c r="O819" s="12">
        <f>L819*COS(RADIANS(K819))</f>
        <v>-4.2712422379202843</v>
      </c>
      <c r="P819" s="5">
        <v>4.4897384434928869</v>
      </c>
      <c r="Q819" s="5">
        <v>0.50519865073353432</v>
      </c>
      <c r="R819" s="6">
        <f>P819/Q819</f>
        <v>8.8870752860759072</v>
      </c>
    </row>
    <row r="820" spans="1:18" x14ac:dyDescent="0.35">
      <c r="A820" s="9">
        <v>820</v>
      </c>
      <c r="B820" s="5">
        <v>0.1</v>
      </c>
      <c r="C820" s="5">
        <v>2000000</v>
      </c>
      <c r="D820" s="5">
        <v>0</v>
      </c>
      <c r="E820" s="5">
        <v>0</v>
      </c>
      <c r="F820" s="5">
        <v>3.5000000000000003E-2</v>
      </c>
      <c r="G820" s="12">
        <f>(C820*$U$4)/($U$5*$U$3)</f>
        <v>29.387755102040813</v>
      </c>
      <c r="H820" s="11">
        <f>G820*COS(RADIANS(D820))</f>
        <v>29.387755102040813</v>
      </c>
      <c r="I820" s="11">
        <f>G820*SIN(RADIANS(D820))</f>
        <v>0</v>
      </c>
      <c r="J820" s="11">
        <v>0.16569999999999999</v>
      </c>
      <c r="K820" s="12">
        <v>0</v>
      </c>
      <c r="L820" s="12">
        <f>-(F820*G820*$U$3)/J820</f>
        <v>-6.2074316751444085</v>
      </c>
      <c r="M820" s="11">
        <f>ABS(L820/$U$6)</f>
        <v>1.8097468440654251E-2</v>
      </c>
      <c r="N820" s="12">
        <f>L820*SIN(RADIANS(K820))</f>
        <v>0</v>
      </c>
      <c r="O820" s="12">
        <f>L820*COS(RADIANS(K820))</f>
        <v>-6.2074316751444085</v>
      </c>
      <c r="P820" s="5">
        <v>1.1659707328891065</v>
      </c>
      <c r="Q820" s="5">
        <v>0.22463676561530765</v>
      </c>
      <c r="R820" s="6">
        <f>P820/Q820</f>
        <v>5.190471513847565</v>
      </c>
    </row>
    <row r="821" spans="1:18" x14ac:dyDescent="0.35">
      <c r="A821" s="9">
        <v>821</v>
      </c>
      <c r="B821" s="5">
        <v>0.25</v>
      </c>
      <c r="C821" s="5">
        <v>2000000</v>
      </c>
      <c r="D821" s="5">
        <v>0</v>
      </c>
      <c r="E821" s="5">
        <v>0.125</v>
      </c>
      <c r="F821" s="5">
        <v>0.1</v>
      </c>
      <c r="G821" s="12">
        <f>(C821*$U$4)/($U$5*$U$3)</f>
        <v>29.387755102040813</v>
      </c>
      <c r="H821" s="11">
        <f>G821*COS(RADIANS(D821))</f>
        <v>29.387755102040813</v>
      </c>
      <c r="I821" s="11">
        <f>G821*SIN(RADIANS(D821))</f>
        <v>0</v>
      </c>
      <c r="J821" s="11">
        <v>0.19020000000000001</v>
      </c>
      <c r="K821" s="12">
        <v>46</v>
      </c>
      <c r="L821" s="12">
        <f>-(F821*G821*$U$3)/J821</f>
        <v>-15.450975342818513</v>
      </c>
      <c r="M821" s="11">
        <f>ABS(L821/$U$6)</f>
        <v>4.5046575343494204E-2</v>
      </c>
      <c r="N821" s="12">
        <f>L821*SIN(RADIANS(K821))</f>
        <v>-11.114501518140489</v>
      </c>
      <c r="O821" s="12">
        <f>L821*COS(RADIANS(K821))</f>
        <v>-10.733149353644455</v>
      </c>
      <c r="P821" s="5">
        <v>2.3311637949177104</v>
      </c>
      <c r="Q821" s="5">
        <v>0.11357309263764441</v>
      </c>
      <c r="R821" s="6">
        <f>P821/Q821</f>
        <v>20.525669775985598</v>
      </c>
    </row>
    <row r="822" spans="1:18" x14ac:dyDescent="0.35">
      <c r="A822" s="9">
        <v>2188</v>
      </c>
      <c r="B822" s="5">
        <v>0.1</v>
      </c>
      <c r="C822" s="5">
        <v>4000000</v>
      </c>
      <c r="D822" s="5">
        <v>15</v>
      </c>
      <c r="E822" s="5">
        <v>0.375</v>
      </c>
      <c r="F822" s="5">
        <v>0.15</v>
      </c>
      <c r="G822" s="12">
        <f>(C822*$U$4)/($U$5*$U$3)</f>
        <v>58.775510204081627</v>
      </c>
      <c r="H822" s="11">
        <f>G822*COS(RADIANS(D822))</f>
        <v>56.772783259439109</v>
      </c>
      <c r="I822" s="11">
        <f>G822*SIN(RADIANS(D822))</f>
        <v>15.212221426433871</v>
      </c>
      <c r="J822" s="12">
        <v>0.16789999999999999</v>
      </c>
      <c r="K822" s="11">
        <v>85</v>
      </c>
      <c r="L822" s="12">
        <f>-(F822*G822*$U$3)/J822</f>
        <v>-52.50938969989425</v>
      </c>
      <c r="M822" s="11">
        <f>ABS(L822/$U$6)</f>
        <v>0.15308859970814651</v>
      </c>
      <c r="N822" s="12">
        <f>L822*SIN(RADIANS(K822))</f>
        <v>-52.309575619067964</v>
      </c>
      <c r="O822" s="12">
        <f>L822*COS(RADIANS(K822))</f>
        <v>-4.5764948605205129</v>
      </c>
      <c r="P822" s="5">
        <v>2.2787137612504185</v>
      </c>
      <c r="Q822" s="5">
        <v>0.7472095784932512</v>
      </c>
      <c r="R822" s="6">
        <f>P822/Q822</f>
        <v>3.0496313575709868</v>
      </c>
    </row>
    <row r="823" spans="1:18" x14ac:dyDescent="0.35">
      <c r="A823" s="9">
        <v>823</v>
      </c>
      <c r="B823" s="5">
        <v>0.75</v>
      </c>
      <c r="C823" s="5">
        <v>2000000</v>
      </c>
      <c r="D823" s="5">
        <v>15</v>
      </c>
      <c r="E823" s="5">
        <v>0</v>
      </c>
      <c r="F823" s="5">
        <v>0.05</v>
      </c>
      <c r="G823" s="12">
        <f>(C823*$U$4)/($U$5*$U$3)</f>
        <v>29.387755102040813</v>
      </c>
      <c r="H823" s="11">
        <f>G823*COS(RADIANS(D823))</f>
        <v>28.386391629719554</v>
      </c>
      <c r="I823" s="11">
        <f>G823*SIN(RADIANS(D823))</f>
        <v>7.6061107132169354</v>
      </c>
      <c r="J823" s="11">
        <v>0.27929999999999999</v>
      </c>
      <c r="K823" s="12">
        <v>0</v>
      </c>
      <c r="L823" s="12">
        <f>-(F823*G823*$U$3)/J823</f>
        <v>-5.260965825642824</v>
      </c>
      <c r="M823" s="11">
        <f>ABS(L823/$U$6)</f>
        <v>1.5338092786130682E-2</v>
      </c>
      <c r="N823" s="12">
        <f>L823*SIN(RADIANS(K823))</f>
        <v>0</v>
      </c>
      <c r="O823" s="12">
        <f>L823*COS(RADIANS(K823))</f>
        <v>-5.260965825642824</v>
      </c>
      <c r="P823" s="5">
        <v>4.0494168962946686</v>
      </c>
      <c r="Q823" s="5">
        <v>1.0228630266076599</v>
      </c>
      <c r="R823" s="6">
        <f>P823/Q823</f>
        <v>3.9589043605619598</v>
      </c>
    </row>
    <row r="824" spans="1:18" x14ac:dyDescent="0.35">
      <c r="A824" s="9">
        <v>824</v>
      </c>
      <c r="B824" s="5">
        <v>0.25</v>
      </c>
      <c r="C824" s="5">
        <v>2000000</v>
      </c>
      <c r="D824" s="5">
        <v>0</v>
      </c>
      <c r="E824" s="5">
        <v>0.375</v>
      </c>
      <c r="F824" s="5">
        <v>2.5000000000000001E-2</v>
      </c>
      <c r="G824" s="12">
        <f>(C824*$U$4)/($U$5*$U$3)</f>
        <v>29.387755102040813</v>
      </c>
      <c r="H824" s="11">
        <f>G824*COS(RADIANS(D824))</f>
        <v>29.387755102040813</v>
      </c>
      <c r="I824" s="11">
        <f>G824*SIN(RADIANS(D824))</f>
        <v>0</v>
      </c>
      <c r="J824" s="11">
        <v>0.1976</v>
      </c>
      <c r="K824" s="12">
        <v>78</v>
      </c>
      <c r="L824" s="12">
        <f>-(F824*G824*$U$3)/J824</f>
        <v>-3.7180864248533418</v>
      </c>
      <c r="M824" s="11">
        <f>ABS(L824/$U$6)</f>
        <v>1.0839902113275049E-2</v>
      </c>
      <c r="N824" s="12">
        <f>L824*SIN(RADIANS(K824))</f>
        <v>-3.636837315791229</v>
      </c>
      <c r="O824" s="12">
        <f>L824*COS(RADIANS(K824))</f>
        <v>-0.77303363519781665</v>
      </c>
      <c r="P824" s="5">
        <v>2.0707380980011143</v>
      </c>
      <c r="Q824" s="5">
        <v>0.20992762767951029</v>
      </c>
      <c r="R824" s="6">
        <f>P824/Q824</f>
        <v>9.8640570604763038</v>
      </c>
    </row>
    <row r="825" spans="1:18" x14ac:dyDescent="0.35">
      <c r="A825" s="9">
        <v>825</v>
      </c>
      <c r="B825" s="5">
        <v>0.1</v>
      </c>
      <c r="C825" s="5">
        <v>4000000</v>
      </c>
      <c r="D825" s="5">
        <v>0</v>
      </c>
      <c r="E825" s="5">
        <v>0.25</v>
      </c>
      <c r="F825" s="5">
        <v>7.4999999999999997E-2</v>
      </c>
      <c r="G825" s="12">
        <f>(C825*$U$4)/($U$5*$U$3)</f>
        <v>58.775510204081627</v>
      </c>
      <c r="H825" s="11">
        <f>G825*COS(RADIANS(D825))</f>
        <v>58.775510204081627</v>
      </c>
      <c r="I825" s="11">
        <f>G825*SIN(RADIANS(D825))</f>
        <v>0</v>
      </c>
      <c r="J825" s="11">
        <v>0.1661</v>
      </c>
      <c r="K825" s="12">
        <v>80</v>
      </c>
      <c r="L825" s="12">
        <f>-(F825*G825*$U$3)/J825</f>
        <v>-26.539212915750284</v>
      </c>
      <c r="M825" s="11">
        <f>ABS(L825/$U$6)</f>
        <v>7.7373798588193252E-2</v>
      </c>
      <c r="N825" s="12">
        <f>L825*SIN(RADIANS(K825))</f>
        <v>-26.136022638272607</v>
      </c>
      <c r="O825" s="12">
        <f>L825*COS(RADIANS(K825))</f>
        <v>-4.6084859595346996</v>
      </c>
      <c r="P825" s="5">
        <v>1.5374902407418121</v>
      </c>
      <c r="Q825" s="5">
        <v>0.21775993381785827</v>
      </c>
      <c r="R825" s="6">
        <f>P825/Q825</f>
        <v>7.0604826782681727</v>
      </c>
    </row>
    <row r="826" spans="1:18" x14ac:dyDescent="0.35">
      <c r="A826" s="9">
        <v>55</v>
      </c>
      <c r="B826" s="5">
        <v>0.75</v>
      </c>
      <c r="C826" s="5">
        <v>6000000</v>
      </c>
      <c r="D826" s="5">
        <v>15</v>
      </c>
      <c r="E826" s="5">
        <v>0</v>
      </c>
      <c r="F826" s="5">
        <v>0.15</v>
      </c>
      <c r="G826" s="12">
        <f>(C826*$U$4)/($U$5*$U$3)</f>
        <v>88.16326530612244</v>
      </c>
      <c r="H826" s="11">
        <f>G826*COS(RADIANS(D826))</f>
        <v>85.159174889158663</v>
      </c>
      <c r="I826" s="11">
        <f>G826*SIN(RADIANS(D826))</f>
        <v>22.818332139650806</v>
      </c>
      <c r="J826" s="20">
        <v>0.27929999999999999</v>
      </c>
      <c r="K826" s="12">
        <v>0</v>
      </c>
      <c r="L826" s="12">
        <f>-(F826*G826*$U$3)/J826</f>
        <v>-47.348692430785412</v>
      </c>
      <c r="M826" s="11">
        <f>ABS(L826/$U$6)</f>
        <v>0.13804283507517612</v>
      </c>
      <c r="N826" s="12">
        <f>L826*SIN(RADIANS(K826))</f>
        <v>0</v>
      </c>
      <c r="O826" s="12">
        <f>L826*COS(RADIANS(K826))</f>
        <v>-47.348692430785412</v>
      </c>
      <c r="P826" s="5">
        <v>7.3860240526800558</v>
      </c>
      <c r="Q826" s="5">
        <v>0.98222384548129094</v>
      </c>
      <c r="R826" s="6">
        <f>P826/Q826</f>
        <v>7.5196953185970505</v>
      </c>
    </row>
    <row r="827" spans="1:18" x14ac:dyDescent="0.35">
      <c r="A827" s="9">
        <v>827</v>
      </c>
      <c r="B827" s="5">
        <v>0.5</v>
      </c>
      <c r="C827" s="5">
        <v>4000000</v>
      </c>
      <c r="D827" s="5">
        <v>20</v>
      </c>
      <c r="E827" s="5">
        <v>0</v>
      </c>
      <c r="F827" s="5">
        <v>0.1</v>
      </c>
      <c r="G827" s="12">
        <f>(C827*$U$4)/($U$5*$U$3)</f>
        <v>58.775510204081627</v>
      </c>
      <c r="H827" s="11">
        <f>G827*COS(RADIANS(D827))</f>
        <v>55.230913221702366</v>
      </c>
      <c r="I827" s="11">
        <f>G827*SIN(RADIANS(D827))</f>
        <v>20.102408424039304</v>
      </c>
      <c r="J827" s="12">
        <v>0.23230000000000001</v>
      </c>
      <c r="K827" s="12">
        <v>0</v>
      </c>
      <c r="L827" s="12">
        <f>-(F827*G827*$U$3)/J827</f>
        <v>-25.30155411282033</v>
      </c>
      <c r="M827" s="11">
        <f>ABS(L827/$U$6)</f>
        <v>7.3765463885773555E-2</v>
      </c>
      <c r="N827" s="12">
        <f>L827*SIN(RADIANS(K827))</f>
        <v>0</v>
      </c>
      <c r="O827" s="12">
        <f>L827*COS(RADIANS(K827))</f>
        <v>-25.30155411282033</v>
      </c>
      <c r="P827" s="5">
        <v>4.4206520917865104</v>
      </c>
      <c r="Q827" s="5">
        <v>1.0056835219033682</v>
      </c>
      <c r="R827" s="6">
        <f>P827/Q827</f>
        <v>4.3956692095540486</v>
      </c>
    </row>
    <row r="828" spans="1:18" x14ac:dyDescent="0.35">
      <c r="A828" s="9">
        <v>828</v>
      </c>
      <c r="B828" s="5">
        <v>0.25</v>
      </c>
      <c r="C828" s="5">
        <v>4000000</v>
      </c>
      <c r="D828" s="5">
        <v>20</v>
      </c>
      <c r="E828" s="5">
        <v>0.125</v>
      </c>
      <c r="F828" s="5">
        <v>2.5000000000000001E-2</v>
      </c>
      <c r="G828" s="12">
        <f>(C828*$U$4)/($U$5*$U$3)</f>
        <v>58.775510204081627</v>
      </c>
      <c r="H828" s="11">
        <f>G828*COS(RADIANS(D828))</f>
        <v>55.230913221702366</v>
      </c>
      <c r="I828" s="11">
        <f>G828*SIN(RADIANS(D828))</f>
        <v>20.102408424039304</v>
      </c>
      <c r="J828" s="11">
        <v>0.19020000000000001</v>
      </c>
      <c r="K828" s="12">
        <v>46</v>
      </c>
      <c r="L828" s="12">
        <f>-(F828*G828*$U$3)/J828</f>
        <v>-7.7254876714092564</v>
      </c>
      <c r="M828" s="11">
        <f>ABS(L828/$U$6)</f>
        <v>2.2523287671747102E-2</v>
      </c>
      <c r="N828" s="12">
        <f>L828*SIN(RADIANS(K828))</f>
        <v>-5.5572507590702447</v>
      </c>
      <c r="O828" s="12">
        <f>L828*COS(RADIANS(K828))</f>
        <v>-5.3665746768222276</v>
      </c>
      <c r="P828" s="5">
        <v>2.1351982437270456</v>
      </c>
      <c r="Q828" s="5">
        <v>0.69017022944867989</v>
      </c>
      <c r="R828" s="6">
        <f>P828/Q828</f>
        <v>3.0937269569460848</v>
      </c>
    </row>
    <row r="829" spans="1:18" x14ac:dyDescent="0.35">
      <c r="A829" s="9">
        <v>829</v>
      </c>
      <c r="B829" s="5">
        <v>0.1</v>
      </c>
      <c r="C829" s="5">
        <v>2000000</v>
      </c>
      <c r="D829" s="5">
        <v>0</v>
      </c>
      <c r="E829" s="5">
        <v>0</v>
      </c>
      <c r="F829" s="5">
        <v>0.05</v>
      </c>
      <c r="G829" s="12">
        <f>(C829*$U$4)/($U$5*$U$3)</f>
        <v>29.387755102040813</v>
      </c>
      <c r="H829" s="11">
        <f>G829*COS(RADIANS(D829))</f>
        <v>29.387755102040813</v>
      </c>
      <c r="I829" s="11">
        <f>G829*SIN(RADIANS(D829))</f>
        <v>0</v>
      </c>
      <c r="J829" s="11">
        <v>0.16569999999999999</v>
      </c>
      <c r="K829" s="12">
        <v>0</v>
      </c>
      <c r="L829" s="12">
        <f>-(F829*G829*$U$3)/J829</f>
        <v>-8.8677595359205839</v>
      </c>
      <c r="M829" s="11">
        <f>ABS(L829/$U$6)</f>
        <v>2.5853526343791788E-2</v>
      </c>
      <c r="N829" s="12">
        <f>L829*SIN(RADIANS(K829))</f>
        <v>0</v>
      </c>
      <c r="O829" s="12">
        <f>L829*COS(RADIANS(K829))</f>
        <v>-8.8677595359205839</v>
      </c>
      <c r="P829" s="5">
        <v>1.2169694553732768</v>
      </c>
      <c r="Q829" s="5">
        <v>0.21323751345897057</v>
      </c>
      <c r="R829" s="6">
        <f>P829/Q829</f>
        <v>5.7071077017948637</v>
      </c>
    </row>
    <row r="830" spans="1:18" x14ac:dyDescent="0.35">
      <c r="A830" s="9">
        <v>551</v>
      </c>
      <c r="B830" s="5">
        <v>0.75</v>
      </c>
      <c r="C830" s="5">
        <v>6000000</v>
      </c>
      <c r="D830" s="5">
        <v>20</v>
      </c>
      <c r="E830" s="5">
        <v>0</v>
      </c>
      <c r="F830" s="5">
        <v>0.15</v>
      </c>
      <c r="G830" s="12">
        <f>(C830*$U$4)/($U$5*$U$3)</f>
        <v>88.16326530612244</v>
      </c>
      <c r="H830" s="11">
        <f>G830*COS(RADIANS(D830))</f>
        <v>82.846369832553549</v>
      </c>
      <c r="I830" s="11">
        <f>G830*SIN(RADIANS(D830))</f>
        <v>30.153612636058952</v>
      </c>
      <c r="J830" s="20">
        <v>0.27929999999999999</v>
      </c>
      <c r="K830" s="12">
        <v>0</v>
      </c>
      <c r="L830" s="12">
        <f>-(F830*G830*$U$3)/J830</f>
        <v>-47.348692430785412</v>
      </c>
      <c r="M830" s="11">
        <f>ABS(L830/$U$6)</f>
        <v>0.13804283507517612</v>
      </c>
      <c r="N830" s="12">
        <f>L830*SIN(RADIANS(K830))</f>
        <v>0</v>
      </c>
      <c r="O830" s="12">
        <f>L830*COS(RADIANS(K830))</f>
        <v>-47.348692430785412</v>
      </c>
      <c r="P830" s="5">
        <v>7.5981160057701702</v>
      </c>
      <c r="Q830" s="5">
        <v>1.4353911195125759</v>
      </c>
      <c r="R830" s="6">
        <f>P830/Q830</f>
        <v>5.2934116022330597</v>
      </c>
    </row>
    <row r="831" spans="1:18" x14ac:dyDescent="0.35">
      <c r="A831" s="9">
        <v>831</v>
      </c>
      <c r="B831" s="5">
        <v>0.1</v>
      </c>
      <c r="C831" s="5">
        <v>4000000</v>
      </c>
      <c r="D831" s="5">
        <v>15</v>
      </c>
      <c r="E831" s="5">
        <v>0.25</v>
      </c>
      <c r="F831" s="5">
        <v>7.4999999999999997E-2</v>
      </c>
      <c r="G831" s="12">
        <f>(C831*$U$4)/($U$5*$U$3)</f>
        <v>58.775510204081627</v>
      </c>
      <c r="H831" s="11">
        <f>G831*COS(RADIANS(D831))</f>
        <v>56.772783259439109</v>
      </c>
      <c r="I831" s="11">
        <f>G831*SIN(RADIANS(D831))</f>
        <v>15.212221426433871</v>
      </c>
      <c r="J831" s="11">
        <v>0.1661</v>
      </c>
      <c r="K831" s="12">
        <v>80</v>
      </c>
      <c r="L831" s="12">
        <f>-(F831*G831*$U$3)/J831</f>
        <v>-26.539212915750284</v>
      </c>
      <c r="M831" s="11">
        <f>ABS(L831/$U$6)</f>
        <v>7.7373798588193252E-2</v>
      </c>
      <c r="N831" s="12">
        <f>L831*SIN(RADIANS(K831))</f>
        <v>-26.136022638272607</v>
      </c>
      <c r="O831" s="12">
        <f>L831*COS(RADIANS(K831))</f>
        <v>-4.6084859595346996</v>
      </c>
      <c r="P831" s="5">
        <v>1.7785930770135312</v>
      </c>
      <c r="Q831" s="5">
        <v>0.65649786698995349</v>
      </c>
      <c r="R831" s="6">
        <f>P831/Q831</f>
        <v>2.7092137940499192</v>
      </c>
    </row>
    <row r="832" spans="1:18" x14ac:dyDescent="0.35">
      <c r="A832" s="9">
        <v>832</v>
      </c>
      <c r="B832" s="5">
        <v>0.75</v>
      </c>
      <c r="C832" s="5">
        <v>2000000</v>
      </c>
      <c r="D832" s="5">
        <v>30</v>
      </c>
      <c r="E832" s="5">
        <v>0.25</v>
      </c>
      <c r="F832" s="5">
        <v>0</v>
      </c>
      <c r="G832" s="12">
        <f>(C832*$U$4)/($U$5*$U$3)</f>
        <v>29.387755102040813</v>
      </c>
      <c r="H832" s="11">
        <f>G832*COS(RADIANS(D832))</f>
        <v>25.450542478563094</v>
      </c>
      <c r="I832" s="11">
        <f>G832*SIN(RADIANS(D832))</f>
        <v>14.693877551020405</v>
      </c>
      <c r="J832" s="12">
        <v>0.28370000000000001</v>
      </c>
      <c r="K832" s="11">
        <v>38</v>
      </c>
      <c r="L832" s="12">
        <f>-(F832*G832*$U$3)/J832</f>
        <v>0</v>
      </c>
      <c r="M832" s="11">
        <f>ABS(L832/$U$6)</f>
        <v>0</v>
      </c>
      <c r="N832" s="12">
        <f>L832*SIN(RADIANS(K832))</f>
        <v>0</v>
      </c>
      <c r="O832" s="12">
        <f>L832*COS(RADIANS(K832))</f>
        <v>0</v>
      </c>
      <c r="P832" s="5">
        <v>4.9661688498349781</v>
      </c>
      <c r="Q832" s="5">
        <v>2.4854600434486684</v>
      </c>
      <c r="R832" s="6">
        <f>P832/Q832</f>
        <v>1.9980883872686337</v>
      </c>
    </row>
    <row r="833" spans="1:18" x14ac:dyDescent="0.35">
      <c r="A833" s="9">
        <v>833</v>
      </c>
      <c r="B833" s="5">
        <v>0.1</v>
      </c>
      <c r="C833" s="5">
        <v>2000000</v>
      </c>
      <c r="D833" s="5">
        <v>5</v>
      </c>
      <c r="E833" s="5">
        <v>0.25</v>
      </c>
      <c r="F833" s="5">
        <v>0.1</v>
      </c>
      <c r="G833" s="12">
        <f>(C833*$U$4)/($U$5*$U$3)</f>
        <v>29.387755102040813</v>
      </c>
      <c r="H833" s="11">
        <f>G833*COS(RADIANS(D833))</f>
        <v>29.275925821471702</v>
      </c>
      <c r="I833" s="11">
        <f>G833*SIN(RADIANS(D833))</f>
        <v>2.5613116236046478</v>
      </c>
      <c r="J833" s="11">
        <v>0.1661</v>
      </c>
      <c r="K833" s="12">
        <v>80</v>
      </c>
      <c r="L833" s="12">
        <f>-(F833*G833*$U$3)/J833</f>
        <v>-17.69280861050019</v>
      </c>
      <c r="M833" s="11">
        <f>ABS(L833/$U$6)</f>
        <v>5.1582532392128837E-2</v>
      </c>
      <c r="N833" s="12">
        <f>L833*SIN(RADIANS(K833))</f>
        <v>-17.42401509218174</v>
      </c>
      <c r="O833" s="12">
        <f>L833*COS(RADIANS(K833))</f>
        <v>-3.0723239730231331</v>
      </c>
      <c r="P833" s="5">
        <v>1.7468255839964928</v>
      </c>
      <c r="Q833" s="5">
        <v>0.34155793553711339</v>
      </c>
      <c r="R833" s="6">
        <f>P833/Q833</f>
        <v>5.114287803764654</v>
      </c>
    </row>
    <row r="834" spans="1:18" x14ac:dyDescent="0.35">
      <c r="A834" s="9">
        <v>834</v>
      </c>
      <c r="B834" s="5">
        <v>0.75</v>
      </c>
      <c r="C834" s="5">
        <v>4000000</v>
      </c>
      <c r="D834" s="5">
        <v>15</v>
      </c>
      <c r="E834" s="5">
        <v>0.25</v>
      </c>
      <c r="F834" s="5">
        <v>0</v>
      </c>
      <c r="G834" s="12">
        <f>(C834*$U$4)/($U$5*$U$3)</f>
        <v>58.775510204081627</v>
      </c>
      <c r="H834" s="11">
        <f>G834*COS(RADIANS(D834))</f>
        <v>56.772783259439109</v>
      </c>
      <c r="I834" s="11">
        <f>G834*SIN(RADIANS(D834))</f>
        <v>15.212221426433871</v>
      </c>
      <c r="J834" s="12">
        <v>0.28370000000000001</v>
      </c>
      <c r="K834" s="11">
        <v>38</v>
      </c>
      <c r="L834" s="12">
        <f>-(F834*G834*$U$3)/J834</f>
        <v>0</v>
      </c>
      <c r="M834" s="11">
        <f>ABS(L834/$U$6)</f>
        <v>0</v>
      </c>
      <c r="N834" s="12">
        <f>L834*SIN(RADIANS(K834))</f>
        <v>0</v>
      </c>
      <c r="O834" s="12">
        <f>L834*COS(RADIANS(K834))</f>
        <v>0</v>
      </c>
      <c r="P834" s="5">
        <v>5.794582491192612</v>
      </c>
      <c r="Q834" s="5">
        <v>1.6474070721430234</v>
      </c>
      <c r="R834" s="6">
        <f>P834/Q834</f>
        <v>3.5173956632678229</v>
      </c>
    </row>
    <row r="835" spans="1:18" x14ac:dyDescent="0.35">
      <c r="A835" s="9">
        <v>617</v>
      </c>
      <c r="B835" s="5">
        <v>0.75</v>
      </c>
      <c r="C835" s="5">
        <v>6000000</v>
      </c>
      <c r="D835" s="5">
        <v>10</v>
      </c>
      <c r="E835" s="5">
        <v>0</v>
      </c>
      <c r="F835" s="5">
        <v>0.15</v>
      </c>
      <c r="G835" s="12">
        <f>(C835*$U$4)/($U$5*$U$3)</f>
        <v>88.16326530612244</v>
      </c>
      <c r="H835" s="11">
        <f>G835*COS(RADIANS(D835))</f>
        <v>86.823867204341596</v>
      </c>
      <c r="I835" s="11">
        <f>G835*SIN(RADIANS(D835))</f>
        <v>15.309390357574264</v>
      </c>
      <c r="J835" s="20">
        <v>0.27929999999999999</v>
      </c>
      <c r="K835" s="12">
        <v>0</v>
      </c>
      <c r="L835" s="12">
        <f>-(F835*G835*$U$3)/J835</f>
        <v>-47.348692430785412</v>
      </c>
      <c r="M835" s="11">
        <f>ABS(L835/$U$6)</f>
        <v>0.13804283507517612</v>
      </c>
      <c r="N835" s="12">
        <f>L835*SIN(RADIANS(K835))</f>
        <v>0</v>
      </c>
      <c r="O835" s="12">
        <f>L835*COS(RADIANS(K835))</f>
        <v>-47.348692430785412</v>
      </c>
      <c r="P835" s="5">
        <v>7.4237635249579617</v>
      </c>
      <c r="Q835" s="5">
        <v>0.63443603232131685</v>
      </c>
      <c r="R835" s="6">
        <f>P835/Q835</f>
        <v>11.701358603160354</v>
      </c>
    </row>
    <row r="836" spans="1:18" x14ac:dyDescent="0.35">
      <c r="A836" s="9">
        <v>836</v>
      </c>
      <c r="B836" s="5">
        <v>0.75</v>
      </c>
      <c r="C836" s="5">
        <v>2000000</v>
      </c>
      <c r="D836" s="5">
        <v>20</v>
      </c>
      <c r="E836" s="5">
        <v>0.375</v>
      </c>
      <c r="F836" s="5">
        <v>0.1</v>
      </c>
      <c r="G836" s="12">
        <f>(C836*$U$4)/($U$5*$U$3)</f>
        <v>29.387755102040813</v>
      </c>
      <c r="H836" s="11">
        <f>G836*COS(RADIANS(D836))</f>
        <v>27.615456610851183</v>
      </c>
      <c r="I836" s="11">
        <f>G836*SIN(RADIANS(D836))</f>
        <v>10.051204212019652</v>
      </c>
      <c r="J836" s="11">
        <v>0.29299999999999998</v>
      </c>
      <c r="K836" s="12">
        <v>57</v>
      </c>
      <c r="L836" s="12">
        <f>-(F836*G836*$U$3)/J836</f>
        <v>-10.029950546771609</v>
      </c>
      <c r="M836" s="11">
        <f>ABS(L836/$U$6)</f>
        <v>2.92418383287802E-2</v>
      </c>
      <c r="N836" s="12">
        <f>L836*SIN(RADIANS(K836))</f>
        <v>-8.4118243215254616</v>
      </c>
      <c r="O836" s="12">
        <f>L836*COS(RADIANS(K836))</f>
        <v>-5.4627025870421324</v>
      </c>
      <c r="P836" s="5">
        <v>5.5577652446100023</v>
      </c>
      <c r="Q836" s="5">
        <v>0.66468700262266756</v>
      </c>
      <c r="R836" s="6">
        <f>P836/Q836</f>
        <v>8.3614772406871616</v>
      </c>
    </row>
    <row r="837" spans="1:18" x14ac:dyDescent="0.35">
      <c r="A837" s="9">
        <v>837</v>
      </c>
      <c r="B837" s="5">
        <v>1</v>
      </c>
      <c r="C837" s="5">
        <v>4000000</v>
      </c>
      <c r="D837" s="5">
        <v>20</v>
      </c>
      <c r="E837" s="5">
        <v>0.375</v>
      </c>
      <c r="F837" s="5">
        <v>1.4999999999999999E-2</v>
      </c>
      <c r="G837" s="12">
        <f>(C837*$U$4)/($U$5*$U$3)</f>
        <v>58.775510204081627</v>
      </c>
      <c r="H837" s="11">
        <f>G837*COS(RADIANS(D837))</f>
        <v>55.230913221702366</v>
      </c>
      <c r="I837" s="11">
        <f>G837*SIN(RADIANS(D837))</f>
        <v>20.102408424039304</v>
      </c>
      <c r="J837" s="12">
        <v>0.33379999999999999</v>
      </c>
      <c r="K837" s="11">
        <v>49</v>
      </c>
      <c r="L837" s="12">
        <f>-(F837*G837*$U$3)/J837</f>
        <v>-2.6412002787933626</v>
      </c>
      <c r="M837" s="11">
        <f>ABS(L837/$U$6)</f>
        <v>7.7002923579981416E-3</v>
      </c>
      <c r="N837" s="12">
        <f>L837*SIN(RADIANS(K837))</f>
        <v>-1.9933391536924072</v>
      </c>
      <c r="O837" s="12">
        <f>L837*COS(RADIANS(K837))</f>
        <v>-1.7327832902746305</v>
      </c>
      <c r="P837" s="5">
        <v>5.2342505933591106</v>
      </c>
      <c r="Q837" s="5">
        <v>0.74522931341102727</v>
      </c>
      <c r="R837" s="6">
        <f>P837/Q837</f>
        <v>7.0236778118686098</v>
      </c>
    </row>
    <row r="838" spans="1:18" x14ac:dyDescent="0.35">
      <c r="A838" s="9">
        <v>838</v>
      </c>
      <c r="B838" s="5">
        <v>0.1</v>
      </c>
      <c r="C838" s="5">
        <v>6000000</v>
      </c>
      <c r="D838" s="5">
        <v>10</v>
      </c>
      <c r="E838" s="5">
        <v>0</v>
      </c>
      <c r="F838" s="5">
        <v>0.05</v>
      </c>
      <c r="G838" s="12">
        <f>(C838*$U$4)/($U$5*$U$3)</f>
        <v>88.16326530612244</v>
      </c>
      <c r="H838" s="11">
        <f>G838*COS(RADIANS(D838))</f>
        <v>86.823867204341596</v>
      </c>
      <c r="I838" s="11">
        <f>G838*SIN(RADIANS(D838))</f>
        <v>15.309390357574264</v>
      </c>
      <c r="J838" s="11">
        <v>0.16569999999999999</v>
      </c>
      <c r="K838" s="12">
        <v>0</v>
      </c>
      <c r="L838" s="12">
        <f>-(F838*G838*$U$3)/J838</f>
        <v>-26.603278607761752</v>
      </c>
      <c r="M838" s="11">
        <f>ABS(L838/$U$6)</f>
        <v>7.7560579031375365E-2</v>
      </c>
      <c r="N838" s="12">
        <f>L838*SIN(RADIANS(K838))</f>
        <v>0</v>
      </c>
      <c r="O838" s="12">
        <f>L838*COS(RADIANS(K838))</f>
        <v>-26.603278607761752</v>
      </c>
      <c r="P838" s="5">
        <v>1.433717195744294</v>
      </c>
      <c r="Q838" s="5">
        <v>0.42063546207368735</v>
      </c>
      <c r="R838" s="6">
        <f>P838/Q838</f>
        <v>3.4084553610297696</v>
      </c>
    </row>
    <row r="839" spans="1:18" x14ac:dyDescent="0.35">
      <c r="A839" s="9">
        <v>839</v>
      </c>
      <c r="B839" s="5">
        <v>0.75</v>
      </c>
      <c r="C839" s="5">
        <v>6000000</v>
      </c>
      <c r="D839" s="5">
        <v>30</v>
      </c>
      <c r="E839" s="5">
        <v>0.125</v>
      </c>
      <c r="F839" s="5">
        <v>0.1</v>
      </c>
      <c r="G839" s="12">
        <f>(C839*$U$4)/($U$5*$U$3)</f>
        <v>88.16326530612244</v>
      </c>
      <c r="H839" s="11">
        <f>G839*COS(RADIANS(D839))</f>
        <v>76.351627435689281</v>
      </c>
      <c r="I839" s="11">
        <f>G839*SIN(RADIANS(D839))</f>
        <v>44.081632653061213</v>
      </c>
      <c r="J839" s="12">
        <v>0.2802</v>
      </c>
      <c r="K839" s="12">
        <v>19</v>
      </c>
      <c r="L839" s="12">
        <f>-(F839*G839*$U$3)/J839</f>
        <v>-31.464405890835987</v>
      </c>
      <c r="M839" s="11">
        <f>ABS(L839/$U$6)</f>
        <v>9.1732961780862932E-2</v>
      </c>
      <c r="N839" s="12">
        <f>L839*SIN(RADIANS(K839))</f>
        <v>-10.243808556970363</v>
      </c>
      <c r="O839" s="12">
        <f>L839*COS(RADIANS(K839))</f>
        <v>-29.750180239981997</v>
      </c>
      <c r="P839" s="5">
        <v>3.010858871265643</v>
      </c>
      <c r="Q839" s="5">
        <v>1.1745042799716063</v>
      </c>
      <c r="R839" s="6">
        <f>P839/Q839</f>
        <v>2.563514601529107</v>
      </c>
    </row>
    <row r="840" spans="1:18" x14ac:dyDescent="0.35">
      <c r="A840" s="9">
        <v>840</v>
      </c>
      <c r="B840" s="5">
        <v>0.5</v>
      </c>
      <c r="C840" s="5">
        <v>4000000</v>
      </c>
      <c r="D840" s="5">
        <v>30</v>
      </c>
      <c r="E840" s="5">
        <v>0.25</v>
      </c>
      <c r="F840" s="5">
        <v>0.1</v>
      </c>
      <c r="G840" s="12">
        <f>(C840*$U$4)/($U$5*$U$3)</f>
        <v>58.775510204081627</v>
      </c>
      <c r="H840" s="11">
        <f>G840*COS(RADIANS(D840))</f>
        <v>50.901084957126187</v>
      </c>
      <c r="I840" s="11">
        <f>G840*SIN(RADIANS(D840))</f>
        <v>29.38775510204081</v>
      </c>
      <c r="J840" s="11">
        <v>0.23580000000000001</v>
      </c>
      <c r="K840" s="11">
        <v>49</v>
      </c>
      <c r="L840" s="12">
        <f>-(F840*G840*$U$3)/J840</f>
        <v>-24.926000934725032</v>
      </c>
      <c r="M840" s="11">
        <f>ABS(L840/$U$6)</f>
        <v>7.2670556661005928E-2</v>
      </c>
      <c r="N840" s="12">
        <f>L840*SIN(RADIANS(K840))</f>
        <v>-18.81189170207875</v>
      </c>
      <c r="O840" s="12">
        <f>L840*COS(RADIANS(K840))</f>
        <v>-16.352927969852182</v>
      </c>
      <c r="P840" s="5">
        <v>5.1673673451888771</v>
      </c>
      <c r="Q840" s="5">
        <v>1.4407954799636511</v>
      </c>
      <c r="R840" s="6">
        <f>P840/Q840</f>
        <v>3.5864683204858756</v>
      </c>
    </row>
    <row r="841" spans="1:18" x14ac:dyDescent="0.35">
      <c r="A841" s="9">
        <v>841</v>
      </c>
      <c r="B841" s="5">
        <v>0.75</v>
      </c>
      <c r="C841" s="5">
        <v>2000000</v>
      </c>
      <c r="D841" s="5">
        <v>15</v>
      </c>
      <c r="E841" s="5">
        <v>0</v>
      </c>
      <c r="F841" s="5">
        <v>0</v>
      </c>
      <c r="G841" s="12">
        <f>(C841*$U$4)/($U$5*$U$3)</f>
        <v>29.387755102040813</v>
      </c>
      <c r="H841" s="11">
        <f>G841*COS(RADIANS(D841))</f>
        <v>28.386391629719554</v>
      </c>
      <c r="I841" s="11">
        <f>G841*SIN(RADIANS(D841))</f>
        <v>7.6061107132169354</v>
      </c>
      <c r="J841" s="11">
        <v>0.27929999999999999</v>
      </c>
      <c r="K841" s="12">
        <v>0</v>
      </c>
      <c r="L841" s="12">
        <f>-(F841*G841*$U$3)/J841</f>
        <v>0</v>
      </c>
      <c r="M841" s="11">
        <f>ABS(L841/$U$6)</f>
        <v>0</v>
      </c>
      <c r="N841" s="12">
        <f>L841*SIN(RADIANS(K841))</f>
        <v>0</v>
      </c>
      <c r="O841" s="12">
        <f>L841*COS(RADIANS(K841))</f>
        <v>0</v>
      </c>
      <c r="P841" s="5">
        <v>3.732450066916464</v>
      </c>
      <c r="Q841" s="5">
        <v>1.6544783236136487</v>
      </c>
      <c r="R841" s="6">
        <f>P841/Q841</f>
        <v>2.2559679469019507</v>
      </c>
    </row>
    <row r="842" spans="1:18" x14ac:dyDescent="0.35">
      <c r="A842" s="9">
        <v>842</v>
      </c>
      <c r="B842" s="5">
        <v>0.5</v>
      </c>
      <c r="C842" s="5">
        <v>2000000</v>
      </c>
      <c r="D842" s="5">
        <v>20</v>
      </c>
      <c r="E842" s="5">
        <v>0.125</v>
      </c>
      <c r="F842" s="5">
        <v>0.05</v>
      </c>
      <c r="G842" s="12">
        <f>(C842*$U$4)/($U$5*$U$3)</f>
        <v>29.387755102040813</v>
      </c>
      <c r="H842" s="11">
        <f>G842*COS(RADIANS(D842))</f>
        <v>27.615456610851183</v>
      </c>
      <c r="I842" s="11">
        <f>G842*SIN(RADIANS(D842))</f>
        <v>10.051204212019652</v>
      </c>
      <c r="J842" s="12">
        <v>0.23300000000000001</v>
      </c>
      <c r="K842" s="11">
        <v>27</v>
      </c>
      <c r="L842" s="12">
        <f>-(F842*G842*$U$3)/J842</f>
        <v>-6.3063852150302173</v>
      </c>
      <c r="M842" s="11">
        <f>ABS(L842/$U$6)</f>
        <v>1.8385962726035619E-2</v>
      </c>
      <c r="N842" s="12">
        <f>L842*SIN(RADIANS(K842))</f>
        <v>-2.8630389753216572</v>
      </c>
      <c r="O842" s="12">
        <f>L842*COS(RADIANS(K842))</f>
        <v>-5.6190303706369873</v>
      </c>
      <c r="P842" s="5">
        <v>4.9841620953798236</v>
      </c>
      <c r="Q842" s="5">
        <v>1.1292272396466176</v>
      </c>
      <c r="R842" s="6">
        <f>P842/Q842</f>
        <v>4.4137813191077253</v>
      </c>
    </row>
    <row r="843" spans="1:18" x14ac:dyDescent="0.35">
      <c r="A843" s="9">
        <v>843</v>
      </c>
      <c r="B843" s="5">
        <v>0.5</v>
      </c>
      <c r="C843" s="5">
        <v>2000000</v>
      </c>
      <c r="D843" s="5">
        <v>30</v>
      </c>
      <c r="E843" s="5">
        <v>0</v>
      </c>
      <c r="F843" s="5">
        <v>0.15</v>
      </c>
      <c r="G843" s="12">
        <f>(C843*$U$4)/($U$5*$U$3)</f>
        <v>29.387755102040813</v>
      </c>
      <c r="H843" s="11">
        <f>G843*COS(RADIANS(D843))</f>
        <v>25.450542478563094</v>
      </c>
      <c r="I843" s="11">
        <f>G843*SIN(RADIANS(D843))</f>
        <v>14.693877551020405</v>
      </c>
      <c r="J843" s="12">
        <v>0.23230000000000001</v>
      </c>
      <c r="K843" s="12">
        <v>0</v>
      </c>
      <c r="L843" s="12">
        <f>-(F843*G843*$U$3)/J843</f>
        <v>-18.976165584615249</v>
      </c>
      <c r="M843" s="11">
        <f>ABS(L843/$U$6)</f>
        <v>5.532409791433017E-2</v>
      </c>
      <c r="N843" s="12">
        <f>L843*SIN(RADIANS(K843))</f>
        <v>0</v>
      </c>
      <c r="O843" s="12">
        <f>L843*COS(RADIANS(K843))</f>
        <v>-18.976165584615249</v>
      </c>
      <c r="P843" s="5">
        <v>4.7371828341581796</v>
      </c>
      <c r="Q843" s="5">
        <v>1.3613247851558956</v>
      </c>
      <c r="R843" s="6">
        <f>P843/Q843</f>
        <v>3.4798329434776942</v>
      </c>
    </row>
    <row r="844" spans="1:18" x14ac:dyDescent="0.35">
      <c r="A844" s="9">
        <v>1206</v>
      </c>
      <c r="B844" s="5">
        <v>0.75</v>
      </c>
      <c r="C844" s="5">
        <v>6000000</v>
      </c>
      <c r="D844" s="5">
        <v>5</v>
      </c>
      <c r="E844" s="5">
        <v>0</v>
      </c>
      <c r="F844" s="5">
        <v>0.15</v>
      </c>
      <c r="G844" s="12">
        <f>(C844*$U$4)/($U$5*$U$3)</f>
        <v>88.16326530612244</v>
      </c>
      <c r="H844" s="11">
        <f>G844*COS(RADIANS(D844))</f>
        <v>87.827777464415107</v>
      </c>
      <c r="I844" s="11">
        <f>G844*SIN(RADIANS(D844))</f>
        <v>7.6839348708139434</v>
      </c>
      <c r="J844" s="11">
        <v>0.27929999999999999</v>
      </c>
      <c r="K844" s="12">
        <v>0</v>
      </c>
      <c r="L844" s="12">
        <f>-(F844*G844*$U$3)/J844</f>
        <v>-47.348692430785412</v>
      </c>
      <c r="M844" s="11">
        <f>ABS(L844/$U$6)</f>
        <v>0.13804283507517612</v>
      </c>
      <c r="N844" s="12">
        <f>L844*SIN(RADIANS(K844))</f>
        <v>0</v>
      </c>
      <c r="O844" s="12">
        <f>L844*COS(RADIANS(K844))</f>
        <v>-47.348692430785412</v>
      </c>
      <c r="P844" s="5">
        <v>7.5555017713012713</v>
      </c>
      <c r="Q844" s="5">
        <v>0.22696019883373794</v>
      </c>
      <c r="R844" s="6">
        <f>P844/Q844</f>
        <v>33.289985689676513</v>
      </c>
    </row>
    <row r="845" spans="1:18" x14ac:dyDescent="0.35">
      <c r="A845" s="9">
        <v>845</v>
      </c>
      <c r="B845" s="5">
        <v>0.1</v>
      </c>
      <c r="C845" s="5">
        <v>4000000</v>
      </c>
      <c r="D845" s="5">
        <v>30</v>
      </c>
      <c r="E845" s="5">
        <v>0</v>
      </c>
      <c r="F845" s="5">
        <v>0.05</v>
      </c>
      <c r="G845" s="12">
        <f>(C845*$U$4)/($U$5*$U$3)</f>
        <v>58.775510204081627</v>
      </c>
      <c r="H845" s="11">
        <f>G845*COS(RADIANS(D845))</f>
        <v>50.901084957126187</v>
      </c>
      <c r="I845" s="11">
        <f>G845*SIN(RADIANS(D845))</f>
        <v>29.38775510204081</v>
      </c>
      <c r="J845" s="11">
        <v>0.16569999999999999</v>
      </c>
      <c r="K845" s="12">
        <v>0</v>
      </c>
      <c r="L845" s="12">
        <f>-(F845*G845*$U$3)/J845</f>
        <v>-17.735519071841168</v>
      </c>
      <c r="M845" s="11">
        <f>ABS(L845/$U$6)</f>
        <v>5.1707052687583577E-2</v>
      </c>
      <c r="N845" s="12">
        <f>L845*SIN(RADIANS(K845))</f>
        <v>0</v>
      </c>
      <c r="O845" s="12">
        <f>L845*COS(RADIANS(K845))</f>
        <v>-17.735519071841168</v>
      </c>
      <c r="P845" s="5">
        <v>1.384069800677044</v>
      </c>
      <c r="Q845" s="5">
        <v>0.89896581024866229</v>
      </c>
      <c r="R845" s="6">
        <f>P845/Q845</f>
        <v>1.5396245161917754</v>
      </c>
    </row>
    <row r="846" spans="1:18" x14ac:dyDescent="0.35">
      <c r="A846" s="9">
        <v>846</v>
      </c>
      <c r="B846" s="5">
        <v>0.75</v>
      </c>
      <c r="C846" s="5">
        <v>6000000</v>
      </c>
      <c r="D846" s="5">
        <v>10</v>
      </c>
      <c r="E846" s="5">
        <v>0.25</v>
      </c>
      <c r="F846" s="5">
        <v>1.4999999999999999E-2</v>
      </c>
      <c r="G846" s="12">
        <f>(C846*$U$4)/($U$5*$U$3)</f>
        <v>88.16326530612244</v>
      </c>
      <c r="H846" s="11">
        <f>G846*COS(RADIANS(D846))</f>
        <v>86.823867204341596</v>
      </c>
      <c r="I846" s="11">
        <f>G846*SIN(RADIANS(D846))</f>
        <v>15.309390357574264</v>
      </c>
      <c r="J846" s="12">
        <v>0.28370000000000001</v>
      </c>
      <c r="K846" s="11">
        <v>38</v>
      </c>
      <c r="L846" s="12">
        <f>-(F846*G846*$U$3)/J846</f>
        <v>-4.6614345420931853</v>
      </c>
      <c r="M846" s="11">
        <f>ABS(L846/$U$6)</f>
        <v>1.3590188169367887E-2</v>
      </c>
      <c r="N846" s="12">
        <f>L846*SIN(RADIANS(K846))</f>
        <v>-2.869865667319075</v>
      </c>
      <c r="O846" s="12">
        <f>L846*COS(RADIANS(K846))</f>
        <v>-3.6732605464032555</v>
      </c>
      <c r="P846" s="5">
        <v>4.677997271223421</v>
      </c>
      <c r="Q846" s="5">
        <v>0.31879306256922024</v>
      </c>
      <c r="R846" s="6">
        <f>P846/Q846</f>
        <v>14.674087426879552</v>
      </c>
    </row>
    <row r="847" spans="1:18" x14ac:dyDescent="0.35">
      <c r="A847" s="9">
        <v>847</v>
      </c>
      <c r="B847" s="5">
        <v>0.25</v>
      </c>
      <c r="C847" s="5">
        <v>4000000</v>
      </c>
      <c r="D847" s="5">
        <v>10</v>
      </c>
      <c r="E847" s="5">
        <v>0.125</v>
      </c>
      <c r="F847" s="5">
        <v>1.4999999999999999E-2</v>
      </c>
      <c r="G847" s="12">
        <f>(C847*$U$4)/($U$5*$U$3)</f>
        <v>58.775510204081627</v>
      </c>
      <c r="H847" s="11">
        <f>G847*COS(RADIANS(D847))</f>
        <v>57.882578136227728</v>
      </c>
      <c r="I847" s="11">
        <f>G847*SIN(RADIANS(D847))</f>
        <v>10.206260238382843</v>
      </c>
      <c r="J847" s="11">
        <v>0.19020000000000001</v>
      </c>
      <c r="K847" s="12">
        <v>46</v>
      </c>
      <c r="L847" s="12">
        <f>-(F847*G847*$U$3)/J847</f>
        <v>-4.6352926028455537</v>
      </c>
      <c r="M847" s="11">
        <f>ABS(L847/$U$6)</f>
        <v>1.3513972603048261E-2</v>
      </c>
      <c r="N847" s="12">
        <f>L847*SIN(RADIANS(K847))</f>
        <v>-3.3343504554421468</v>
      </c>
      <c r="O847" s="12">
        <f>L847*COS(RADIANS(K847))</f>
        <v>-3.2199448060933364</v>
      </c>
      <c r="P847" s="5">
        <v>2.1252073774942719</v>
      </c>
      <c r="Q847" s="5">
        <v>0.46756467863706819</v>
      </c>
      <c r="R847" s="6">
        <f>P847/Q847</f>
        <v>4.5452692955532141</v>
      </c>
    </row>
    <row r="848" spans="1:18" x14ac:dyDescent="0.35">
      <c r="A848" s="9">
        <v>848</v>
      </c>
      <c r="B848" s="5">
        <v>0.25</v>
      </c>
      <c r="C848" s="5">
        <v>6000000</v>
      </c>
      <c r="D848" s="5">
        <v>20</v>
      </c>
      <c r="E848" s="5">
        <v>0.375</v>
      </c>
      <c r="F848" s="5">
        <v>1.4999999999999999E-2</v>
      </c>
      <c r="G848" s="12">
        <f>(C848*$U$4)/($U$5*$U$3)</f>
        <v>88.16326530612244</v>
      </c>
      <c r="H848" s="11">
        <f>G848*COS(RADIANS(D848))</f>
        <v>82.846369832553549</v>
      </c>
      <c r="I848" s="11">
        <f>G848*SIN(RADIANS(D848))</f>
        <v>30.153612636058952</v>
      </c>
      <c r="J848" s="11">
        <v>0.1976</v>
      </c>
      <c r="K848" s="12">
        <v>78</v>
      </c>
      <c r="L848" s="12">
        <f>-(F848*G848*$U$3)/J848</f>
        <v>-6.6925555647360149</v>
      </c>
      <c r="M848" s="11">
        <f>ABS(L848/$U$6)</f>
        <v>1.9511823803895087E-2</v>
      </c>
      <c r="N848" s="12">
        <f>L848*SIN(RADIANS(K848))</f>
        <v>-6.546307168424212</v>
      </c>
      <c r="O848" s="12">
        <f>L848*COS(RADIANS(K848))</f>
        <v>-1.3914605433560698</v>
      </c>
      <c r="P848" s="5">
        <v>2.3935915302397746</v>
      </c>
      <c r="Q848" s="5">
        <v>0.75932599500094811</v>
      </c>
      <c r="R848" s="6">
        <f>P848/Q848</f>
        <v>3.1522581157474874</v>
      </c>
    </row>
    <row r="849" spans="1:18" x14ac:dyDescent="0.35">
      <c r="A849" s="9">
        <v>849</v>
      </c>
      <c r="B849" s="5">
        <v>0.25</v>
      </c>
      <c r="C849" s="5">
        <v>2000000</v>
      </c>
      <c r="D849" s="5">
        <v>15</v>
      </c>
      <c r="E849" s="5">
        <v>0.25</v>
      </c>
      <c r="F849" s="5">
        <v>2.5000000000000001E-2</v>
      </c>
      <c r="G849" s="12">
        <f>(C849*$U$4)/($U$5*$U$3)</f>
        <v>29.387755102040813</v>
      </c>
      <c r="H849" s="11">
        <f>G849*COS(RADIANS(D849))</f>
        <v>28.386391629719554</v>
      </c>
      <c r="I849" s="11">
        <f>G849*SIN(RADIANS(D849))</f>
        <v>7.6061107132169354</v>
      </c>
      <c r="J849" s="12">
        <v>0.1913</v>
      </c>
      <c r="K849" s="11">
        <v>67</v>
      </c>
      <c r="L849" s="12">
        <f>-(F849*G849*$U$3)/J849</f>
        <v>-3.8405325538474666</v>
      </c>
      <c r="M849" s="11">
        <f>ABS(L849/$U$6)</f>
        <v>1.119688791209174E-2</v>
      </c>
      <c r="N849" s="12">
        <f>L849*SIN(RADIANS(K849))</f>
        <v>-3.5352288556586888</v>
      </c>
      <c r="O849" s="12">
        <f>L849*COS(RADIANS(K849))</f>
        <v>-1.5006156187646129</v>
      </c>
      <c r="P849" s="5">
        <v>2.1396909973770168</v>
      </c>
      <c r="Q849" s="5">
        <v>0.52694689797098593</v>
      </c>
      <c r="R849" s="6">
        <f>P849/Q849</f>
        <v>4.060543871908</v>
      </c>
    </row>
    <row r="850" spans="1:18" x14ac:dyDescent="0.35">
      <c r="A850" s="9">
        <v>850</v>
      </c>
      <c r="B850" s="5">
        <v>0.1</v>
      </c>
      <c r="C850" s="5">
        <v>4000000</v>
      </c>
      <c r="D850" s="5">
        <v>5</v>
      </c>
      <c r="E850" s="5">
        <v>0.375</v>
      </c>
      <c r="F850" s="5">
        <v>0.05</v>
      </c>
      <c r="G850" s="12">
        <f>(C850*$U$4)/($U$5*$U$3)</f>
        <v>58.775510204081627</v>
      </c>
      <c r="H850" s="11">
        <f>G850*COS(RADIANS(D850))</f>
        <v>58.551851642943404</v>
      </c>
      <c r="I850" s="11">
        <f>G850*SIN(RADIANS(D850))</f>
        <v>5.1226232472092956</v>
      </c>
      <c r="J850" s="12">
        <v>0.16789999999999999</v>
      </c>
      <c r="K850" s="11">
        <v>85</v>
      </c>
      <c r="L850" s="12">
        <f>-(F850*G850*$U$3)/J850</f>
        <v>-17.503129899964751</v>
      </c>
      <c r="M850" s="11">
        <f>ABS(L850/$U$6)</f>
        <v>5.1029533236048835E-2</v>
      </c>
      <c r="N850" s="12">
        <f>L850*SIN(RADIANS(K850))</f>
        <v>-17.436525206355988</v>
      </c>
      <c r="O850" s="12">
        <f>L850*COS(RADIANS(K850))</f>
        <v>-1.5254982868401712</v>
      </c>
      <c r="P850" s="5">
        <v>1.8277763192373231</v>
      </c>
      <c r="Q850" s="5">
        <v>0.33735552464048013</v>
      </c>
      <c r="R850" s="6">
        <f>P850/Q850</f>
        <v>5.4179528293932187</v>
      </c>
    </row>
    <row r="851" spans="1:18" x14ac:dyDescent="0.35">
      <c r="A851" s="9">
        <v>1693</v>
      </c>
      <c r="B851" s="5">
        <v>0.75</v>
      </c>
      <c r="C851" s="5">
        <v>6000000</v>
      </c>
      <c r="D851" s="5">
        <v>30</v>
      </c>
      <c r="E851" s="5">
        <v>0</v>
      </c>
      <c r="F851" s="5">
        <v>0.15</v>
      </c>
      <c r="G851" s="12">
        <f>(C851*$U$4)/($U$5*$U$3)</f>
        <v>88.16326530612244</v>
      </c>
      <c r="H851" s="11">
        <f>G851*COS(RADIANS(D851))</f>
        <v>76.351627435689281</v>
      </c>
      <c r="I851" s="11">
        <f>G851*SIN(RADIANS(D851))</f>
        <v>44.081632653061213</v>
      </c>
      <c r="J851" s="11">
        <v>0.27929999999999999</v>
      </c>
      <c r="K851" s="12">
        <v>0</v>
      </c>
      <c r="L851" s="12">
        <f>-(F851*G851*$U$3)/J851</f>
        <v>-47.348692430785412</v>
      </c>
      <c r="M851" s="11">
        <f>ABS(L851/$U$6)</f>
        <v>0.13804283507517612</v>
      </c>
      <c r="N851" s="12">
        <f>L851*SIN(RADIANS(K851))</f>
        <v>0</v>
      </c>
      <c r="O851" s="12">
        <f>L851*COS(RADIANS(K851))</f>
        <v>-47.348692430785412</v>
      </c>
      <c r="P851" s="5">
        <v>8.008725251240012</v>
      </c>
      <c r="Q851" s="5">
        <v>2.3607805947644365</v>
      </c>
      <c r="R851" s="6">
        <f>P851/Q851</f>
        <v>3.3924055750886666</v>
      </c>
    </row>
    <row r="852" spans="1:18" x14ac:dyDescent="0.35">
      <c r="A852" s="9">
        <v>852</v>
      </c>
      <c r="B852" s="5">
        <v>0.75</v>
      </c>
      <c r="C852" s="5">
        <v>2000000</v>
      </c>
      <c r="D852" s="5">
        <v>10</v>
      </c>
      <c r="E852" s="5">
        <v>0.25</v>
      </c>
      <c r="F852" s="5">
        <v>2.5000000000000001E-2</v>
      </c>
      <c r="G852" s="12">
        <f>(C852*$U$4)/($U$5*$U$3)</f>
        <v>29.387755102040813</v>
      </c>
      <c r="H852" s="11">
        <f>G852*COS(RADIANS(D852))</f>
        <v>28.941289068113864</v>
      </c>
      <c r="I852" s="11">
        <f>G852*SIN(RADIANS(D852))</f>
        <v>5.1031301191914213</v>
      </c>
      <c r="J852" s="12">
        <v>0.28370000000000001</v>
      </c>
      <c r="K852" s="11">
        <v>38</v>
      </c>
      <c r="L852" s="12">
        <f>-(F852*G852*$U$3)/J852</f>
        <v>-2.589685856718436</v>
      </c>
      <c r="M852" s="11">
        <f>ABS(L852/$U$6)</f>
        <v>7.5501045385377146E-3</v>
      </c>
      <c r="N852" s="12">
        <f>L852*SIN(RADIANS(K852))</f>
        <v>-1.5943698151772636</v>
      </c>
      <c r="O852" s="12">
        <f>L852*COS(RADIANS(K852))</f>
        <v>-2.0407003035573639</v>
      </c>
      <c r="P852" s="5">
        <v>4.1256941779486471</v>
      </c>
      <c r="Q852" s="5">
        <v>0.35300642215152189</v>
      </c>
      <c r="R852" s="6">
        <f>P852/Q852</f>
        <v>11.687306289792554</v>
      </c>
    </row>
    <row r="853" spans="1:18" x14ac:dyDescent="0.35">
      <c r="A853" s="9">
        <v>853</v>
      </c>
      <c r="B853" s="5">
        <v>0.25</v>
      </c>
      <c r="C853" s="5">
        <v>4000000</v>
      </c>
      <c r="D853" s="5">
        <v>0</v>
      </c>
      <c r="E853" s="5">
        <v>0.125</v>
      </c>
      <c r="F853" s="5">
        <v>0.05</v>
      </c>
      <c r="G853" s="12">
        <f>(C853*$U$4)/($U$5*$U$3)</f>
        <v>58.775510204081627</v>
      </c>
      <c r="H853" s="11">
        <f>G853*COS(RADIANS(D853))</f>
        <v>58.775510204081627</v>
      </c>
      <c r="I853" s="11">
        <f>G853*SIN(RADIANS(D853))</f>
        <v>0</v>
      </c>
      <c r="J853" s="11">
        <v>0.19020000000000001</v>
      </c>
      <c r="K853" s="12">
        <v>46</v>
      </c>
      <c r="L853" s="12">
        <f>-(F853*G853*$U$3)/J853</f>
        <v>-15.450975342818513</v>
      </c>
      <c r="M853" s="11">
        <f>ABS(L853/$U$6)</f>
        <v>4.5046575343494204E-2</v>
      </c>
      <c r="N853" s="12">
        <f>L853*SIN(RADIANS(K853))</f>
        <v>-11.114501518140489</v>
      </c>
      <c r="O853" s="12">
        <f>L853*COS(RADIANS(K853))</f>
        <v>-10.733149353644455</v>
      </c>
      <c r="P853" s="5">
        <v>2.1273087299880622</v>
      </c>
      <c r="Q853" s="5">
        <v>0.18487659038840956</v>
      </c>
      <c r="R853" s="6">
        <f>P853/Q853</f>
        <v>11.506641947034897</v>
      </c>
    </row>
    <row r="854" spans="1:18" x14ac:dyDescent="0.35">
      <c r="A854" s="9">
        <v>854</v>
      </c>
      <c r="B854" s="5">
        <v>0.75</v>
      </c>
      <c r="C854" s="5">
        <v>2000000</v>
      </c>
      <c r="D854" s="5">
        <v>0</v>
      </c>
      <c r="E854" s="5">
        <v>0.125</v>
      </c>
      <c r="F854" s="5">
        <v>0.1</v>
      </c>
      <c r="G854" s="12">
        <f>(C854*$U$4)/($U$5*$U$3)</f>
        <v>29.387755102040813</v>
      </c>
      <c r="H854" s="11">
        <f>G854*COS(RADIANS(D854))</f>
        <v>29.387755102040813</v>
      </c>
      <c r="I854" s="11">
        <f>G854*SIN(RADIANS(D854))</f>
        <v>0</v>
      </c>
      <c r="J854" s="12">
        <v>0.2802</v>
      </c>
      <c r="K854" s="12">
        <v>19</v>
      </c>
      <c r="L854" s="12">
        <f>-(F854*G854*$U$3)/J854</f>
        <v>-10.488135296945329</v>
      </c>
      <c r="M854" s="11">
        <f>ABS(L854/$U$6)</f>
        <v>3.0577653926954312E-2</v>
      </c>
      <c r="N854" s="12">
        <f>L854*SIN(RADIANS(K854))</f>
        <v>-3.414602852323454</v>
      </c>
      <c r="O854" s="12">
        <f>L854*COS(RADIANS(K854))</f>
        <v>-9.9167267466606646</v>
      </c>
      <c r="P854" s="5">
        <v>3.5011861807833644</v>
      </c>
      <c r="Q854" s="5">
        <v>0.17528737053511584</v>
      </c>
      <c r="R854" s="6">
        <f>P854/Q854</f>
        <v>19.973978559293645</v>
      </c>
    </row>
    <row r="855" spans="1:18" x14ac:dyDescent="0.35">
      <c r="A855" s="9">
        <v>855</v>
      </c>
      <c r="B855" s="5">
        <v>0.75</v>
      </c>
      <c r="C855" s="5">
        <v>4000000</v>
      </c>
      <c r="D855" s="5">
        <v>10</v>
      </c>
      <c r="E855" s="5">
        <v>0</v>
      </c>
      <c r="F855" s="5">
        <v>0.1</v>
      </c>
      <c r="G855" s="12">
        <f>(C855*$U$4)/($U$5*$U$3)</f>
        <v>58.775510204081627</v>
      </c>
      <c r="H855" s="11">
        <f>G855*COS(RADIANS(D855))</f>
        <v>57.882578136227728</v>
      </c>
      <c r="I855" s="11">
        <f>G855*SIN(RADIANS(D855))</f>
        <v>10.206260238382843</v>
      </c>
      <c r="J855" s="11">
        <v>0.27929999999999999</v>
      </c>
      <c r="K855" s="12">
        <v>0</v>
      </c>
      <c r="L855" s="12">
        <f>-(F855*G855*$U$3)/J855</f>
        <v>-21.043863302571296</v>
      </c>
      <c r="M855" s="11">
        <f>ABS(L855/$U$6)</f>
        <v>6.135237114452273E-2</v>
      </c>
      <c r="N855" s="12">
        <f>L855*SIN(RADIANS(K855))</f>
        <v>0</v>
      </c>
      <c r="O855" s="12">
        <f>L855*COS(RADIANS(K855))</f>
        <v>-21.043863302571296</v>
      </c>
      <c r="P855" s="5">
        <v>5.0440537440948132</v>
      </c>
      <c r="Q855" s="5">
        <v>0.59872215250399385</v>
      </c>
      <c r="R855" s="6">
        <f>P855/Q855</f>
        <v>8.4246987070704158</v>
      </c>
    </row>
    <row r="856" spans="1:18" x14ac:dyDescent="0.35">
      <c r="A856" s="9">
        <v>856</v>
      </c>
      <c r="B856" s="5">
        <v>1</v>
      </c>
      <c r="C856" s="5">
        <v>6000000</v>
      </c>
      <c r="D856" s="5">
        <v>10</v>
      </c>
      <c r="E856" s="5">
        <v>0</v>
      </c>
      <c r="F856" s="5">
        <v>3.5000000000000003E-2</v>
      </c>
      <c r="G856" s="12">
        <f>(C856*$U$4)/($U$5*$U$3)</f>
        <v>88.16326530612244</v>
      </c>
      <c r="H856" s="11">
        <f>G856*COS(RADIANS(D856))</f>
        <v>86.823867204341596</v>
      </c>
      <c r="I856" s="11">
        <f>G856*SIN(RADIANS(D856))</f>
        <v>15.309390357574264</v>
      </c>
      <c r="J856" s="11">
        <v>0.33379999999999999</v>
      </c>
      <c r="K856" s="12">
        <v>0</v>
      </c>
      <c r="L856" s="12">
        <f>-(F856*G856*$U$3)/J856</f>
        <v>-9.2442009757767707</v>
      </c>
      <c r="M856" s="11">
        <f>ABS(L856/$U$6)</f>
        <v>2.6951023252993502E-2</v>
      </c>
      <c r="N856" s="12">
        <f>L856*SIN(RADIANS(K856))</f>
        <v>0</v>
      </c>
      <c r="O856" s="12">
        <f>L856*COS(RADIANS(K856))</f>
        <v>-9.2442009757767707</v>
      </c>
      <c r="P856" s="5">
        <v>0.80430897506453947</v>
      </c>
      <c r="Q856" s="5">
        <v>2.2089887030657782</v>
      </c>
      <c r="R856" s="6">
        <f>P856/Q856</f>
        <v>0.36410732836626425</v>
      </c>
    </row>
    <row r="857" spans="1:18" x14ac:dyDescent="0.35">
      <c r="A857" s="9">
        <v>857</v>
      </c>
      <c r="B857" s="5">
        <v>0.5</v>
      </c>
      <c r="C857" s="5">
        <v>2000000</v>
      </c>
      <c r="D857" s="5">
        <v>15</v>
      </c>
      <c r="E857" s="5">
        <v>0</v>
      </c>
      <c r="F857" s="5">
        <v>0</v>
      </c>
      <c r="G857" s="12">
        <f>(C857*$U$4)/($U$5*$U$3)</f>
        <v>29.387755102040813</v>
      </c>
      <c r="H857" s="11">
        <f>G857*COS(RADIANS(D857))</f>
        <v>28.386391629719554</v>
      </c>
      <c r="I857" s="11">
        <f>G857*SIN(RADIANS(D857))</f>
        <v>7.6061107132169354</v>
      </c>
      <c r="J857" s="12">
        <v>0.23230000000000001</v>
      </c>
      <c r="K857" s="12">
        <v>0</v>
      </c>
      <c r="L857" s="12">
        <f>-(F857*G857*$U$3)/J857</f>
        <v>0</v>
      </c>
      <c r="M857" s="11">
        <f>ABS(L857/$U$6)</f>
        <v>0</v>
      </c>
      <c r="N857" s="12">
        <f>L857*SIN(RADIANS(K857))</f>
        <v>0</v>
      </c>
      <c r="O857" s="12">
        <f>L857*COS(RADIANS(K857))</f>
        <v>0</v>
      </c>
      <c r="P857" s="5">
        <v>3.6518716088987051</v>
      </c>
      <c r="Q857" s="5">
        <v>1.0825752134232287</v>
      </c>
      <c r="R857" s="6">
        <f>P857/Q857</f>
        <v>3.3733190669967978</v>
      </c>
    </row>
    <row r="858" spans="1:18" x14ac:dyDescent="0.35">
      <c r="A858" s="9">
        <v>858</v>
      </c>
      <c r="B858" s="5">
        <v>0.75</v>
      </c>
      <c r="C858" s="5">
        <v>6000000</v>
      </c>
      <c r="D858" s="5">
        <v>20</v>
      </c>
      <c r="E858" s="5">
        <v>0.375</v>
      </c>
      <c r="F858" s="5">
        <v>3.5000000000000003E-2</v>
      </c>
      <c r="G858" s="12">
        <f>(C858*$U$4)/($U$5*$U$3)</f>
        <v>88.16326530612244</v>
      </c>
      <c r="H858" s="11">
        <f>G858*COS(RADIANS(D858))</f>
        <v>82.846369832553549</v>
      </c>
      <c r="I858" s="11">
        <f>G858*SIN(RADIANS(D858))</f>
        <v>30.153612636058952</v>
      </c>
      <c r="J858" s="11">
        <v>0.29299999999999998</v>
      </c>
      <c r="K858" s="12">
        <v>57</v>
      </c>
      <c r="L858" s="12">
        <f>-(F858*G858*$U$3)/J858</f>
        <v>-10.531448074110191</v>
      </c>
      <c r="M858" s="11">
        <f>ABS(L858/$U$6)</f>
        <v>3.0703930245219217E-2</v>
      </c>
      <c r="N858" s="12">
        <f>L858*SIN(RADIANS(K858))</f>
        <v>-8.8324155376017366</v>
      </c>
      <c r="O858" s="12">
        <f>L858*COS(RADIANS(K858))</f>
        <v>-5.73583771639424</v>
      </c>
      <c r="P858" s="5">
        <v>4.1328728848584744</v>
      </c>
      <c r="Q858" s="5">
        <v>0.78168819837721504</v>
      </c>
      <c r="R858" s="6">
        <f>P858/Q858</f>
        <v>5.2871117837499915</v>
      </c>
    </row>
    <row r="859" spans="1:18" x14ac:dyDescent="0.35">
      <c r="A859" s="9">
        <v>859</v>
      </c>
      <c r="B859" s="5">
        <v>0.5</v>
      </c>
      <c r="C859" s="5">
        <v>6000000</v>
      </c>
      <c r="D859" s="5">
        <v>10</v>
      </c>
      <c r="E859" s="5">
        <v>0</v>
      </c>
      <c r="F859" s="5">
        <v>2.5000000000000001E-2</v>
      </c>
      <c r="G859" s="12">
        <f>(C859*$U$4)/($U$5*$U$3)</f>
        <v>88.16326530612244</v>
      </c>
      <c r="H859" s="11">
        <f>G859*COS(RADIANS(D859))</f>
        <v>86.823867204341596</v>
      </c>
      <c r="I859" s="11">
        <f>G859*SIN(RADIANS(D859))</f>
        <v>15.309390357574264</v>
      </c>
      <c r="J859" s="12">
        <v>0.23230000000000001</v>
      </c>
      <c r="K859" s="12">
        <v>0</v>
      </c>
      <c r="L859" s="12">
        <f>-(F859*G859*$U$3)/J859</f>
        <v>-9.4880827923076243</v>
      </c>
      <c r="M859" s="11">
        <f>ABS(L859/$U$6)</f>
        <v>2.7662048957165085E-2</v>
      </c>
      <c r="N859" s="12">
        <f>L859*SIN(RADIANS(K859))</f>
        <v>0</v>
      </c>
      <c r="O859" s="12">
        <f>L859*COS(RADIANS(K859))</f>
        <v>-9.4880827923076243</v>
      </c>
      <c r="P859" s="5">
        <v>2.1020122363316487</v>
      </c>
      <c r="Q859" s="5">
        <v>0.81689392458470067</v>
      </c>
      <c r="R859" s="6">
        <f>P859/Q859</f>
        <v>2.5731764835933713</v>
      </c>
    </row>
    <row r="860" spans="1:18" x14ac:dyDescent="0.35">
      <c r="A860" s="9">
        <v>860</v>
      </c>
      <c r="B860" s="5">
        <v>0.5</v>
      </c>
      <c r="C860" s="5">
        <v>2000000</v>
      </c>
      <c r="D860" s="5">
        <v>10</v>
      </c>
      <c r="E860" s="5">
        <v>0</v>
      </c>
      <c r="F860" s="5">
        <v>0.05</v>
      </c>
      <c r="G860" s="12">
        <f>(C860*$U$4)/($U$5*$U$3)</f>
        <v>29.387755102040813</v>
      </c>
      <c r="H860" s="11">
        <f>G860*COS(RADIANS(D860))</f>
        <v>28.941289068113864</v>
      </c>
      <c r="I860" s="11">
        <f>G860*SIN(RADIANS(D860))</f>
        <v>5.1031301191914213</v>
      </c>
      <c r="J860" s="12">
        <v>0.23230000000000001</v>
      </c>
      <c r="K860" s="12">
        <v>0</v>
      </c>
      <c r="L860" s="12">
        <f>-(F860*G860*$U$3)/J860</f>
        <v>-6.3253885282050826</v>
      </c>
      <c r="M860" s="11">
        <f>ABS(L860/$U$6)</f>
        <v>1.8441365971443389E-2</v>
      </c>
      <c r="N860" s="12">
        <f>L860*SIN(RADIANS(K860))</f>
        <v>0</v>
      </c>
      <c r="O860" s="12">
        <f>L860*COS(RADIANS(K860))</f>
        <v>-6.3253885282050826</v>
      </c>
      <c r="P860" s="5">
        <v>4.1613327178282642</v>
      </c>
      <c r="Q860" s="5">
        <v>0.65246504336124378</v>
      </c>
      <c r="R860" s="6">
        <f>P860/Q860</f>
        <v>6.377863090397474</v>
      </c>
    </row>
    <row r="861" spans="1:18" x14ac:dyDescent="0.35">
      <c r="A861" s="9">
        <v>861</v>
      </c>
      <c r="B861" s="5">
        <v>0.75</v>
      </c>
      <c r="C861" s="5">
        <v>6000000</v>
      </c>
      <c r="D861" s="5">
        <v>5</v>
      </c>
      <c r="E861" s="5">
        <v>0.375</v>
      </c>
      <c r="F861" s="5">
        <v>0.05</v>
      </c>
      <c r="G861" s="12">
        <f>(C861*$U$4)/($U$5*$U$3)</f>
        <v>88.16326530612244</v>
      </c>
      <c r="H861" s="11">
        <f>G861*COS(RADIANS(D861))</f>
        <v>87.827777464415107</v>
      </c>
      <c r="I861" s="11">
        <f>G861*SIN(RADIANS(D861))</f>
        <v>7.6839348708139434</v>
      </c>
      <c r="J861" s="11">
        <v>0.29299999999999998</v>
      </c>
      <c r="K861" s="12">
        <v>57</v>
      </c>
      <c r="L861" s="12">
        <f>-(F861*G861*$U$3)/J861</f>
        <v>-15.044925820157413</v>
      </c>
      <c r="M861" s="11">
        <f>ABS(L861/$U$6)</f>
        <v>4.3862757493170298E-2</v>
      </c>
      <c r="N861" s="12">
        <f>L861*SIN(RADIANS(K861))</f>
        <v>-12.617736482288192</v>
      </c>
      <c r="O861" s="12">
        <f>L861*COS(RADIANS(K861))</f>
        <v>-8.1940538805631977</v>
      </c>
      <c r="P861" s="5">
        <v>4.8777160855738328</v>
      </c>
      <c r="Q861" s="5">
        <v>-0.34018098897956311</v>
      </c>
      <c r="R861" s="6">
        <f>P861/Q861</f>
        <v>-14.338591054736657</v>
      </c>
    </row>
    <row r="862" spans="1:18" x14ac:dyDescent="0.35">
      <c r="A862" s="9">
        <v>862</v>
      </c>
      <c r="B862" s="5">
        <v>0.5</v>
      </c>
      <c r="C862" s="5">
        <v>6000000</v>
      </c>
      <c r="D862" s="5">
        <v>10</v>
      </c>
      <c r="E862" s="5">
        <v>0.25</v>
      </c>
      <c r="F862" s="5">
        <v>0.05</v>
      </c>
      <c r="G862" s="12">
        <f>(C862*$U$4)/($U$5*$U$3)</f>
        <v>88.16326530612244</v>
      </c>
      <c r="H862" s="11">
        <f>G862*COS(RADIANS(D862))</f>
        <v>86.823867204341596</v>
      </c>
      <c r="I862" s="11">
        <f>G862*SIN(RADIANS(D862))</f>
        <v>15.309390357574264</v>
      </c>
      <c r="J862" s="11">
        <v>0.23580000000000001</v>
      </c>
      <c r="K862" s="11">
        <v>49</v>
      </c>
      <c r="L862" s="12">
        <f>-(F862*G862*$U$3)/J862</f>
        <v>-18.694500701043772</v>
      </c>
      <c r="M862" s="11">
        <f>ABS(L862/$U$6)</f>
        <v>5.4502917495754435E-2</v>
      </c>
      <c r="N862" s="12">
        <f>L862*SIN(RADIANS(K862))</f>
        <v>-14.108918776559062</v>
      </c>
      <c r="O862" s="12">
        <f>L862*COS(RADIANS(K862))</f>
        <v>-12.264695977389135</v>
      </c>
      <c r="P862" s="5">
        <v>3.1083371216683995</v>
      </c>
      <c r="Q862" s="5">
        <v>0.35809055813743701</v>
      </c>
      <c r="R862" s="6">
        <f>P862/Q862</f>
        <v>8.6803101925837538</v>
      </c>
    </row>
    <row r="863" spans="1:18" x14ac:dyDescent="0.35">
      <c r="A863" s="9">
        <v>863</v>
      </c>
      <c r="B863" s="5">
        <v>0.5</v>
      </c>
      <c r="C863" s="5">
        <v>2000000</v>
      </c>
      <c r="D863" s="5">
        <v>30</v>
      </c>
      <c r="E863" s="5">
        <v>0.375</v>
      </c>
      <c r="F863" s="5">
        <v>2.5000000000000001E-2</v>
      </c>
      <c r="G863" s="12">
        <f>(C863*$U$4)/($U$5*$U$3)</f>
        <v>29.387755102040813</v>
      </c>
      <c r="H863" s="11">
        <f>G863*COS(RADIANS(D863))</f>
        <v>25.450542478563094</v>
      </c>
      <c r="I863" s="11">
        <f>G863*SIN(RADIANS(D863))</f>
        <v>14.693877551020405</v>
      </c>
      <c r="J863" s="12">
        <v>0.24809999999999999</v>
      </c>
      <c r="K863" s="12">
        <v>67</v>
      </c>
      <c r="L863" s="12">
        <f>-(F863*G863*$U$3)/J863</f>
        <v>-2.9612812476864989</v>
      </c>
      <c r="M863" s="11">
        <f>ABS(L863/$U$6)</f>
        <v>8.6334730253250693E-3</v>
      </c>
      <c r="N863" s="12">
        <f>L863*SIN(RADIANS(K863))</f>
        <v>-2.7258737609331205</v>
      </c>
      <c r="O863" s="12">
        <f>L863*COS(RADIANS(K863))</f>
        <v>-1.1570647636826701</v>
      </c>
      <c r="P863" s="5">
        <v>3.3738968229108726</v>
      </c>
      <c r="Q863" s="5">
        <v>1.1143244937399048</v>
      </c>
      <c r="R863" s="6">
        <f>P863/Q863</f>
        <v>3.0277507511186199</v>
      </c>
    </row>
    <row r="864" spans="1:18" x14ac:dyDescent="0.35">
      <c r="A864" s="9">
        <v>864</v>
      </c>
      <c r="B864" s="5">
        <v>0.25</v>
      </c>
      <c r="C864" s="5">
        <v>2000000</v>
      </c>
      <c r="D864" s="5">
        <v>30</v>
      </c>
      <c r="E864" s="5">
        <v>0</v>
      </c>
      <c r="F864" s="5">
        <v>2.5000000000000001E-2</v>
      </c>
      <c r="G864" s="12">
        <f>(C864*$U$4)/($U$5*$U$3)</f>
        <v>29.387755102040813</v>
      </c>
      <c r="H864" s="11">
        <f>G864*COS(RADIANS(D864))</f>
        <v>25.450542478563094</v>
      </c>
      <c r="I864" s="11">
        <f>G864*SIN(RADIANS(D864))</f>
        <v>14.693877551020405</v>
      </c>
      <c r="J864" s="12">
        <v>0.18990000000000001</v>
      </c>
      <c r="K864" s="12">
        <v>0</v>
      </c>
      <c r="L864" s="12">
        <f>-(F864*G864*$U$3)/J864</f>
        <v>-3.86884611664571</v>
      </c>
      <c r="M864" s="11">
        <f>ABS(L864/$U$6)</f>
        <v>1.1279434742407318E-2</v>
      </c>
      <c r="N864" s="12">
        <f>L864*SIN(RADIANS(K864))</f>
        <v>0</v>
      </c>
      <c r="O864" s="12">
        <f>L864*COS(RADIANS(K864))</f>
        <v>-3.86884611664571</v>
      </c>
      <c r="P864" s="5">
        <v>2.0741106794436717</v>
      </c>
      <c r="Q864" s="5">
        <v>0.85341983926206244</v>
      </c>
      <c r="R864" s="6">
        <f>P864/Q864</f>
        <v>2.4303520776328797</v>
      </c>
    </row>
    <row r="865" spans="1:18" x14ac:dyDescent="0.35">
      <c r="A865" s="9">
        <v>865</v>
      </c>
      <c r="B865" s="5">
        <v>0.1</v>
      </c>
      <c r="C865" s="5">
        <v>2000000</v>
      </c>
      <c r="D865" s="5">
        <v>0</v>
      </c>
      <c r="E865" s="5">
        <v>0.375</v>
      </c>
      <c r="F865" s="5">
        <v>1.4999999999999999E-2</v>
      </c>
      <c r="G865" s="12">
        <f>(C865*$U$4)/($U$5*$U$3)</f>
        <v>29.387755102040813</v>
      </c>
      <c r="H865" s="11">
        <f>G865*COS(RADIANS(D865))</f>
        <v>29.387755102040813</v>
      </c>
      <c r="I865" s="11">
        <f>G865*SIN(RADIANS(D865))</f>
        <v>0</v>
      </c>
      <c r="J865" s="12">
        <v>0.16789999999999999</v>
      </c>
      <c r="K865" s="11">
        <v>85</v>
      </c>
      <c r="L865" s="12">
        <f>-(F865*G865*$U$3)/J865</f>
        <v>-2.6254694849947122</v>
      </c>
      <c r="M865" s="11">
        <f>ABS(L865/$U$6)</f>
        <v>7.6544299854073242E-3</v>
      </c>
      <c r="N865" s="12">
        <f>L865*SIN(RADIANS(K865))</f>
        <v>-2.6154787809533979</v>
      </c>
      <c r="O865" s="12">
        <f>L865*COS(RADIANS(K865))</f>
        <v>-0.22882474302602562</v>
      </c>
      <c r="P865" s="5">
        <v>1.4046768608384095</v>
      </c>
      <c r="Q865" s="5">
        <v>0.20198758345783779</v>
      </c>
      <c r="R865" s="6">
        <f>P865/Q865</f>
        <v>6.9542733112187411</v>
      </c>
    </row>
    <row r="866" spans="1:18" x14ac:dyDescent="0.35">
      <c r="A866" s="9">
        <v>866</v>
      </c>
      <c r="B866" s="5">
        <v>0.75</v>
      </c>
      <c r="C866" s="5">
        <v>6000000</v>
      </c>
      <c r="D866" s="5">
        <v>20</v>
      </c>
      <c r="E866" s="5">
        <v>0.125</v>
      </c>
      <c r="F866" s="5">
        <v>0.1</v>
      </c>
      <c r="G866" s="12">
        <f>(C866*$U$4)/($U$5*$U$3)</f>
        <v>88.16326530612244</v>
      </c>
      <c r="H866" s="11">
        <f>G866*COS(RADIANS(D866))</f>
        <v>82.846369832553549</v>
      </c>
      <c r="I866" s="11">
        <f>G866*SIN(RADIANS(D866))</f>
        <v>30.153612636058952</v>
      </c>
      <c r="J866" s="12">
        <v>0.2802</v>
      </c>
      <c r="K866" s="12">
        <v>19</v>
      </c>
      <c r="L866" s="12">
        <f>-(F866*G866*$U$3)/J866</f>
        <v>-31.464405890835987</v>
      </c>
      <c r="M866" s="11">
        <f>ABS(L866/$U$6)</f>
        <v>9.1732961780862932E-2</v>
      </c>
      <c r="N866" s="12">
        <f>L866*SIN(RADIANS(K866))</f>
        <v>-10.243808556970363</v>
      </c>
      <c r="O866" s="12">
        <f>L866*COS(RADIANS(K866))</f>
        <v>-29.750180239981997</v>
      </c>
      <c r="P866" s="5">
        <v>3.2860953702354792</v>
      </c>
      <c r="Q866" s="5">
        <v>0.99926423717598123</v>
      </c>
      <c r="R866" s="6">
        <f>P866/Q866</f>
        <v>3.2885149372725548</v>
      </c>
    </row>
    <row r="867" spans="1:18" x14ac:dyDescent="0.35">
      <c r="A867" s="9">
        <v>867</v>
      </c>
      <c r="B867" s="5">
        <v>1</v>
      </c>
      <c r="C867" s="5">
        <v>4000000</v>
      </c>
      <c r="D867" s="5">
        <v>0</v>
      </c>
      <c r="E867" s="5">
        <v>0</v>
      </c>
      <c r="F867" s="5">
        <v>7.4999999999999997E-2</v>
      </c>
      <c r="G867" s="12">
        <f>(C867*$U$4)/($U$5*$U$3)</f>
        <v>58.775510204081627</v>
      </c>
      <c r="H867" s="11">
        <f>G867*COS(RADIANS(D867))</f>
        <v>58.775510204081627</v>
      </c>
      <c r="I867" s="11">
        <f>G867*SIN(RADIANS(D867))</f>
        <v>0</v>
      </c>
      <c r="J867" s="11">
        <v>0.33379999999999999</v>
      </c>
      <c r="K867" s="12">
        <v>0</v>
      </c>
      <c r="L867" s="12">
        <f>-(F867*G867*$U$3)/J867</f>
        <v>-13.206001393966813</v>
      </c>
      <c r="M867" s="11">
        <f>ABS(L867/$U$6)</f>
        <v>3.8501461789990712E-2</v>
      </c>
      <c r="N867" s="12">
        <f>L867*SIN(RADIANS(K867))</f>
        <v>0</v>
      </c>
      <c r="O867" s="12">
        <f>L867*COS(RADIANS(K867))</f>
        <v>-13.206001393966813</v>
      </c>
      <c r="P867" s="5">
        <v>7.3616354194503018</v>
      </c>
      <c r="Q867" s="5">
        <v>0.17782590156868047</v>
      </c>
      <c r="R867" s="6">
        <f>P867/Q867</f>
        <v>41.397992949902566</v>
      </c>
    </row>
    <row r="868" spans="1:18" x14ac:dyDescent="0.35">
      <c r="A868" s="9">
        <v>868</v>
      </c>
      <c r="B868" s="5">
        <v>1</v>
      </c>
      <c r="C868" s="5">
        <v>4000000</v>
      </c>
      <c r="D868" s="5">
        <v>5</v>
      </c>
      <c r="E868" s="5">
        <v>0.25</v>
      </c>
      <c r="F868" s="5">
        <v>7.4999999999999997E-2</v>
      </c>
      <c r="G868" s="12">
        <f>(C868*$U$4)/($U$5*$U$3)</f>
        <v>58.775510204081627</v>
      </c>
      <c r="H868" s="11">
        <f>G868*COS(RADIANS(D868))</f>
        <v>58.551851642943404</v>
      </c>
      <c r="I868" s="11">
        <f>G868*SIN(RADIANS(D868))</f>
        <v>5.1226232472092956</v>
      </c>
      <c r="J868" s="13">
        <v>0.33379999999999999</v>
      </c>
      <c r="K868" s="12">
        <v>30</v>
      </c>
      <c r="L868" s="12">
        <f>-(F868*G868*$U$3)/J868</f>
        <v>-13.206001393966813</v>
      </c>
      <c r="M868" s="11">
        <f>ABS(L868/$U$6)</f>
        <v>3.8501461789990712E-2</v>
      </c>
      <c r="N868" s="12">
        <f>L868*SIN(RADIANS(K868))</f>
        <v>-6.6030006969834059</v>
      </c>
      <c r="O868" s="12">
        <f>L868*COS(RADIANS(K868))</f>
        <v>-11.43673268958797</v>
      </c>
      <c r="P868" s="5">
        <v>4.6400816464385688</v>
      </c>
      <c r="Q868" s="5">
        <v>-0.22103734851152768</v>
      </c>
      <c r="R868" s="6">
        <f>P868/Q868</f>
        <v>-20.992296902243091</v>
      </c>
    </row>
    <row r="869" spans="1:18" x14ac:dyDescent="0.35">
      <c r="A869" s="9">
        <v>869</v>
      </c>
      <c r="B869" s="5">
        <v>1</v>
      </c>
      <c r="C869" s="5">
        <v>4000000</v>
      </c>
      <c r="D869" s="5">
        <v>10</v>
      </c>
      <c r="E869" s="5">
        <v>0.125</v>
      </c>
      <c r="F869" s="5">
        <v>2.5000000000000001E-2</v>
      </c>
      <c r="G869" s="12">
        <f>(C869*$U$4)/($U$5*$U$3)</f>
        <v>58.775510204081627</v>
      </c>
      <c r="H869" s="11">
        <f>G869*COS(RADIANS(D869))</f>
        <v>57.882578136227728</v>
      </c>
      <c r="I869" s="11">
        <f>G869*SIN(RADIANS(D869))</f>
        <v>10.206260238382843</v>
      </c>
      <c r="J869" s="11">
        <v>0.33379999999999999</v>
      </c>
      <c r="K869" s="12">
        <v>14</v>
      </c>
      <c r="L869" s="12">
        <f>-(F869*G869*$U$3)/J869</f>
        <v>-4.4020004646556048</v>
      </c>
      <c r="M869" s="11">
        <f>ABS(L869/$U$6)</f>
        <v>1.283382059666357E-2</v>
      </c>
      <c r="N869" s="12">
        <f>L869*SIN(RADIANS(K869))</f>
        <v>-1.0649402968401021</v>
      </c>
      <c r="O869" s="12">
        <f>L869*COS(RADIANS(K869))</f>
        <v>-4.2712422379202843</v>
      </c>
      <c r="P869" s="5">
        <v>3.660335856769152</v>
      </c>
      <c r="Q869" s="5">
        <v>0.87295320607199445</v>
      </c>
      <c r="R869" s="6">
        <f>P869/Q869</f>
        <v>4.1930493310626273</v>
      </c>
    </row>
    <row r="870" spans="1:18" x14ac:dyDescent="0.35">
      <c r="A870" s="9">
        <v>870</v>
      </c>
      <c r="B870" s="5">
        <v>0.5</v>
      </c>
      <c r="C870" s="5">
        <v>2000000</v>
      </c>
      <c r="D870" s="5">
        <v>10</v>
      </c>
      <c r="E870" s="5">
        <v>0</v>
      </c>
      <c r="F870" s="5">
        <v>1.4999999999999999E-2</v>
      </c>
      <c r="G870" s="12">
        <f>(C870*$U$4)/($U$5*$U$3)</f>
        <v>29.387755102040813</v>
      </c>
      <c r="H870" s="11">
        <f>G870*COS(RADIANS(D870))</f>
        <v>28.941289068113864</v>
      </c>
      <c r="I870" s="11">
        <f>G870*SIN(RADIANS(D870))</f>
        <v>5.1031301191914213</v>
      </c>
      <c r="J870" s="12">
        <v>0.23230000000000001</v>
      </c>
      <c r="K870" s="12">
        <v>0</v>
      </c>
      <c r="L870" s="12">
        <f>-(F870*G870*$U$3)/J870</f>
        <v>-1.8976165584615248</v>
      </c>
      <c r="M870" s="11">
        <f>ABS(L870/$U$6)</f>
        <v>5.5324097914330166E-3</v>
      </c>
      <c r="N870" s="12">
        <f>L870*SIN(RADIANS(K870))</f>
        <v>0</v>
      </c>
      <c r="O870" s="12">
        <f>L870*COS(RADIANS(K870))</f>
        <v>-1.8976165584615248</v>
      </c>
      <c r="P870" s="5">
        <v>3.102255298727985</v>
      </c>
      <c r="Q870" s="5">
        <v>0.68517204644849539</v>
      </c>
      <c r="R870" s="6">
        <f>P870/Q870</f>
        <v>4.5277026621388625</v>
      </c>
    </row>
    <row r="871" spans="1:18" x14ac:dyDescent="0.35">
      <c r="A871" s="9">
        <v>871</v>
      </c>
      <c r="B871" s="5">
        <v>1</v>
      </c>
      <c r="C871" s="5">
        <v>2000000</v>
      </c>
      <c r="D871" s="5">
        <v>30</v>
      </c>
      <c r="E871" s="5">
        <v>0.25</v>
      </c>
      <c r="F871" s="5">
        <v>0.15</v>
      </c>
      <c r="G871" s="12">
        <f>(C871*$U$4)/($U$5*$U$3)</f>
        <v>29.387755102040813</v>
      </c>
      <c r="H871" s="11">
        <f>G871*COS(RADIANS(D871))</f>
        <v>25.450542478563094</v>
      </c>
      <c r="I871" s="11">
        <f>G871*SIN(RADIANS(D871))</f>
        <v>14.693877551020405</v>
      </c>
      <c r="J871" s="13">
        <v>0.33379999999999999</v>
      </c>
      <c r="K871" s="12">
        <v>30</v>
      </c>
      <c r="L871" s="12">
        <f>-(F871*G871*$U$3)/J871</f>
        <v>-13.206001393966813</v>
      </c>
      <c r="M871" s="11">
        <f>ABS(L871/$U$6)</f>
        <v>3.8501461789990712E-2</v>
      </c>
      <c r="N871" s="12">
        <f>L871*SIN(RADIANS(K871))</f>
        <v>-6.6030006969834059</v>
      </c>
      <c r="O871" s="12">
        <f>L871*COS(RADIANS(K871))</f>
        <v>-11.43673268958797</v>
      </c>
      <c r="P871" s="5">
        <v>6.0070525923867031</v>
      </c>
      <c r="Q871" s="5">
        <v>1.2147069501050876</v>
      </c>
      <c r="R871" s="6">
        <f>P871/Q871</f>
        <v>4.9452689736129498</v>
      </c>
    </row>
    <row r="872" spans="1:18" x14ac:dyDescent="0.35">
      <c r="A872" s="9">
        <v>872</v>
      </c>
      <c r="B872" s="5">
        <v>0.5</v>
      </c>
      <c r="C872" s="5">
        <v>6000000</v>
      </c>
      <c r="D872" s="5">
        <v>30</v>
      </c>
      <c r="E872" s="5">
        <v>0.125</v>
      </c>
      <c r="F872" s="5">
        <v>3.5000000000000003E-2</v>
      </c>
      <c r="G872" s="12">
        <f>(C872*$U$4)/($U$5*$U$3)</f>
        <v>88.16326530612244</v>
      </c>
      <c r="H872" s="11">
        <f>G872*COS(RADIANS(D872))</f>
        <v>76.351627435689281</v>
      </c>
      <c r="I872" s="11">
        <f>G872*SIN(RADIANS(D872))</f>
        <v>44.081632653061213</v>
      </c>
      <c r="J872" s="12">
        <v>0.23300000000000001</v>
      </c>
      <c r="K872" s="11">
        <v>27</v>
      </c>
      <c r="L872" s="12">
        <f>-(F872*G872*$U$3)/J872</f>
        <v>-13.243408951563458</v>
      </c>
      <c r="M872" s="11">
        <f>ABS(L872/$U$6)</f>
        <v>3.8610521724674801E-2</v>
      </c>
      <c r="N872" s="12">
        <f>L872*SIN(RADIANS(K872))</f>
        <v>-6.0123818481754814</v>
      </c>
      <c r="O872" s="12">
        <f>L872*COS(RADIANS(K872))</f>
        <v>-11.799963778337673</v>
      </c>
      <c r="P872" s="5">
        <v>3.7300156017962212</v>
      </c>
      <c r="Q872" s="5">
        <v>1.3233295436672217</v>
      </c>
      <c r="R872" s="6">
        <f>P872/Q872</f>
        <v>2.8186596601324045</v>
      </c>
    </row>
    <row r="873" spans="1:18" x14ac:dyDescent="0.35">
      <c r="A873" s="9">
        <v>873</v>
      </c>
      <c r="B873" s="5">
        <v>0.75</v>
      </c>
      <c r="C873" s="5">
        <v>2000000</v>
      </c>
      <c r="D873" s="5">
        <v>15</v>
      </c>
      <c r="E873" s="5">
        <v>0.25</v>
      </c>
      <c r="F873" s="5">
        <v>7.4999999999999997E-2</v>
      </c>
      <c r="G873" s="12">
        <f>(C873*$U$4)/($U$5*$U$3)</f>
        <v>29.387755102040813</v>
      </c>
      <c r="H873" s="11">
        <f>G873*COS(RADIANS(D873))</f>
        <v>28.386391629719554</v>
      </c>
      <c r="I873" s="11">
        <f>G873*SIN(RADIANS(D873))</f>
        <v>7.6061107132169354</v>
      </c>
      <c r="J873" s="12">
        <v>0.28370000000000001</v>
      </c>
      <c r="K873" s="11">
        <v>38</v>
      </c>
      <c r="L873" s="12">
        <f>-(F873*G873*$U$3)/J873</f>
        <v>-7.769057570155308</v>
      </c>
      <c r="M873" s="11">
        <f>ABS(L873/$U$6)</f>
        <v>2.2650313615613142E-2</v>
      </c>
      <c r="N873" s="12">
        <f>L873*SIN(RADIANS(K873))</f>
        <v>-4.7831094455317906</v>
      </c>
      <c r="O873" s="12">
        <f>L873*COS(RADIANS(K873))</f>
        <v>-6.1221009106720921</v>
      </c>
      <c r="P873" s="5">
        <v>3.8357555831501302</v>
      </c>
      <c r="Q873" s="5">
        <v>0.52067144266217436</v>
      </c>
      <c r="R873" s="6">
        <f>P873/Q873</f>
        <v>7.366940586443631</v>
      </c>
    </row>
    <row r="874" spans="1:18" x14ac:dyDescent="0.35">
      <c r="A874" s="9">
        <v>874</v>
      </c>
      <c r="B874" s="5">
        <v>1</v>
      </c>
      <c r="C874" s="5">
        <v>4000000</v>
      </c>
      <c r="D874" s="5">
        <v>0</v>
      </c>
      <c r="E874" s="5">
        <v>0.375</v>
      </c>
      <c r="F874" s="5">
        <v>1.4999999999999999E-2</v>
      </c>
      <c r="G874" s="12">
        <f>(C874*$U$4)/($U$5*$U$3)</f>
        <v>58.775510204081627</v>
      </c>
      <c r="H874" s="11">
        <f>G874*COS(RADIANS(D874))</f>
        <v>58.775510204081627</v>
      </c>
      <c r="I874" s="11">
        <f>G874*SIN(RADIANS(D874))</f>
        <v>0</v>
      </c>
      <c r="J874" s="12">
        <v>0.33379999999999999</v>
      </c>
      <c r="K874" s="11">
        <v>49</v>
      </c>
      <c r="L874" s="12">
        <f>-(F874*G874*$U$3)/J874</f>
        <v>-2.6412002787933626</v>
      </c>
      <c r="M874" s="11">
        <f>ABS(L874/$U$6)</f>
        <v>7.7002923579981416E-3</v>
      </c>
      <c r="N874" s="12">
        <f>L874*SIN(RADIANS(K874))</f>
        <v>-1.9933391536924072</v>
      </c>
      <c r="O874" s="12">
        <f>L874*COS(RADIANS(K874))</f>
        <v>-1.7327832902746305</v>
      </c>
      <c r="P874" s="5">
        <v>4.9273470664675845</v>
      </c>
      <c r="Q874" s="5">
        <v>-0.64572932799365179</v>
      </c>
      <c r="R874" s="6">
        <f>P874/Q874</f>
        <v>-7.6306694660708141</v>
      </c>
    </row>
    <row r="875" spans="1:18" x14ac:dyDescent="0.35">
      <c r="A875" s="9">
        <v>2066</v>
      </c>
      <c r="B875" s="5">
        <v>0.75</v>
      </c>
      <c r="C875" s="5">
        <v>6000000</v>
      </c>
      <c r="D875" s="5">
        <v>0</v>
      </c>
      <c r="E875" s="5">
        <v>0</v>
      </c>
      <c r="F875" s="5">
        <v>0.15</v>
      </c>
      <c r="G875" s="12">
        <f>(C875*$U$4)/($U$5*$U$3)</f>
        <v>88.16326530612244</v>
      </c>
      <c r="H875" s="11">
        <f>G875*COS(RADIANS(D875))</f>
        <v>88.16326530612244</v>
      </c>
      <c r="I875" s="11">
        <f>G875*SIN(RADIANS(D875))</f>
        <v>0</v>
      </c>
      <c r="J875" s="20">
        <v>0.27929999999999999</v>
      </c>
      <c r="K875" s="12">
        <v>0</v>
      </c>
      <c r="L875" s="12">
        <f>-(F875*G875*$U$3)/J875</f>
        <v>-47.348692430785412</v>
      </c>
      <c r="M875" s="11">
        <f>ABS(L875/$U$6)</f>
        <v>0.13804283507517612</v>
      </c>
      <c r="N875" s="12">
        <f>L875*SIN(RADIANS(K875))</f>
        <v>0</v>
      </c>
      <c r="O875" s="12">
        <f>L875*COS(RADIANS(K875))</f>
        <v>-47.348692430785412</v>
      </c>
      <c r="P875" s="5">
        <v>7.4074302565136874</v>
      </c>
      <c r="Q875" s="5">
        <v>-0.17150312081296859</v>
      </c>
      <c r="R875" s="6">
        <f>P875/Q875</f>
        <v>-43.191227199835062</v>
      </c>
    </row>
    <row r="876" spans="1:18" x14ac:dyDescent="0.35">
      <c r="A876" s="9">
        <v>876</v>
      </c>
      <c r="B876" s="5">
        <v>0.1</v>
      </c>
      <c r="C876" s="5">
        <v>2000000</v>
      </c>
      <c r="D876" s="5">
        <v>0</v>
      </c>
      <c r="E876" s="5">
        <v>0</v>
      </c>
      <c r="F876" s="5">
        <v>1.4999999999999999E-2</v>
      </c>
      <c r="G876" s="12">
        <f>(C876*$U$4)/($U$5*$U$3)</f>
        <v>29.387755102040813</v>
      </c>
      <c r="H876" s="11">
        <f>G876*COS(RADIANS(D876))</f>
        <v>29.387755102040813</v>
      </c>
      <c r="I876" s="11">
        <f>G876*SIN(RADIANS(D876))</f>
        <v>0</v>
      </c>
      <c r="J876" s="11">
        <v>0.16569999999999999</v>
      </c>
      <c r="K876" s="12">
        <v>0</v>
      </c>
      <c r="L876" s="12">
        <f>-(F876*G876*$U$3)/J876</f>
        <v>-2.6603278607761753</v>
      </c>
      <c r="M876" s="11">
        <f>ABS(L876/$U$6)</f>
        <v>7.7560579031375372E-3</v>
      </c>
      <c r="N876" s="12">
        <f>L876*SIN(RADIANS(K876))</f>
        <v>0</v>
      </c>
      <c r="O876" s="12">
        <f>L876*COS(RADIANS(K876))</f>
        <v>-2.6603278607761753</v>
      </c>
      <c r="P876" s="5">
        <v>1.0646873266726311</v>
      </c>
      <c r="Q876" s="5">
        <v>0.2327517190930295</v>
      </c>
      <c r="R876" s="6">
        <f>P876/Q876</f>
        <v>4.5743478536761391</v>
      </c>
    </row>
    <row r="877" spans="1:18" x14ac:dyDescent="0.35">
      <c r="A877" s="9">
        <v>877</v>
      </c>
      <c r="B877" s="5">
        <v>1</v>
      </c>
      <c r="C877" s="5">
        <v>6000000</v>
      </c>
      <c r="D877" s="5">
        <v>10</v>
      </c>
      <c r="E877" s="5">
        <v>0.375</v>
      </c>
      <c r="F877" s="5">
        <v>0.05</v>
      </c>
      <c r="G877" s="12">
        <f>(C877*$U$4)/($U$5*$U$3)</f>
        <v>88.16326530612244</v>
      </c>
      <c r="H877" s="11">
        <f>G877*COS(RADIANS(D877))</f>
        <v>86.823867204341596</v>
      </c>
      <c r="I877" s="11">
        <f>G877*SIN(RADIANS(D877))</f>
        <v>15.309390357574264</v>
      </c>
      <c r="J877" s="12">
        <v>0.33379999999999999</v>
      </c>
      <c r="K877" s="11">
        <v>49</v>
      </c>
      <c r="L877" s="12">
        <f>-(F877*G877*$U$3)/J877</f>
        <v>-13.206001393966813</v>
      </c>
      <c r="M877" s="11">
        <f>ABS(L877/$U$6)</f>
        <v>3.8501461789990712E-2</v>
      </c>
      <c r="N877" s="12">
        <f>L877*SIN(RADIANS(K877))</f>
        <v>-9.9666957684620368</v>
      </c>
      <c r="O877" s="12">
        <f>L877*COS(RADIANS(K877))</f>
        <v>-8.6639164513731526</v>
      </c>
      <c r="P877" s="5">
        <v>5.1139337007371903</v>
      </c>
      <c r="Q877" s="5">
        <v>7.8847973434347393E-2</v>
      </c>
      <c r="R877" s="6">
        <f>P877/Q877</f>
        <v>64.858150158992956</v>
      </c>
    </row>
    <row r="878" spans="1:18" x14ac:dyDescent="0.35">
      <c r="A878" s="9">
        <v>878</v>
      </c>
      <c r="B878" s="5">
        <v>1</v>
      </c>
      <c r="C878" s="5">
        <v>4000000</v>
      </c>
      <c r="D878" s="5">
        <v>0</v>
      </c>
      <c r="E878" s="5">
        <v>0.375</v>
      </c>
      <c r="F878" s="5">
        <v>7.4999999999999997E-2</v>
      </c>
      <c r="G878" s="12">
        <f>(C878*$U$4)/($U$5*$U$3)</f>
        <v>58.775510204081627</v>
      </c>
      <c r="H878" s="11">
        <f>G878*COS(RADIANS(D878))</f>
        <v>58.775510204081627</v>
      </c>
      <c r="I878" s="11">
        <f>G878*SIN(RADIANS(D878))</f>
        <v>0</v>
      </c>
      <c r="J878" s="12">
        <v>0.33379999999999999</v>
      </c>
      <c r="K878" s="11">
        <v>49</v>
      </c>
      <c r="L878" s="12">
        <f>-(F878*G878*$U$3)/J878</f>
        <v>-13.206001393966813</v>
      </c>
      <c r="M878" s="11">
        <f>ABS(L878/$U$6)</f>
        <v>3.8501461789990712E-2</v>
      </c>
      <c r="N878" s="12">
        <f>L878*SIN(RADIANS(K878))</f>
        <v>-9.9666957684620368</v>
      </c>
      <c r="O878" s="12">
        <f>L878*COS(RADIANS(K878))</f>
        <v>-8.6639164513731526</v>
      </c>
      <c r="P878" s="5">
        <v>5.354678177454594</v>
      </c>
      <c r="Q878" s="5">
        <v>-0.76701372980893123</v>
      </c>
      <c r="R878" s="6">
        <f>P878/Q878</f>
        <v>-6.9812025122268455</v>
      </c>
    </row>
    <row r="879" spans="1:18" x14ac:dyDescent="0.35">
      <c r="A879" s="9">
        <v>879</v>
      </c>
      <c r="B879" s="5">
        <v>0.25</v>
      </c>
      <c r="C879" s="5">
        <v>4000000</v>
      </c>
      <c r="D879" s="5">
        <v>20</v>
      </c>
      <c r="E879" s="5">
        <v>0.375</v>
      </c>
      <c r="F879" s="5">
        <v>1.4999999999999999E-2</v>
      </c>
      <c r="G879" s="12">
        <f>(C879*$U$4)/($U$5*$U$3)</f>
        <v>58.775510204081627</v>
      </c>
      <c r="H879" s="11">
        <f>G879*COS(RADIANS(D879))</f>
        <v>55.230913221702366</v>
      </c>
      <c r="I879" s="11">
        <f>G879*SIN(RADIANS(D879))</f>
        <v>20.102408424039304</v>
      </c>
      <c r="J879" s="11">
        <v>0.1976</v>
      </c>
      <c r="K879" s="12">
        <v>78</v>
      </c>
      <c r="L879" s="12">
        <f>-(F879*G879*$U$3)/J879</f>
        <v>-4.4617037098240102</v>
      </c>
      <c r="M879" s="11">
        <f>ABS(L879/$U$6)</f>
        <v>1.3007882535930059E-2</v>
      </c>
      <c r="N879" s="12">
        <f>L879*SIN(RADIANS(K879))</f>
        <v>-4.3642047789494747</v>
      </c>
      <c r="O879" s="12">
        <f>L879*COS(RADIANS(K879))</f>
        <v>-0.92764036223738</v>
      </c>
      <c r="P879" s="5">
        <v>2.3935311894569398</v>
      </c>
      <c r="Q879" s="5">
        <v>0.75922502690775906</v>
      </c>
      <c r="R879" s="6">
        <f>P879/Q879</f>
        <v>3.1525978525833533</v>
      </c>
    </row>
    <row r="880" spans="1:18" x14ac:dyDescent="0.35">
      <c r="A880" s="9">
        <v>880</v>
      </c>
      <c r="B880" s="5">
        <v>1</v>
      </c>
      <c r="C880" s="5">
        <v>6000000</v>
      </c>
      <c r="D880" s="5">
        <v>20</v>
      </c>
      <c r="E880" s="5">
        <v>0</v>
      </c>
      <c r="F880" s="5">
        <v>0.1</v>
      </c>
      <c r="G880" s="12">
        <f>(C880*$U$4)/($U$5*$U$3)</f>
        <v>88.16326530612244</v>
      </c>
      <c r="H880" s="11">
        <f>G880*COS(RADIANS(D880))</f>
        <v>82.846369832553549</v>
      </c>
      <c r="I880" s="11">
        <f>G880*SIN(RADIANS(D880))</f>
        <v>30.153612636058952</v>
      </c>
      <c r="J880" s="11">
        <v>0.33379999999999999</v>
      </c>
      <c r="K880" s="12">
        <v>0</v>
      </c>
      <c r="L880" s="12">
        <f>-(F880*G880*$U$3)/J880</f>
        <v>-26.412002787933627</v>
      </c>
      <c r="M880" s="11">
        <f>ABS(L880/$U$6)</f>
        <v>7.7002923579981425E-2</v>
      </c>
      <c r="N880" s="12">
        <f>L880*SIN(RADIANS(K880))</f>
        <v>0</v>
      </c>
      <c r="O880" s="12">
        <f>L880*COS(RADIANS(K880))</f>
        <v>-26.412002787933627</v>
      </c>
      <c r="P880" s="5">
        <v>0.99339595522060653</v>
      </c>
      <c r="Q880" s="5">
        <v>1.7337576642472223</v>
      </c>
      <c r="R880" s="6">
        <f>P880/Q880</f>
        <v>0.57297278374364258</v>
      </c>
    </row>
    <row r="881" spans="1:18" x14ac:dyDescent="0.35">
      <c r="A881" s="9">
        <v>881</v>
      </c>
      <c r="B881" s="5">
        <v>0.75</v>
      </c>
      <c r="C881" s="5">
        <v>2000000</v>
      </c>
      <c r="D881" s="5">
        <v>0</v>
      </c>
      <c r="E881" s="5">
        <v>0</v>
      </c>
      <c r="F881" s="5">
        <v>0</v>
      </c>
      <c r="G881" s="12">
        <f>(C881*$U$4)/($U$5*$U$3)</f>
        <v>29.387755102040813</v>
      </c>
      <c r="H881" s="11">
        <f>G881*COS(RADIANS(D881))</f>
        <v>29.387755102040813</v>
      </c>
      <c r="I881" s="11">
        <f>G881*SIN(RADIANS(D881))</f>
        <v>0</v>
      </c>
      <c r="J881" s="11">
        <v>0.27929999999999999</v>
      </c>
      <c r="K881" s="12">
        <v>0</v>
      </c>
      <c r="L881" s="12">
        <f>-(F881*G881*$U$3)/J881</f>
        <v>0</v>
      </c>
      <c r="M881" s="11">
        <f>ABS(L881/$U$6)</f>
        <v>0</v>
      </c>
      <c r="N881" s="12">
        <f>L881*SIN(RADIANS(K881))</f>
        <v>0</v>
      </c>
      <c r="O881" s="12">
        <f>L881*COS(RADIANS(K881))</f>
        <v>0</v>
      </c>
      <c r="P881" s="5">
        <v>4.2557284292180411</v>
      </c>
      <c r="Q881" s="5">
        <v>0.98514918061860501</v>
      </c>
      <c r="R881" s="6">
        <f>P881/Q881</f>
        <v>4.3198822198133895</v>
      </c>
    </row>
    <row r="882" spans="1:18" x14ac:dyDescent="0.35">
      <c r="A882" s="9">
        <v>882</v>
      </c>
      <c r="B882" s="5">
        <v>1</v>
      </c>
      <c r="C882" s="5">
        <v>2000000</v>
      </c>
      <c r="D882" s="5">
        <v>5</v>
      </c>
      <c r="E882" s="5">
        <v>0.25</v>
      </c>
      <c r="F882" s="5">
        <v>3.5000000000000003E-2</v>
      </c>
      <c r="G882" s="12">
        <f>(C882*$U$4)/($U$5*$U$3)</f>
        <v>29.387755102040813</v>
      </c>
      <c r="H882" s="11">
        <f>G882*COS(RADIANS(D882))</f>
        <v>29.275925821471702</v>
      </c>
      <c r="I882" s="11">
        <f>G882*SIN(RADIANS(D882))</f>
        <v>2.5613116236046478</v>
      </c>
      <c r="J882" s="13">
        <v>0.33379999999999999</v>
      </c>
      <c r="K882" s="12">
        <v>30</v>
      </c>
      <c r="L882" s="12">
        <f>-(F882*G882*$U$3)/J882</f>
        <v>-3.0814003252589233</v>
      </c>
      <c r="M882" s="11">
        <f>ABS(L882/$U$6)</f>
        <v>8.983674417664499E-3</v>
      </c>
      <c r="N882" s="12">
        <f>L882*SIN(RADIANS(K882))</f>
        <v>-1.5407001626294614</v>
      </c>
      <c r="O882" s="12">
        <f>L882*COS(RADIANS(K882))</f>
        <v>-2.6685709609038599</v>
      </c>
      <c r="P882" s="5">
        <v>3.629164313900842</v>
      </c>
      <c r="Q882" s="5">
        <v>0.50161044726966486</v>
      </c>
      <c r="R882" s="6">
        <f>P882/Q882</f>
        <v>7.2350253740823902</v>
      </c>
    </row>
    <row r="883" spans="1:18" x14ac:dyDescent="0.35">
      <c r="A883" s="9">
        <v>883</v>
      </c>
      <c r="B883" s="5">
        <v>1</v>
      </c>
      <c r="C883" s="5">
        <v>2000000</v>
      </c>
      <c r="D883" s="5">
        <v>5</v>
      </c>
      <c r="E883" s="5">
        <v>0.125</v>
      </c>
      <c r="F883" s="5">
        <v>0.15</v>
      </c>
      <c r="G883" s="12">
        <f>(C883*$U$4)/($U$5*$U$3)</f>
        <v>29.387755102040813</v>
      </c>
      <c r="H883" s="11">
        <f>G883*COS(RADIANS(D883))</f>
        <v>29.275925821471702</v>
      </c>
      <c r="I883" s="11">
        <f>G883*SIN(RADIANS(D883))</f>
        <v>2.5613116236046478</v>
      </c>
      <c r="J883" s="11">
        <v>0.33379999999999999</v>
      </c>
      <c r="K883" s="12">
        <v>14</v>
      </c>
      <c r="L883" s="12">
        <f>-(F883*G883*$U$3)/J883</f>
        <v>-13.206001393966813</v>
      </c>
      <c r="M883" s="11">
        <f>ABS(L883/$U$6)</f>
        <v>3.8501461789990712E-2</v>
      </c>
      <c r="N883" s="12">
        <f>L883*SIN(RADIANS(K883))</f>
        <v>-3.1948208905203059</v>
      </c>
      <c r="O883" s="12">
        <f>L883*COS(RADIANS(K883))</f>
        <v>-12.81372671376085</v>
      </c>
      <c r="P883" s="5">
        <v>4.4162150488639167</v>
      </c>
      <c r="Q883" s="5">
        <v>4.7700689278123667E-2</v>
      </c>
      <c r="R883" s="6">
        <f>P883/Q883</f>
        <v>92.581786881835825</v>
      </c>
    </row>
    <row r="884" spans="1:18" x14ac:dyDescent="0.35">
      <c r="A884" s="9">
        <v>884</v>
      </c>
      <c r="B884" s="5">
        <v>0.1</v>
      </c>
      <c r="C884" s="5">
        <v>6000000</v>
      </c>
      <c r="D884" s="5">
        <v>10</v>
      </c>
      <c r="E884" s="5">
        <v>0</v>
      </c>
      <c r="F884" s="5">
        <v>3.5000000000000003E-2</v>
      </c>
      <c r="G884" s="12">
        <f>(C884*$U$4)/($U$5*$U$3)</f>
        <v>88.16326530612244</v>
      </c>
      <c r="H884" s="11">
        <f>G884*COS(RADIANS(D884))</f>
        <v>86.823867204341596</v>
      </c>
      <c r="I884" s="11">
        <f>G884*SIN(RADIANS(D884))</f>
        <v>15.309390357574264</v>
      </c>
      <c r="J884" s="11">
        <v>0.16569999999999999</v>
      </c>
      <c r="K884" s="12">
        <v>0</v>
      </c>
      <c r="L884" s="12">
        <f>-(F884*G884*$U$3)/J884</f>
        <v>-18.622295025433228</v>
      </c>
      <c r="M884" s="11">
        <f>ABS(L884/$U$6)</f>
        <v>5.4292405321962764E-2</v>
      </c>
      <c r="N884" s="12">
        <f>L884*SIN(RADIANS(K884))</f>
        <v>0</v>
      </c>
      <c r="O884" s="12">
        <f>L884*COS(RADIANS(K884))</f>
        <v>-18.622295025433228</v>
      </c>
      <c r="P884" s="5">
        <v>1.3632378385422959</v>
      </c>
      <c r="Q884" s="5">
        <v>0.41762245330832098</v>
      </c>
      <c r="R884" s="6">
        <f>P884/Q884</f>
        <v>3.2642829132940534</v>
      </c>
    </row>
    <row r="885" spans="1:18" x14ac:dyDescent="0.35">
      <c r="A885" s="9">
        <v>885</v>
      </c>
      <c r="B885" s="5">
        <v>0.1</v>
      </c>
      <c r="C885" s="5">
        <v>2000000</v>
      </c>
      <c r="D885" s="5">
        <v>5</v>
      </c>
      <c r="E885" s="5">
        <v>0.125</v>
      </c>
      <c r="F885" s="5">
        <v>0.1</v>
      </c>
      <c r="G885" s="12">
        <f>(C885*$U$4)/($U$5*$U$3)</f>
        <v>29.387755102040813</v>
      </c>
      <c r="H885" s="11">
        <f>G885*COS(RADIANS(D885))</f>
        <v>29.275925821471702</v>
      </c>
      <c r="I885" s="11">
        <f>G885*SIN(RADIANS(D885))</f>
        <v>2.5613116236046478</v>
      </c>
      <c r="J885" s="12">
        <v>0.1658</v>
      </c>
      <c r="K885" s="12">
        <v>69</v>
      </c>
      <c r="L885" s="12">
        <f>-(F885*G885*$U$3)/J885</f>
        <v>-17.724822136333422</v>
      </c>
      <c r="M885" s="11">
        <f>ABS(L885/$U$6)</f>
        <v>5.1675866286686363E-2</v>
      </c>
      <c r="N885" s="12">
        <f>L885*SIN(RADIANS(K885))</f>
        <v>-16.547547009625198</v>
      </c>
      <c r="O885" s="12">
        <f>L885*COS(RADIANS(K885))</f>
        <v>-6.3520081650529594</v>
      </c>
      <c r="P885" s="5">
        <v>1.5312828744728364</v>
      </c>
      <c r="Q885" s="5">
        <v>0.33597053137911786</v>
      </c>
      <c r="R885" s="6">
        <f>P885/Q885</f>
        <v>4.557789244750448</v>
      </c>
    </row>
    <row r="886" spans="1:18" x14ac:dyDescent="0.35">
      <c r="A886" s="9">
        <v>886</v>
      </c>
      <c r="B886" s="5">
        <v>0.5</v>
      </c>
      <c r="C886" s="5">
        <v>6000000</v>
      </c>
      <c r="D886" s="5">
        <v>15</v>
      </c>
      <c r="E886" s="5">
        <v>0.25</v>
      </c>
      <c r="F886" s="5">
        <v>7.4999999999999997E-2</v>
      </c>
      <c r="G886" s="12">
        <f>(C886*$U$4)/($U$5*$U$3)</f>
        <v>88.16326530612244</v>
      </c>
      <c r="H886" s="11">
        <f>G886*COS(RADIANS(D886))</f>
        <v>85.159174889158663</v>
      </c>
      <c r="I886" s="11">
        <f>G886*SIN(RADIANS(D886))</f>
        <v>22.818332139650806</v>
      </c>
      <c r="J886" s="11">
        <v>0.23580000000000001</v>
      </c>
      <c r="K886" s="11">
        <v>49</v>
      </c>
      <c r="L886" s="12">
        <f>-(F886*G886*$U$3)/J886</f>
        <v>-28.041751051565662</v>
      </c>
      <c r="M886" s="11">
        <f>ABS(L886/$U$6)</f>
        <v>8.175437624363166E-2</v>
      </c>
      <c r="N886" s="12">
        <f>L886*SIN(RADIANS(K886))</f>
        <v>-21.163378164838598</v>
      </c>
      <c r="O886" s="12">
        <f>L886*COS(RADIANS(K886))</f>
        <v>-18.397043966083704</v>
      </c>
      <c r="P886" s="5">
        <v>4.4620536660567236</v>
      </c>
      <c r="Q886" s="5">
        <v>0.5798291997763253</v>
      </c>
      <c r="R886" s="6">
        <f>P886/Q886</f>
        <v>7.6954621598532871</v>
      </c>
    </row>
    <row r="887" spans="1:18" x14ac:dyDescent="0.35">
      <c r="A887" s="9">
        <v>887</v>
      </c>
      <c r="B887" s="5">
        <v>0.75</v>
      </c>
      <c r="C887" s="5">
        <v>4000000</v>
      </c>
      <c r="D887" s="5">
        <v>20</v>
      </c>
      <c r="E887" s="5">
        <v>0.25</v>
      </c>
      <c r="F887" s="5">
        <v>1.4999999999999999E-2</v>
      </c>
      <c r="G887" s="12">
        <f>(C887*$U$4)/($U$5*$U$3)</f>
        <v>58.775510204081627</v>
      </c>
      <c r="H887" s="11">
        <f>G887*COS(RADIANS(D887))</f>
        <v>55.230913221702366</v>
      </c>
      <c r="I887" s="11">
        <f>G887*SIN(RADIANS(D887))</f>
        <v>20.102408424039304</v>
      </c>
      <c r="J887" s="12">
        <v>0.28370000000000001</v>
      </c>
      <c r="K887" s="11">
        <v>38</v>
      </c>
      <c r="L887" s="12">
        <f>-(F887*G887*$U$3)/J887</f>
        <v>-3.1076230280621231</v>
      </c>
      <c r="M887" s="11">
        <f>ABS(L887/$U$6)</f>
        <v>9.0601254462452565E-3</v>
      </c>
      <c r="N887" s="12">
        <f>L887*SIN(RADIANS(K887))</f>
        <v>-1.9132437782127163</v>
      </c>
      <c r="O887" s="12">
        <f>L887*COS(RADIANS(K887))</f>
        <v>-2.4488403642688366</v>
      </c>
      <c r="P887" s="5">
        <v>4.4451055527022394</v>
      </c>
      <c r="Q887" s="5">
        <v>0.86955934581234129</v>
      </c>
      <c r="R887" s="6">
        <f>P887/Q887</f>
        <v>5.1119059028106095</v>
      </c>
    </row>
    <row r="888" spans="1:18" x14ac:dyDescent="0.35">
      <c r="A888" s="9">
        <v>888</v>
      </c>
      <c r="B888" s="5">
        <v>1</v>
      </c>
      <c r="C888" s="5">
        <v>4000000</v>
      </c>
      <c r="D888" s="5">
        <v>10</v>
      </c>
      <c r="E888" s="5">
        <v>0.375</v>
      </c>
      <c r="F888" s="5">
        <v>7.4999999999999997E-2</v>
      </c>
      <c r="G888" s="12">
        <f>(C888*$U$4)/($U$5*$U$3)</f>
        <v>58.775510204081627</v>
      </c>
      <c r="H888" s="11">
        <f>G888*COS(RADIANS(D888))</f>
        <v>57.882578136227728</v>
      </c>
      <c r="I888" s="11">
        <f>G888*SIN(RADIANS(D888))</f>
        <v>10.206260238382843</v>
      </c>
      <c r="J888" s="12">
        <v>0.33379999999999999</v>
      </c>
      <c r="K888" s="11">
        <v>49</v>
      </c>
      <c r="L888" s="12">
        <f>-(F888*G888*$U$3)/J888</f>
        <v>-13.206001393966813</v>
      </c>
      <c r="M888" s="11">
        <f>ABS(L888/$U$6)</f>
        <v>3.8501461789990712E-2</v>
      </c>
      <c r="N888" s="12">
        <f>L888*SIN(RADIANS(K888))</f>
        <v>-9.9666957684620368</v>
      </c>
      <c r="O888" s="12">
        <f>L888*COS(RADIANS(K888))</f>
        <v>-8.6639164513731526</v>
      </c>
      <c r="P888" s="5">
        <v>5.8049579910859368</v>
      </c>
      <c r="Q888" s="5">
        <v>-6.3993469737706962E-2</v>
      </c>
      <c r="R888" s="6">
        <f>P888/Q888</f>
        <v>-90.711724413115746</v>
      </c>
    </row>
    <row r="889" spans="1:18" x14ac:dyDescent="0.35">
      <c r="A889" s="9">
        <v>889</v>
      </c>
      <c r="B889" s="5">
        <v>0.1</v>
      </c>
      <c r="C889" s="5">
        <v>2000000</v>
      </c>
      <c r="D889" s="5">
        <v>5</v>
      </c>
      <c r="E889" s="5">
        <v>0.125</v>
      </c>
      <c r="F889" s="5">
        <v>3.5000000000000003E-2</v>
      </c>
      <c r="G889" s="12">
        <f>(C889*$U$4)/($U$5*$U$3)</f>
        <v>29.387755102040813</v>
      </c>
      <c r="H889" s="11">
        <f>G889*COS(RADIANS(D889))</f>
        <v>29.275925821471702</v>
      </c>
      <c r="I889" s="11">
        <f>G889*SIN(RADIANS(D889))</f>
        <v>2.5613116236046478</v>
      </c>
      <c r="J889" s="12">
        <v>0.1658</v>
      </c>
      <c r="K889" s="12">
        <v>69</v>
      </c>
      <c r="L889" s="12">
        <f>-(F889*G889*$U$3)/J889</f>
        <v>-6.2036877477166978</v>
      </c>
      <c r="M889" s="11">
        <f>ABS(L889/$U$6)</f>
        <v>1.8086553200340225E-2</v>
      </c>
      <c r="N889" s="12">
        <f>L889*SIN(RADIANS(K889))</f>
        <v>-5.7916414533688201</v>
      </c>
      <c r="O889" s="12">
        <f>L889*COS(RADIANS(K889))</f>
        <v>-2.2232028577685359</v>
      </c>
      <c r="P889" s="5">
        <v>1.3816648502363575</v>
      </c>
      <c r="Q889" s="5">
        <v>0.33630166394898198</v>
      </c>
      <c r="R889" s="6">
        <f>P889/Q889</f>
        <v>4.1084092002766912</v>
      </c>
    </row>
    <row r="890" spans="1:18" x14ac:dyDescent="0.35">
      <c r="A890" s="9">
        <v>890</v>
      </c>
      <c r="B890" s="5">
        <v>0.1</v>
      </c>
      <c r="C890" s="5">
        <v>4000000</v>
      </c>
      <c r="D890" s="5">
        <v>15</v>
      </c>
      <c r="E890" s="5">
        <v>0</v>
      </c>
      <c r="F890" s="5">
        <v>3.5000000000000003E-2</v>
      </c>
      <c r="G890" s="12">
        <f>(C890*$U$4)/($U$5*$U$3)</f>
        <v>58.775510204081627</v>
      </c>
      <c r="H890" s="11">
        <f>G890*COS(RADIANS(D890))</f>
        <v>56.772783259439109</v>
      </c>
      <c r="I890" s="11">
        <f>G890*SIN(RADIANS(D890))</f>
        <v>15.212221426433871</v>
      </c>
      <c r="J890" s="11">
        <v>0.16569999999999999</v>
      </c>
      <c r="K890" s="12">
        <v>0</v>
      </c>
      <c r="L890" s="12">
        <f>-(F890*G890*$U$3)/J890</f>
        <v>-12.414863350288817</v>
      </c>
      <c r="M890" s="11">
        <f>ABS(L890/$U$6)</f>
        <v>3.6194936881308502E-2</v>
      </c>
      <c r="N890" s="12">
        <f>L890*SIN(RADIANS(K890))</f>
        <v>0</v>
      </c>
      <c r="O890" s="12">
        <f>L890*COS(RADIANS(K890))</f>
        <v>-12.414863350288817</v>
      </c>
      <c r="P890" s="5">
        <v>1.4126294010812879</v>
      </c>
      <c r="Q890" s="5">
        <v>0.527006872360678</v>
      </c>
      <c r="R890" s="6">
        <f>P890/Q890</f>
        <v>2.6804762426598852</v>
      </c>
    </row>
    <row r="891" spans="1:18" x14ac:dyDescent="0.35">
      <c r="A891" s="9">
        <v>891</v>
      </c>
      <c r="B891" s="5">
        <v>0.75</v>
      </c>
      <c r="C891" s="5">
        <v>2000000</v>
      </c>
      <c r="D891" s="5">
        <v>5</v>
      </c>
      <c r="E891" s="5">
        <v>0.125</v>
      </c>
      <c r="F891" s="5">
        <v>0.1</v>
      </c>
      <c r="G891" s="12">
        <f>(C891*$U$4)/($U$5*$U$3)</f>
        <v>29.387755102040813</v>
      </c>
      <c r="H891" s="11">
        <f>G891*COS(RADIANS(D891))</f>
        <v>29.275925821471702</v>
      </c>
      <c r="I891" s="11">
        <f>G891*SIN(RADIANS(D891))</f>
        <v>2.5613116236046478</v>
      </c>
      <c r="J891" s="12">
        <v>0.2802</v>
      </c>
      <c r="K891" s="12">
        <v>19</v>
      </c>
      <c r="L891" s="12">
        <f>-(F891*G891*$U$3)/J891</f>
        <v>-10.488135296945329</v>
      </c>
      <c r="M891" s="11">
        <f>ABS(L891/$U$6)</f>
        <v>3.0577653926954312E-2</v>
      </c>
      <c r="N891" s="12">
        <f>L891*SIN(RADIANS(K891))</f>
        <v>-3.414602852323454</v>
      </c>
      <c r="O891" s="12">
        <f>L891*COS(RADIANS(K891))</f>
        <v>-9.9167267466606646</v>
      </c>
      <c r="P891" s="5">
        <v>3.5768360669876671</v>
      </c>
      <c r="Q891" s="5">
        <v>0.37439929491459284</v>
      </c>
      <c r="R891" s="6">
        <f>P891/Q891</f>
        <v>9.5535331277896969</v>
      </c>
    </row>
    <row r="892" spans="1:18" x14ac:dyDescent="0.35">
      <c r="A892" s="9">
        <v>892</v>
      </c>
      <c r="B892" s="5">
        <v>1</v>
      </c>
      <c r="C892" s="5">
        <v>6000000</v>
      </c>
      <c r="D892" s="5">
        <v>30</v>
      </c>
      <c r="E892" s="5">
        <v>0</v>
      </c>
      <c r="F892" s="5">
        <v>0.1</v>
      </c>
      <c r="G892" s="12">
        <f>(C892*$U$4)/($U$5*$U$3)</f>
        <v>88.16326530612244</v>
      </c>
      <c r="H892" s="11">
        <f>G892*COS(RADIANS(D892))</f>
        <v>76.351627435689281</v>
      </c>
      <c r="I892" s="11">
        <f>G892*SIN(RADIANS(D892))</f>
        <v>44.081632653061213</v>
      </c>
      <c r="J892" s="11">
        <v>0.33379999999999999</v>
      </c>
      <c r="K892" s="12">
        <v>0</v>
      </c>
      <c r="L892" s="12">
        <f>-(F892*G892*$U$3)/J892</f>
        <v>-26.412002787933627</v>
      </c>
      <c r="M892" s="11">
        <f>ABS(L892/$U$6)</f>
        <v>7.7002923579981425E-2</v>
      </c>
      <c r="N892" s="12">
        <f>L892*SIN(RADIANS(K892))</f>
        <v>0</v>
      </c>
      <c r="O892" s="12">
        <f>L892*COS(RADIANS(K892))</f>
        <v>-26.412002787933627</v>
      </c>
      <c r="P892" s="5">
        <v>0.94817316404407026</v>
      </c>
      <c r="Q892" s="5">
        <v>1.6458054567468643</v>
      </c>
      <c r="R892" s="6">
        <f>P892/Q892</f>
        <v>0.57611497164327696</v>
      </c>
    </row>
    <row r="893" spans="1:18" x14ac:dyDescent="0.35">
      <c r="A893" s="9">
        <v>893</v>
      </c>
      <c r="B893" s="5">
        <v>0.75</v>
      </c>
      <c r="C893" s="5">
        <v>4000000</v>
      </c>
      <c r="D893" s="5">
        <v>10</v>
      </c>
      <c r="E893" s="5">
        <v>0.375</v>
      </c>
      <c r="F893" s="5">
        <v>7.4999999999999997E-2</v>
      </c>
      <c r="G893" s="12">
        <f>(C893*$U$4)/($U$5*$U$3)</f>
        <v>58.775510204081627</v>
      </c>
      <c r="H893" s="11">
        <f>G893*COS(RADIANS(D893))</f>
        <v>57.882578136227728</v>
      </c>
      <c r="I893" s="11">
        <f>G893*SIN(RADIANS(D893))</f>
        <v>10.206260238382843</v>
      </c>
      <c r="J893" s="11">
        <v>0.29299999999999998</v>
      </c>
      <c r="K893" s="12">
        <v>57</v>
      </c>
      <c r="L893" s="12">
        <f>-(F893*G893*$U$3)/J893</f>
        <v>-15.044925820157413</v>
      </c>
      <c r="M893" s="11">
        <f>ABS(L893/$U$6)</f>
        <v>4.3862757493170298E-2</v>
      </c>
      <c r="N893" s="12">
        <f>L893*SIN(RADIANS(K893))</f>
        <v>-12.617736482288192</v>
      </c>
      <c r="O893" s="12">
        <f>L893*COS(RADIANS(K893))</f>
        <v>-8.1940538805631977</v>
      </c>
      <c r="P893" s="5">
        <v>5.0596795256222871</v>
      </c>
      <c r="Q893" s="5">
        <v>-2.5975817074054004E-2</v>
      </c>
      <c r="R893" s="6">
        <f>P893/Q893</f>
        <v>-194.78422993192996</v>
      </c>
    </row>
    <row r="894" spans="1:18" x14ac:dyDescent="0.35">
      <c r="A894" s="9">
        <v>537</v>
      </c>
      <c r="B894" s="5">
        <v>0.75</v>
      </c>
      <c r="C894" s="5">
        <v>6000000</v>
      </c>
      <c r="D894" s="5">
        <v>5</v>
      </c>
      <c r="E894" s="5">
        <v>0.125</v>
      </c>
      <c r="F894" s="5">
        <v>0.15</v>
      </c>
      <c r="G894" s="12">
        <f>(C894*$U$4)/($U$5*$U$3)</f>
        <v>88.16326530612244</v>
      </c>
      <c r="H894" s="11">
        <f>G894*COS(RADIANS(D894))</f>
        <v>87.827777464415107</v>
      </c>
      <c r="I894" s="11">
        <f>G894*SIN(RADIANS(D894))</f>
        <v>7.6839348708139434</v>
      </c>
      <c r="J894" s="12">
        <v>0.2802</v>
      </c>
      <c r="K894" s="19">
        <v>19</v>
      </c>
      <c r="L894" s="12">
        <f>-(F894*G894*$U$3)/J894</f>
        <v>-47.196608836253979</v>
      </c>
      <c r="M894" s="11">
        <f>ABS(L894/$U$6)</f>
        <v>0.1375994426712944</v>
      </c>
      <c r="N894" s="12">
        <f>L894*SIN(RADIANS(K894))</f>
        <v>-15.365712835455541</v>
      </c>
      <c r="O894" s="12">
        <f>L894*COS(RADIANS(K894))</f>
        <v>-44.625270359972994</v>
      </c>
      <c r="P894" s="5">
        <v>4.6882532034547317</v>
      </c>
      <c r="Q894" s="5">
        <v>-3.4881720570374301E-2</v>
      </c>
      <c r="R894" s="6">
        <f>P894/Q894</f>
        <v>-134.40429906535496</v>
      </c>
    </row>
    <row r="895" spans="1:18" x14ac:dyDescent="0.35">
      <c r="A895" s="9">
        <v>895</v>
      </c>
      <c r="B895" s="5">
        <v>1</v>
      </c>
      <c r="C895" s="5">
        <v>6000000</v>
      </c>
      <c r="D895" s="5">
        <v>10</v>
      </c>
      <c r="E895" s="5">
        <v>0.375</v>
      </c>
      <c r="F895" s="5">
        <v>3.5000000000000003E-2</v>
      </c>
      <c r="G895" s="12">
        <f>(C895*$U$4)/($U$5*$U$3)</f>
        <v>88.16326530612244</v>
      </c>
      <c r="H895" s="11">
        <f>G895*COS(RADIANS(D895))</f>
        <v>86.823867204341596</v>
      </c>
      <c r="I895" s="11">
        <f>G895*SIN(RADIANS(D895))</f>
        <v>15.309390357574264</v>
      </c>
      <c r="J895" s="12">
        <v>0.33379999999999999</v>
      </c>
      <c r="K895" s="11">
        <v>49</v>
      </c>
      <c r="L895" s="12">
        <f>-(F895*G895*$U$3)/J895</f>
        <v>-9.2442009757767707</v>
      </c>
      <c r="M895" s="11">
        <f>ABS(L895/$U$6)</f>
        <v>2.6951023252993502E-2</v>
      </c>
      <c r="N895" s="12">
        <f>L895*SIN(RADIANS(K895))</f>
        <v>-6.9766870379234263</v>
      </c>
      <c r="O895" s="12">
        <f>L895*COS(RADIANS(K895))</f>
        <v>-6.0647415159612077</v>
      </c>
      <c r="P895" s="5">
        <v>4.8209745067532799</v>
      </c>
      <c r="Q895" s="5">
        <v>0.14911709410413992</v>
      </c>
      <c r="R895" s="6">
        <f>P895/Q895</f>
        <v>32.330126440007092</v>
      </c>
    </row>
    <row r="896" spans="1:18" x14ac:dyDescent="0.35">
      <c r="A896" s="9">
        <v>1366</v>
      </c>
      <c r="B896" s="5">
        <v>0.75</v>
      </c>
      <c r="C896" s="5">
        <v>6000000</v>
      </c>
      <c r="D896" s="5">
        <v>30</v>
      </c>
      <c r="E896" s="5">
        <v>0.125</v>
      </c>
      <c r="F896" s="5">
        <v>0.15</v>
      </c>
      <c r="G896" s="12">
        <f>(C896*$U$4)/($U$5*$U$3)</f>
        <v>88.16326530612244</v>
      </c>
      <c r="H896" s="11">
        <f>G896*COS(RADIANS(D896))</f>
        <v>76.351627435689281</v>
      </c>
      <c r="I896" s="11">
        <f>G896*SIN(RADIANS(D896))</f>
        <v>44.081632653061213</v>
      </c>
      <c r="J896" s="12">
        <v>0.2802</v>
      </c>
      <c r="K896" s="12">
        <v>19</v>
      </c>
      <c r="L896" s="12">
        <f>-(F896*G896*$U$3)/J896</f>
        <v>-47.196608836253979</v>
      </c>
      <c r="M896" s="11">
        <f>ABS(L896/$U$6)</f>
        <v>0.1375994426712944</v>
      </c>
      <c r="N896" s="12">
        <f>L896*SIN(RADIANS(K896))</f>
        <v>-15.365712835455541</v>
      </c>
      <c r="O896" s="12">
        <f>L896*COS(RADIANS(K896))</f>
        <v>-44.625270359972994</v>
      </c>
      <c r="P896" s="5">
        <v>4.9487951817501079</v>
      </c>
      <c r="Q896" s="5">
        <v>1.2239324342358517</v>
      </c>
      <c r="R896" s="6">
        <f>P896/Q896</f>
        <v>4.0433565148878756</v>
      </c>
    </row>
    <row r="897" spans="1:18" x14ac:dyDescent="0.35">
      <c r="A897" s="9">
        <v>897</v>
      </c>
      <c r="B897" s="5">
        <v>0.1</v>
      </c>
      <c r="C897" s="5">
        <v>4000000</v>
      </c>
      <c r="D897" s="5">
        <v>15</v>
      </c>
      <c r="E897" s="5">
        <v>0.25</v>
      </c>
      <c r="F897" s="5">
        <v>1.4999999999999999E-2</v>
      </c>
      <c r="G897" s="12">
        <f>(C897*$U$4)/($U$5*$U$3)</f>
        <v>58.775510204081627</v>
      </c>
      <c r="H897" s="11">
        <f>G897*COS(RADIANS(D897))</f>
        <v>56.772783259439109</v>
      </c>
      <c r="I897" s="11">
        <f>G897*SIN(RADIANS(D897))</f>
        <v>15.212221426433871</v>
      </c>
      <c r="J897" s="11">
        <v>0.1661</v>
      </c>
      <c r="K897" s="12">
        <v>80</v>
      </c>
      <c r="L897" s="12">
        <f>-(F897*G897*$U$3)/J897</f>
        <v>-5.3078425831500571</v>
      </c>
      <c r="M897" s="11">
        <f>ABS(L897/$U$6)</f>
        <v>1.5474759717638651E-2</v>
      </c>
      <c r="N897" s="12">
        <f>L897*SIN(RADIANS(K897))</f>
        <v>-5.2272045276545214</v>
      </c>
      <c r="O897" s="12">
        <f>L897*COS(RADIANS(K897))</f>
        <v>-0.92169719190693999</v>
      </c>
      <c r="P897" s="5">
        <v>1.5097378536995874</v>
      </c>
      <c r="Q897" s="5">
        <v>0.61486762818592267</v>
      </c>
      <c r="R897" s="6">
        <f>P897/Q897</f>
        <v>2.4553867930140489</v>
      </c>
    </row>
    <row r="898" spans="1:18" x14ac:dyDescent="0.35">
      <c r="A898" s="9">
        <v>898</v>
      </c>
      <c r="B898" s="5">
        <v>0.5</v>
      </c>
      <c r="C898" s="5">
        <v>2000000</v>
      </c>
      <c r="D898" s="5">
        <v>30</v>
      </c>
      <c r="E898" s="5">
        <v>0.25</v>
      </c>
      <c r="F898" s="5">
        <v>0.15</v>
      </c>
      <c r="G898" s="12">
        <f>(C898*$U$4)/($U$5*$U$3)</f>
        <v>29.387755102040813</v>
      </c>
      <c r="H898" s="11">
        <f>G898*COS(RADIANS(D898))</f>
        <v>25.450542478563094</v>
      </c>
      <c r="I898" s="11">
        <f>G898*SIN(RADIANS(D898))</f>
        <v>14.693877551020405</v>
      </c>
      <c r="J898" s="11">
        <v>0.23580000000000001</v>
      </c>
      <c r="K898" s="11">
        <v>49</v>
      </c>
      <c r="L898" s="12">
        <f>-(F898*G898*$U$3)/J898</f>
        <v>-18.694500701043772</v>
      </c>
      <c r="M898" s="11">
        <f>ABS(L898/$U$6)</f>
        <v>5.4502917495754435E-2</v>
      </c>
      <c r="N898" s="12">
        <f>L898*SIN(RADIANS(K898))</f>
        <v>-14.108918776559062</v>
      </c>
      <c r="O898" s="12">
        <f>L898*COS(RADIANS(K898))</f>
        <v>-12.264695977389135</v>
      </c>
      <c r="P898" s="5">
        <v>6.3448192961284633</v>
      </c>
      <c r="Q898" s="5">
        <v>1.7300985603952763</v>
      </c>
      <c r="R898" s="6">
        <f>P898/Q898</f>
        <v>3.6673166728020741</v>
      </c>
    </row>
    <row r="899" spans="1:18" x14ac:dyDescent="0.35">
      <c r="A899" s="9">
        <v>899</v>
      </c>
      <c r="B899" s="5">
        <v>0.75</v>
      </c>
      <c r="C899" s="5">
        <v>4000000</v>
      </c>
      <c r="D899" s="5">
        <v>20</v>
      </c>
      <c r="E899" s="5">
        <v>0.125</v>
      </c>
      <c r="F899" s="5">
        <v>3.5000000000000003E-2</v>
      </c>
      <c r="G899" s="12">
        <f>(C899*$U$4)/($U$5*$U$3)</f>
        <v>58.775510204081627</v>
      </c>
      <c r="H899" s="11">
        <f>G899*COS(RADIANS(D899))</f>
        <v>55.230913221702366</v>
      </c>
      <c r="I899" s="11">
        <f>G899*SIN(RADIANS(D899))</f>
        <v>20.102408424039304</v>
      </c>
      <c r="J899" s="12">
        <v>0.2802</v>
      </c>
      <c r="K899" s="12">
        <v>19</v>
      </c>
      <c r="L899" s="12">
        <f>-(F899*G899*$U$3)/J899</f>
        <v>-7.3416947078617305</v>
      </c>
      <c r="M899" s="11">
        <f>ABS(L899/$U$6)</f>
        <v>2.1404357748868019E-2</v>
      </c>
      <c r="N899" s="12">
        <f>L899*SIN(RADIANS(K899))</f>
        <v>-2.3902219966264178</v>
      </c>
      <c r="O899" s="12">
        <f>L899*COS(RADIANS(K899))</f>
        <v>-6.9417087226624661</v>
      </c>
      <c r="P899" s="5">
        <v>2.3165433048348092</v>
      </c>
      <c r="Q899" s="5">
        <v>1.1736391261100174</v>
      </c>
      <c r="R899" s="6">
        <f>P899/Q899</f>
        <v>1.9738122675859526</v>
      </c>
    </row>
    <row r="900" spans="1:18" x14ac:dyDescent="0.35">
      <c r="A900" s="9">
        <v>900</v>
      </c>
      <c r="B900" s="5">
        <v>0.1</v>
      </c>
      <c r="C900" s="5">
        <v>2000000</v>
      </c>
      <c r="D900" s="5">
        <v>5</v>
      </c>
      <c r="E900" s="5">
        <v>0.125</v>
      </c>
      <c r="F900" s="5">
        <v>1.4999999999999999E-2</v>
      </c>
      <c r="G900" s="12">
        <f>(C900*$U$4)/($U$5*$U$3)</f>
        <v>29.387755102040813</v>
      </c>
      <c r="H900" s="11">
        <f>G900*COS(RADIANS(D900))</f>
        <v>29.275925821471702</v>
      </c>
      <c r="I900" s="11">
        <f>G900*SIN(RADIANS(D900))</f>
        <v>2.5613116236046478</v>
      </c>
      <c r="J900" s="12">
        <v>0.1658</v>
      </c>
      <c r="K900" s="12">
        <v>69</v>
      </c>
      <c r="L900" s="12">
        <f>-(F900*G900*$U$3)/J900</f>
        <v>-2.6587233204500134</v>
      </c>
      <c r="M900" s="11">
        <f>ABS(L900/$U$6)</f>
        <v>7.7513799430029545E-3</v>
      </c>
      <c r="N900" s="12">
        <f>L900*SIN(RADIANS(K900))</f>
        <v>-2.4821320514437799</v>
      </c>
      <c r="O900" s="12">
        <f>L900*COS(RADIANS(K900))</f>
        <v>-0.95280122475794393</v>
      </c>
      <c r="P900" s="5">
        <v>1.2744736325471355</v>
      </c>
      <c r="Q900" s="5">
        <v>0.33391093804566668</v>
      </c>
      <c r="R900" s="6">
        <f>P900/Q900</f>
        <v>3.8168070803743319</v>
      </c>
    </row>
    <row r="901" spans="1:18" x14ac:dyDescent="0.35">
      <c r="A901" s="9">
        <v>901</v>
      </c>
      <c r="B901" s="5">
        <v>1</v>
      </c>
      <c r="C901" s="5">
        <v>2000000</v>
      </c>
      <c r="D901" s="5">
        <v>30</v>
      </c>
      <c r="E901" s="5">
        <v>0.125</v>
      </c>
      <c r="F901" s="5">
        <v>0.15</v>
      </c>
      <c r="G901" s="12">
        <f>(C901*$U$4)/($U$5*$U$3)</f>
        <v>29.387755102040813</v>
      </c>
      <c r="H901" s="11">
        <f>G901*COS(RADIANS(D901))</f>
        <v>25.450542478563094</v>
      </c>
      <c r="I901" s="11">
        <f>G901*SIN(RADIANS(D901))</f>
        <v>14.693877551020405</v>
      </c>
      <c r="J901" s="11">
        <v>0.33379999999999999</v>
      </c>
      <c r="K901" s="12">
        <v>14</v>
      </c>
      <c r="L901" s="12">
        <f>-(F901*G901*$U$3)/J901</f>
        <v>-13.206001393966813</v>
      </c>
      <c r="M901" s="11">
        <f>ABS(L901/$U$6)</f>
        <v>3.8501461789990712E-2</v>
      </c>
      <c r="N901" s="12">
        <f>L901*SIN(RADIANS(K901))</f>
        <v>-3.1948208905203059</v>
      </c>
      <c r="O901" s="12">
        <f>L901*COS(RADIANS(K901))</f>
        <v>-12.81372671376085</v>
      </c>
      <c r="P901" s="5">
        <v>4.0891457798366275</v>
      </c>
      <c r="Q901" s="5">
        <v>1.1221658489463919</v>
      </c>
      <c r="R901" s="6">
        <f>P901/Q901</f>
        <v>3.643976319254369</v>
      </c>
    </row>
    <row r="902" spans="1:18" x14ac:dyDescent="0.35">
      <c r="A902" s="9">
        <v>902</v>
      </c>
      <c r="B902" s="5">
        <v>0.75</v>
      </c>
      <c r="C902" s="5">
        <v>4000000</v>
      </c>
      <c r="D902" s="5">
        <v>0</v>
      </c>
      <c r="E902" s="5">
        <v>0.25</v>
      </c>
      <c r="F902" s="5">
        <v>0.05</v>
      </c>
      <c r="G902" s="12">
        <f>(C902*$U$4)/($U$5*$U$3)</f>
        <v>58.775510204081627</v>
      </c>
      <c r="H902" s="11">
        <f>G902*COS(RADIANS(D902))</f>
        <v>58.775510204081627</v>
      </c>
      <c r="I902" s="11">
        <f>G902*SIN(RADIANS(D902))</f>
        <v>0</v>
      </c>
      <c r="J902" s="12">
        <v>0.28370000000000001</v>
      </c>
      <c r="K902" s="11">
        <v>38</v>
      </c>
      <c r="L902" s="12">
        <f>-(F902*G902*$U$3)/J902</f>
        <v>-10.358743426873744</v>
      </c>
      <c r="M902" s="11">
        <f>ABS(L902/$U$6)</f>
        <v>3.0200418154150858E-2</v>
      </c>
      <c r="N902" s="12">
        <f>L902*SIN(RADIANS(K902))</f>
        <v>-6.3774792607090545</v>
      </c>
      <c r="O902" s="12">
        <f>L902*COS(RADIANS(K902))</f>
        <v>-8.1628012142294555</v>
      </c>
      <c r="P902" s="5">
        <v>3.0185365586355166</v>
      </c>
      <c r="Q902" s="5">
        <v>0.35042663933138013</v>
      </c>
      <c r="R902" s="6">
        <f>P902/Q902</f>
        <v>8.6138900980671291</v>
      </c>
    </row>
    <row r="903" spans="1:18" x14ac:dyDescent="0.35">
      <c r="A903" s="9">
        <v>903</v>
      </c>
      <c r="B903" s="5">
        <v>1</v>
      </c>
      <c r="C903" s="5">
        <v>6000000</v>
      </c>
      <c r="D903" s="5">
        <v>20</v>
      </c>
      <c r="E903" s="5">
        <v>0.25</v>
      </c>
      <c r="F903" s="5">
        <v>0.05</v>
      </c>
      <c r="G903" s="12">
        <f>(C903*$U$4)/($U$5*$U$3)</f>
        <v>88.16326530612244</v>
      </c>
      <c r="H903" s="11">
        <f>G903*COS(RADIANS(D903))</f>
        <v>82.846369832553549</v>
      </c>
      <c r="I903" s="11">
        <f>G903*SIN(RADIANS(D903))</f>
        <v>30.153612636058952</v>
      </c>
      <c r="J903" s="13">
        <v>0.33379999999999999</v>
      </c>
      <c r="K903" s="12">
        <v>30</v>
      </c>
      <c r="L903" s="12">
        <f>-(F903*G903*$U$3)/J903</f>
        <v>-13.206001393966813</v>
      </c>
      <c r="M903" s="11">
        <f>ABS(L903/$U$6)</f>
        <v>3.8501461789990712E-2</v>
      </c>
      <c r="N903" s="12">
        <f>L903*SIN(RADIANS(K903))</f>
        <v>-6.6030006969834059</v>
      </c>
      <c r="O903" s="12">
        <f>L903*COS(RADIANS(K903))</f>
        <v>-11.43673268958797</v>
      </c>
      <c r="P903" s="5">
        <v>3.57592683246081</v>
      </c>
      <c r="Q903" s="5">
        <v>1.3088520947035027</v>
      </c>
      <c r="R903" s="6">
        <f>P903/Q903</f>
        <v>2.7321091870742453</v>
      </c>
    </row>
    <row r="904" spans="1:18" x14ac:dyDescent="0.35">
      <c r="A904" s="9">
        <v>904</v>
      </c>
      <c r="B904" s="5">
        <v>1</v>
      </c>
      <c r="C904" s="5">
        <v>4000000</v>
      </c>
      <c r="D904" s="5">
        <v>10</v>
      </c>
      <c r="E904" s="5">
        <v>0.125</v>
      </c>
      <c r="F904" s="5">
        <v>1.4999999999999999E-2</v>
      </c>
      <c r="G904" s="12">
        <f>(C904*$U$4)/($U$5*$U$3)</f>
        <v>58.775510204081627</v>
      </c>
      <c r="H904" s="11">
        <f>G904*COS(RADIANS(D904))</f>
        <v>57.882578136227728</v>
      </c>
      <c r="I904" s="11">
        <f>G904*SIN(RADIANS(D904))</f>
        <v>10.206260238382843</v>
      </c>
      <c r="J904" s="11">
        <v>0.33379999999999999</v>
      </c>
      <c r="K904" s="12">
        <v>14</v>
      </c>
      <c r="L904" s="12">
        <f>-(F904*G904*$U$3)/J904</f>
        <v>-2.6412002787933626</v>
      </c>
      <c r="M904" s="11">
        <f>ABS(L904/$U$6)</f>
        <v>7.7002923579981416E-3</v>
      </c>
      <c r="N904" s="12">
        <f>L904*SIN(RADIANS(K904))</f>
        <v>-0.63896417810406114</v>
      </c>
      <c r="O904" s="12">
        <f>L904*COS(RADIANS(K904))</f>
        <v>-2.5627453427521703</v>
      </c>
      <c r="P904" s="5">
        <v>2.0414634047035669</v>
      </c>
      <c r="Q904" s="5">
        <v>1.6758099791867984</v>
      </c>
      <c r="R904" s="6">
        <f>P904/Q904</f>
        <v>1.2181950400451758</v>
      </c>
    </row>
    <row r="905" spans="1:18" x14ac:dyDescent="0.35">
      <c r="A905" s="9">
        <v>905</v>
      </c>
      <c r="B905" s="5">
        <v>0.25</v>
      </c>
      <c r="C905" s="5">
        <v>6000000</v>
      </c>
      <c r="D905" s="5">
        <v>30</v>
      </c>
      <c r="E905" s="5">
        <v>0.125</v>
      </c>
      <c r="F905" s="5">
        <v>0.05</v>
      </c>
      <c r="G905" s="12">
        <f>(C905*$U$4)/($U$5*$U$3)</f>
        <v>88.16326530612244</v>
      </c>
      <c r="H905" s="11">
        <f>G905*COS(RADIANS(D905))</f>
        <v>76.351627435689281</v>
      </c>
      <c r="I905" s="11">
        <f>G905*SIN(RADIANS(D905))</f>
        <v>44.081632653061213</v>
      </c>
      <c r="J905" s="11">
        <v>0.19020000000000001</v>
      </c>
      <c r="K905" s="12">
        <v>46</v>
      </c>
      <c r="L905" s="12">
        <f>-(F905*G905*$U$3)/J905</f>
        <v>-23.176463014227771</v>
      </c>
      <c r="M905" s="11">
        <f>ABS(L905/$U$6)</f>
        <v>6.7569863015241316E-2</v>
      </c>
      <c r="N905" s="12">
        <f>L905*SIN(RADIANS(K905))</f>
        <v>-16.671752277210736</v>
      </c>
      <c r="O905" s="12">
        <f>L905*COS(RADIANS(K905))</f>
        <v>-16.099724030466682</v>
      </c>
      <c r="P905" s="5">
        <v>2.3276132857646097</v>
      </c>
      <c r="Q905" s="5">
        <v>0.92982219634268115</v>
      </c>
      <c r="R905" s="6">
        <f>P905/Q905</f>
        <v>2.5032885802467764</v>
      </c>
    </row>
    <row r="906" spans="1:18" x14ac:dyDescent="0.35">
      <c r="A906" s="9">
        <v>906</v>
      </c>
      <c r="B906" s="5">
        <v>0.25</v>
      </c>
      <c r="C906" s="5">
        <v>4000000</v>
      </c>
      <c r="D906" s="5">
        <v>0</v>
      </c>
      <c r="E906" s="5">
        <v>0.375</v>
      </c>
      <c r="F906" s="5">
        <v>2.5000000000000001E-2</v>
      </c>
      <c r="G906" s="12">
        <f>(C906*$U$4)/($U$5*$U$3)</f>
        <v>58.775510204081627</v>
      </c>
      <c r="H906" s="11">
        <f>G906*COS(RADIANS(D906))</f>
        <v>58.775510204081627</v>
      </c>
      <c r="I906" s="11">
        <f>G906*SIN(RADIANS(D906))</f>
        <v>0</v>
      </c>
      <c r="J906" s="11">
        <v>0.1976</v>
      </c>
      <c r="K906" s="12">
        <v>78</v>
      </c>
      <c r="L906" s="12">
        <f>-(F906*G906*$U$3)/J906</f>
        <v>-7.4361728497066837</v>
      </c>
      <c r="M906" s="11">
        <f>ABS(L906/$U$6)</f>
        <v>2.1679804226550099E-2</v>
      </c>
      <c r="N906" s="12">
        <f>L906*SIN(RADIANS(K906))</f>
        <v>-7.2736746315824581</v>
      </c>
      <c r="O906" s="12">
        <f>L906*COS(RADIANS(K906))</f>
        <v>-1.5460672703956333</v>
      </c>
      <c r="P906" s="5">
        <v>2.0676769927200223</v>
      </c>
      <c r="Q906" s="5">
        <v>0.21187789848854113</v>
      </c>
      <c r="R906" s="6">
        <f>P906/Q906</f>
        <v>9.7588139559154978</v>
      </c>
    </row>
    <row r="907" spans="1:18" x14ac:dyDescent="0.35">
      <c r="A907" s="9">
        <v>907</v>
      </c>
      <c r="B907" s="5">
        <v>1</v>
      </c>
      <c r="C907" s="5">
        <v>4000000</v>
      </c>
      <c r="D907" s="5">
        <v>10</v>
      </c>
      <c r="E907" s="5">
        <v>0.375</v>
      </c>
      <c r="F907" s="5">
        <v>0</v>
      </c>
      <c r="G907" s="12">
        <f>(C907*$U$4)/($U$5*$U$3)</f>
        <v>58.775510204081627</v>
      </c>
      <c r="H907" s="11">
        <f>G907*COS(RADIANS(D907))</f>
        <v>57.882578136227728</v>
      </c>
      <c r="I907" s="11">
        <f>G907*SIN(RADIANS(D907))</f>
        <v>10.206260238382843</v>
      </c>
      <c r="J907" s="12">
        <v>0.33379999999999999</v>
      </c>
      <c r="K907" s="11">
        <v>49</v>
      </c>
      <c r="L907" s="12">
        <f>-(F907*G907*$U$3)/J907</f>
        <v>0</v>
      </c>
      <c r="M907" s="11">
        <f>ABS(L907/$U$6)</f>
        <v>0</v>
      </c>
      <c r="N907" s="12">
        <f>L907*SIN(RADIANS(K907))</f>
        <v>0</v>
      </c>
      <c r="O907" s="12">
        <f>L907*COS(RADIANS(K907))</f>
        <v>0</v>
      </c>
      <c r="P907" s="5">
        <v>5.7957113205482047</v>
      </c>
      <c r="Q907" s="5">
        <v>1.155870836564066</v>
      </c>
      <c r="R907" s="6">
        <f>P907/Q907</f>
        <v>5.0141513542953451</v>
      </c>
    </row>
    <row r="908" spans="1:18" x14ac:dyDescent="0.35">
      <c r="A908" s="9">
        <v>908</v>
      </c>
      <c r="B908" s="5">
        <v>0.1</v>
      </c>
      <c r="C908" s="5">
        <v>2000000</v>
      </c>
      <c r="D908" s="5">
        <v>5</v>
      </c>
      <c r="E908" s="5">
        <v>0.25</v>
      </c>
      <c r="F908" s="5">
        <v>1.4999999999999999E-2</v>
      </c>
      <c r="G908" s="12">
        <f>(C908*$U$4)/($U$5*$U$3)</f>
        <v>29.387755102040813</v>
      </c>
      <c r="H908" s="11">
        <f>G908*COS(RADIANS(D908))</f>
        <v>29.275925821471702</v>
      </c>
      <c r="I908" s="11">
        <f>G908*SIN(RADIANS(D908))</f>
        <v>2.5613116236046478</v>
      </c>
      <c r="J908" s="11">
        <v>0.1661</v>
      </c>
      <c r="K908" s="12">
        <v>80</v>
      </c>
      <c r="L908" s="12">
        <f>-(F908*G908*$U$3)/J908</f>
        <v>-2.6539212915750285</v>
      </c>
      <c r="M908" s="11">
        <f>ABS(L908/$U$6)</f>
        <v>7.7373798588193255E-3</v>
      </c>
      <c r="N908" s="12">
        <f>L908*SIN(RADIANS(K908))</f>
        <v>-2.6136022638272607</v>
      </c>
      <c r="O908" s="12">
        <f>L908*COS(RADIANS(K908))</f>
        <v>-0.46084859595347</v>
      </c>
      <c r="P908" s="5">
        <v>1.4612879310130296</v>
      </c>
      <c r="Q908" s="5">
        <v>0.34208532365386923</v>
      </c>
      <c r="R908" s="6">
        <f>P908/Q908</f>
        <v>4.2717060042353596</v>
      </c>
    </row>
    <row r="909" spans="1:18" x14ac:dyDescent="0.35">
      <c r="A909" s="9">
        <v>909</v>
      </c>
      <c r="B909" s="5">
        <v>0.25</v>
      </c>
      <c r="C909" s="5">
        <v>6000000</v>
      </c>
      <c r="D909" s="5">
        <v>20</v>
      </c>
      <c r="E909" s="5">
        <v>0.375</v>
      </c>
      <c r="F909" s="5">
        <v>3.5000000000000003E-2</v>
      </c>
      <c r="G909" s="12">
        <f>(C909*$U$4)/($U$5*$U$3)</f>
        <v>88.16326530612244</v>
      </c>
      <c r="H909" s="11">
        <f>G909*COS(RADIANS(D909))</f>
        <v>82.846369832553549</v>
      </c>
      <c r="I909" s="11">
        <f>G909*SIN(RADIANS(D909))</f>
        <v>30.153612636058952</v>
      </c>
      <c r="J909" s="11">
        <v>0.1976</v>
      </c>
      <c r="K909" s="12">
        <v>78</v>
      </c>
      <c r="L909" s="12">
        <f>-(F909*G909*$U$3)/J909</f>
        <v>-15.615962984384037</v>
      </c>
      <c r="M909" s="11">
        <f>ABS(L909/$U$6)</f>
        <v>4.5527588875755212E-2</v>
      </c>
      <c r="N909" s="12">
        <f>L909*SIN(RADIANS(K909))</f>
        <v>-15.274716726323165</v>
      </c>
      <c r="O909" s="12">
        <f>L909*COS(RADIANS(K909))</f>
        <v>-3.2467412678308301</v>
      </c>
      <c r="P909" s="5">
        <v>2.4587998469438719</v>
      </c>
      <c r="Q909" s="5">
        <v>0.60938200387809605</v>
      </c>
      <c r="R909" s="6">
        <f>P909/Q909</f>
        <v>4.0349072196029985</v>
      </c>
    </row>
    <row r="910" spans="1:18" x14ac:dyDescent="0.35">
      <c r="A910" s="9">
        <v>910</v>
      </c>
      <c r="B910" s="5">
        <v>0.5</v>
      </c>
      <c r="C910" s="5">
        <v>4000000</v>
      </c>
      <c r="D910" s="5">
        <v>5</v>
      </c>
      <c r="E910" s="5">
        <v>0</v>
      </c>
      <c r="F910" s="5">
        <v>0</v>
      </c>
      <c r="G910" s="12">
        <f>(C910*$U$4)/($U$5*$U$3)</f>
        <v>58.775510204081627</v>
      </c>
      <c r="H910" s="11">
        <f>G910*COS(RADIANS(D910))</f>
        <v>58.551851642943404</v>
      </c>
      <c r="I910" s="11">
        <f>G910*SIN(RADIANS(D910))</f>
        <v>5.1226232472092956</v>
      </c>
      <c r="J910" s="12">
        <v>0.23230000000000001</v>
      </c>
      <c r="K910" s="12">
        <v>0</v>
      </c>
      <c r="L910" s="12">
        <f>-(F910*G910*$U$3)/J910</f>
        <v>0</v>
      </c>
      <c r="M910" s="11">
        <f>ABS(L910/$U$6)</f>
        <v>0</v>
      </c>
      <c r="N910" s="12">
        <f>L910*SIN(RADIANS(K910))</f>
        <v>0</v>
      </c>
      <c r="O910" s="12">
        <f>L910*COS(RADIANS(K910))</f>
        <v>0</v>
      </c>
      <c r="P910" s="5">
        <v>3.7543976794843341</v>
      </c>
      <c r="Q910" s="5">
        <v>0.67181176150524413</v>
      </c>
      <c r="R910" s="6">
        <f>P910/Q910</f>
        <v>5.5884667322172614</v>
      </c>
    </row>
    <row r="911" spans="1:18" x14ac:dyDescent="0.35">
      <c r="A911" s="9">
        <v>911</v>
      </c>
      <c r="B911" s="5">
        <v>0.5</v>
      </c>
      <c r="C911" s="5">
        <v>4000000</v>
      </c>
      <c r="D911" s="5">
        <v>15</v>
      </c>
      <c r="E911" s="5">
        <v>0.125</v>
      </c>
      <c r="F911" s="5">
        <v>1.4999999999999999E-2</v>
      </c>
      <c r="G911" s="12">
        <f>(C911*$U$4)/($U$5*$U$3)</f>
        <v>58.775510204081627</v>
      </c>
      <c r="H911" s="11">
        <f>G911*COS(RADIANS(D911))</f>
        <v>56.772783259439109</v>
      </c>
      <c r="I911" s="11">
        <f>G911*SIN(RADIANS(D911))</f>
        <v>15.212221426433871</v>
      </c>
      <c r="J911" s="12">
        <v>0.23300000000000001</v>
      </c>
      <c r="K911" s="11">
        <v>27</v>
      </c>
      <c r="L911" s="12">
        <f>-(F911*G911*$U$3)/J911</f>
        <v>-3.7838311290181301</v>
      </c>
      <c r="M911" s="11">
        <f>ABS(L911/$U$6)</f>
        <v>1.1031577635621371E-2</v>
      </c>
      <c r="N911" s="12">
        <f>L911*SIN(RADIANS(K911))</f>
        <v>-1.7178233851929943</v>
      </c>
      <c r="O911" s="12">
        <f>L911*COS(RADIANS(K911))</f>
        <v>-3.371418222382192</v>
      </c>
      <c r="P911" s="5">
        <v>3.2876328575214617</v>
      </c>
      <c r="Q911" s="5">
        <v>0.79800717862870474</v>
      </c>
      <c r="R911" s="6">
        <f>P911/Q911</f>
        <v>4.1198036127581323</v>
      </c>
    </row>
    <row r="912" spans="1:18" x14ac:dyDescent="0.35">
      <c r="A912" s="9">
        <v>912</v>
      </c>
      <c r="B912" s="5">
        <v>0.75</v>
      </c>
      <c r="C912" s="5">
        <v>2000000</v>
      </c>
      <c r="D912" s="5">
        <v>20</v>
      </c>
      <c r="E912" s="5">
        <v>0.125</v>
      </c>
      <c r="F912" s="5">
        <v>0.05</v>
      </c>
      <c r="G912" s="12">
        <f>(C912*$U$4)/($U$5*$U$3)</f>
        <v>29.387755102040813</v>
      </c>
      <c r="H912" s="11">
        <f>G912*COS(RADIANS(D912))</f>
        <v>27.615456610851183</v>
      </c>
      <c r="I912" s="11">
        <f>G912*SIN(RADIANS(D912))</f>
        <v>10.051204212019652</v>
      </c>
      <c r="J912" s="12">
        <v>0.2802</v>
      </c>
      <c r="K912" s="12">
        <v>19</v>
      </c>
      <c r="L912" s="12">
        <f>-(F912*G912*$U$3)/J912</f>
        <v>-5.2440676484726643</v>
      </c>
      <c r="M912" s="11">
        <f>ABS(L912/$U$6)</f>
        <v>1.5288826963477156E-2</v>
      </c>
      <c r="N912" s="12">
        <f>L912*SIN(RADIANS(K912))</f>
        <v>-1.707301426161727</v>
      </c>
      <c r="O912" s="12">
        <f>L912*COS(RADIANS(K912))</f>
        <v>-4.9583633733303323</v>
      </c>
      <c r="P912" s="5">
        <v>4.566771650355145</v>
      </c>
      <c r="Q912" s="5">
        <v>0.9447862105470981</v>
      </c>
      <c r="R912" s="6">
        <f>P912/Q912</f>
        <v>4.8336561217491321</v>
      </c>
    </row>
    <row r="913" spans="1:18" x14ac:dyDescent="0.35">
      <c r="A913" s="9">
        <v>913</v>
      </c>
      <c r="B913" s="5">
        <v>1</v>
      </c>
      <c r="C913" s="5">
        <v>2000000</v>
      </c>
      <c r="D913" s="5">
        <v>5</v>
      </c>
      <c r="E913" s="5">
        <v>0.125</v>
      </c>
      <c r="F913" s="5">
        <v>1.4999999999999999E-2</v>
      </c>
      <c r="G913" s="12">
        <f>(C913*$U$4)/($U$5*$U$3)</f>
        <v>29.387755102040813</v>
      </c>
      <c r="H913" s="11">
        <f>G913*COS(RADIANS(D913))</f>
        <v>29.275925821471702</v>
      </c>
      <c r="I913" s="11">
        <f>G913*SIN(RADIANS(D913))</f>
        <v>2.5613116236046478</v>
      </c>
      <c r="J913" s="11">
        <v>0.33379999999999999</v>
      </c>
      <c r="K913" s="12">
        <v>14</v>
      </c>
      <c r="L913" s="12">
        <f>-(F913*G913*$U$3)/J913</f>
        <v>-1.3206001393966813</v>
      </c>
      <c r="M913" s="11">
        <f>ABS(L913/$U$6)</f>
        <v>3.8501461789990708E-3</v>
      </c>
      <c r="N913" s="12">
        <f>L913*SIN(RADIANS(K913))</f>
        <v>-0.31948208905203057</v>
      </c>
      <c r="O913" s="12">
        <f>L913*COS(RADIANS(K913))</f>
        <v>-1.2813726713760851</v>
      </c>
      <c r="P913" s="5">
        <v>2.3383955549029123</v>
      </c>
      <c r="Q913" s="5">
        <v>1.3650436929861285</v>
      </c>
      <c r="R913" s="6">
        <f>P913/Q913</f>
        <v>1.7130554625599628</v>
      </c>
    </row>
    <row r="914" spans="1:18" x14ac:dyDescent="0.35">
      <c r="A914" s="9">
        <v>914</v>
      </c>
      <c r="B914" s="5">
        <v>1</v>
      </c>
      <c r="C914" s="5">
        <v>6000000</v>
      </c>
      <c r="D914" s="5">
        <v>5</v>
      </c>
      <c r="E914" s="5">
        <v>0.375</v>
      </c>
      <c r="F914" s="5">
        <v>7.4999999999999997E-2</v>
      </c>
      <c r="G914" s="12">
        <f>(C914*$U$4)/($U$5*$U$3)</f>
        <v>88.16326530612244</v>
      </c>
      <c r="H914" s="11">
        <f>G914*COS(RADIANS(D914))</f>
        <v>87.827777464415107</v>
      </c>
      <c r="I914" s="11">
        <f>G914*SIN(RADIANS(D914))</f>
        <v>7.6839348708139434</v>
      </c>
      <c r="J914" s="12">
        <v>0.33379999999999999</v>
      </c>
      <c r="K914" s="11">
        <v>49</v>
      </c>
      <c r="L914" s="12">
        <f>-(F914*G914*$U$3)/J914</f>
        <v>-19.809002090950219</v>
      </c>
      <c r="M914" s="11">
        <f>ABS(L914/$U$6)</f>
        <v>5.7752192684986062E-2</v>
      </c>
      <c r="N914" s="12">
        <f>L914*SIN(RADIANS(K914))</f>
        <v>-14.950043652693052</v>
      </c>
      <c r="O914" s="12">
        <f>L914*COS(RADIANS(K914))</f>
        <v>-12.99587467705973</v>
      </c>
      <c r="P914" s="5">
        <v>5.6267152932214861</v>
      </c>
      <c r="Q914" s="5">
        <v>-0.43341362303725844</v>
      </c>
      <c r="R914" s="6">
        <f>P914/Q914</f>
        <v>-12.98232218403939</v>
      </c>
    </row>
    <row r="915" spans="1:18" x14ac:dyDescent="0.35">
      <c r="A915" s="9">
        <v>915</v>
      </c>
      <c r="B915" s="5">
        <v>0.5</v>
      </c>
      <c r="C915" s="5">
        <v>4000000</v>
      </c>
      <c r="D915" s="5">
        <v>30</v>
      </c>
      <c r="E915" s="5">
        <v>0.375</v>
      </c>
      <c r="F915" s="5">
        <v>1.4999999999999999E-2</v>
      </c>
      <c r="G915" s="12">
        <f>(C915*$U$4)/($U$5*$U$3)</f>
        <v>58.775510204081627</v>
      </c>
      <c r="H915" s="11">
        <f>G915*COS(RADIANS(D915))</f>
        <v>50.901084957126187</v>
      </c>
      <c r="I915" s="11">
        <f>G915*SIN(RADIANS(D915))</f>
        <v>29.38775510204081</v>
      </c>
      <c r="J915" s="12">
        <v>0.24809999999999999</v>
      </c>
      <c r="K915" s="12">
        <v>67</v>
      </c>
      <c r="L915" s="12">
        <f>-(F915*G915*$U$3)/J915</f>
        <v>-3.5535374972237985</v>
      </c>
      <c r="M915" s="11">
        <f>ABS(L915/$U$6)</f>
        <v>1.0360167630390084E-2</v>
      </c>
      <c r="N915" s="12">
        <f>L915*SIN(RADIANS(K915))</f>
        <v>-3.2710485131197444</v>
      </c>
      <c r="O915" s="12">
        <f>L915*COS(RADIANS(K915))</f>
        <v>-1.3884777164192041</v>
      </c>
      <c r="P915" s="5">
        <v>3.5388675385884372</v>
      </c>
      <c r="Q915" s="5">
        <v>1.1351118656120773</v>
      </c>
      <c r="R915" s="6">
        <f>P915/Q915</f>
        <v>3.1176376935150807</v>
      </c>
    </row>
    <row r="916" spans="1:18" x14ac:dyDescent="0.35">
      <c r="A916" s="9">
        <v>916</v>
      </c>
      <c r="B916" s="5">
        <v>0.5</v>
      </c>
      <c r="C916" s="5">
        <v>2000000</v>
      </c>
      <c r="D916" s="5">
        <v>5</v>
      </c>
      <c r="E916" s="5">
        <v>0.25</v>
      </c>
      <c r="F916" s="5">
        <v>0.15</v>
      </c>
      <c r="G916" s="12">
        <f>(C916*$U$4)/($U$5*$U$3)</f>
        <v>29.387755102040813</v>
      </c>
      <c r="H916" s="11">
        <f>G916*COS(RADIANS(D916))</f>
        <v>29.275925821471702</v>
      </c>
      <c r="I916" s="11">
        <f>G916*SIN(RADIANS(D916))</f>
        <v>2.5613116236046478</v>
      </c>
      <c r="J916" s="11">
        <v>0.23580000000000001</v>
      </c>
      <c r="K916" s="11">
        <v>49</v>
      </c>
      <c r="L916" s="12">
        <f>-(F916*G916*$U$3)/J916</f>
        <v>-18.694500701043772</v>
      </c>
      <c r="M916" s="11">
        <f>ABS(L916/$U$6)</f>
        <v>5.4502917495754435E-2</v>
      </c>
      <c r="N916" s="12">
        <f>L916*SIN(RADIANS(K916))</f>
        <v>-14.108918776559062</v>
      </c>
      <c r="O916" s="12">
        <f>L916*COS(RADIANS(K916))</f>
        <v>-12.264695977389135</v>
      </c>
      <c r="P916" s="5">
        <v>5.6616446275883243</v>
      </c>
      <c r="Q916" s="5">
        <v>-0.109657535250202</v>
      </c>
      <c r="R916" s="6">
        <f>P916/Q916</f>
        <v>-51.630237855249398</v>
      </c>
    </row>
    <row r="917" spans="1:18" x14ac:dyDescent="0.35">
      <c r="A917" s="9">
        <v>917</v>
      </c>
      <c r="B917" s="5">
        <v>0.1</v>
      </c>
      <c r="C917" s="5">
        <v>2000000</v>
      </c>
      <c r="D917" s="5">
        <v>20</v>
      </c>
      <c r="E917" s="5">
        <v>0.25</v>
      </c>
      <c r="F917" s="5">
        <v>0</v>
      </c>
      <c r="G917" s="12">
        <f>(C917*$U$4)/($U$5*$U$3)</f>
        <v>29.387755102040813</v>
      </c>
      <c r="H917" s="11">
        <f>G917*COS(RADIANS(D917))</f>
        <v>27.615456610851183</v>
      </c>
      <c r="I917" s="11">
        <f>G917*SIN(RADIANS(D917))</f>
        <v>10.051204212019652</v>
      </c>
      <c r="J917" s="11">
        <v>0.1661</v>
      </c>
      <c r="K917" s="12">
        <v>80</v>
      </c>
      <c r="L917" s="12">
        <f>-(F917*G917*$U$3)/J917</f>
        <v>0</v>
      </c>
      <c r="M917" s="11">
        <f>ABS(L917/$U$6)</f>
        <v>0</v>
      </c>
      <c r="N917" s="12">
        <f>L917*SIN(RADIANS(K917))</f>
        <v>0</v>
      </c>
      <c r="O917" s="12">
        <f>L917*COS(RADIANS(K917))</f>
        <v>0</v>
      </c>
      <c r="P917" s="5">
        <v>1.5551037433165555</v>
      </c>
      <c r="Q917" s="5">
        <v>0.81685079857388809</v>
      </c>
      <c r="R917" s="6">
        <f>P917/Q917</f>
        <v>1.9037794246287794</v>
      </c>
    </row>
    <row r="918" spans="1:18" x14ac:dyDescent="0.35">
      <c r="A918" s="9">
        <v>918</v>
      </c>
      <c r="B918" s="5">
        <v>0.1</v>
      </c>
      <c r="C918" s="5">
        <v>4000000</v>
      </c>
      <c r="D918" s="5">
        <v>10</v>
      </c>
      <c r="E918" s="5">
        <v>0</v>
      </c>
      <c r="F918" s="5">
        <v>0</v>
      </c>
      <c r="G918" s="12">
        <f>(C918*$U$4)/($U$5*$U$3)</f>
        <v>58.775510204081627</v>
      </c>
      <c r="H918" s="11">
        <f>G918*COS(RADIANS(D918))</f>
        <v>57.882578136227728</v>
      </c>
      <c r="I918" s="11">
        <f>G918*SIN(RADIANS(D918))</f>
        <v>10.206260238382843</v>
      </c>
      <c r="J918" s="11">
        <v>0.16569999999999999</v>
      </c>
      <c r="K918" s="12">
        <v>0</v>
      </c>
      <c r="L918" s="12">
        <f>-(F918*G918*$U$3)/J918</f>
        <v>0</v>
      </c>
      <c r="M918" s="11">
        <f>ABS(L918/$U$6)</f>
        <v>0</v>
      </c>
      <c r="N918" s="12">
        <f>L918*SIN(RADIANS(K918))</f>
        <v>0</v>
      </c>
      <c r="O918" s="12">
        <f>L918*COS(RADIANS(K918))</f>
        <v>0</v>
      </c>
      <c r="P918" s="5">
        <v>1.2357011562609073</v>
      </c>
      <c r="Q918" s="5">
        <v>0.45558696801622506</v>
      </c>
      <c r="R918" s="6">
        <f>P918/Q918</f>
        <v>2.712327706917419</v>
      </c>
    </row>
    <row r="919" spans="1:18" x14ac:dyDescent="0.35">
      <c r="A919" s="9">
        <v>919</v>
      </c>
      <c r="B919" s="5">
        <v>0.1</v>
      </c>
      <c r="C919" s="5">
        <v>4000000</v>
      </c>
      <c r="D919" s="5">
        <v>30</v>
      </c>
      <c r="E919" s="5">
        <v>0.125</v>
      </c>
      <c r="F919" s="5">
        <v>0</v>
      </c>
      <c r="G919" s="12">
        <f>(C919*$U$4)/($U$5*$U$3)</f>
        <v>58.775510204081627</v>
      </c>
      <c r="H919" s="11">
        <f>G919*COS(RADIANS(D919))</f>
        <v>50.901084957126187</v>
      </c>
      <c r="I919" s="11">
        <f>G919*SIN(RADIANS(D919))</f>
        <v>29.38775510204081</v>
      </c>
      <c r="J919" s="12">
        <v>0.1658</v>
      </c>
      <c r="K919" s="12">
        <v>69</v>
      </c>
      <c r="L919" s="12">
        <f>-(F919*G919*$U$3)/J919</f>
        <v>0</v>
      </c>
      <c r="M919" s="11">
        <f>ABS(L919/$U$6)</f>
        <v>0</v>
      </c>
      <c r="N919" s="12">
        <f>L919*SIN(RADIANS(K919))</f>
        <v>0</v>
      </c>
      <c r="O919" s="12">
        <f>L919*COS(RADIANS(K919))</f>
        <v>0</v>
      </c>
      <c r="P919" s="5">
        <v>1.168563298747864</v>
      </c>
      <c r="Q919" s="5">
        <v>0.97830326288412339</v>
      </c>
      <c r="R919" s="6">
        <f>P919/Q919</f>
        <v>1.1944796088105005</v>
      </c>
    </row>
    <row r="920" spans="1:18" x14ac:dyDescent="0.35">
      <c r="A920" s="9">
        <v>920</v>
      </c>
      <c r="B920" s="5">
        <v>0.25</v>
      </c>
      <c r="C920" s="5">
        <v>2000000</v>
      </c>
      <c r="D920" s="5">
        <v>0</v>
      </c>
      <c r="E920" s="5">
        <v>0.375</v>
      </c>
      <c r="F920" s="5">
        <v>0</v>
      </c>
      <c r="G920" s="12">
        <f>(C920*$U$4)/($U$5*$U$3)</f>
        <v>29.387755102040813</v>
      </c>
      <c r="H920" s="11">
        <f>G920*COS(RADIANS(D920))</f>
        <v>29.387755102040813</v>
      </c>
      <c r="I920" s="11">
        <f>G920*SIN(RADIANS(D920))</f>
        <v>0</v>
      </c>
      <c r="J920" s="11">
        <v>0.1976</v>
      </c>
      <c r="K920" s="12">
        <v>78</v>
      </c>
      <c r="L920" s="12">
        <f>-(F920*G920*$U$3)/J920</f>
        <v>0</v>
      </c>
      <c r="M920" s="11">
        <f>ABS(L920/$U$6)</f>
        <v>0</v>
      </c>
      <c r="N920" s="12">
        <f>L920*SIN(RADIANS(K920))</f>
        <v>0</v>
      </c>
      <c r="O920" s="12">
        <f>L920*COS(RADIANS(K920))</f>
        <v>0</v>
      </c>
      <c r="P920" s="5">
        <v>2.67422443836813</v>
      </c>
      <c r="Q920" s="5">
        <v>0.29651242235878383</v>
      </c>
      <c r="R920" s="6">
        <f>P920/Q920</f>
        <v>9.0189288431642307</v>
      </c>
    </row>
    <row r="921" spans="1:18" x14ac:dyDescent="0.35">
      <c r="A921" s="9">
        <v>921</v>
      </c>
      <c r="B921" s="5">
        <v>0.25</v>
      </c>
      <c r="C921" s="5">
        <v>2000000</v>
      </c>
      <c r="D921" s="5">
        <v>15</v>
      </c>
      <c r="E921" s="5">
        <v>0.375</v>
      </c>
      <c r="F921" s="5">
        <v>0.1</v>
      </c>
      <c r="G921" s="12">
        <f>(C921*$U$4)/($U$5*$U$3)</f>
        <v>29.387755102040813</v>
      </c>
      <c r="H921" s="11">
        <f>G921*COS(RADIANS(D921))</f>
        <v>28.386391629719554</v>
      </c>
      <c r="I921" s="11">
        <f>G921*SIN(RADIANS(D921))</f>
        <v>7.6061107132169354</v>
      </c>
      <c r="J921" s="11">
        <v>0.1976</v>
      </c>
      <c r="K921" s="12">
        <v>78</v>
      </c>
      <c r="L921" s="12">
        <f>-(F921*G921*$U$3)/J921</f>
        <v>-14.872345699413367</v>
      </c>
      <c r="M921" s="11">
        <f>ABS(L921/$U$6)</f>
        <v>4.3359608453100197E-2</v>
      </c>
      <c r="N921" s="12">
        <f>L921*SIN(RADIANS(K921))</f>
        <v>-14.547349263164916</v>
      </c>
      <c r="O921" s="12">
        <f>L921*COS(RADIANS(K921))</f>
        <v>-3.0921345407912666</v>
      </c>
      <c r="P921" s="5">
        <v>2.7256536277374299</v>
      </c>
      <c r="Q921" s="5">
        <v>0.44110041310057946</v>
      </c>
      <c r="R921" s="6">
        <f>P921/Q921</f>
        <v>6.1792135005684701</v>
      </c>
    </row>
    <row r="922" spans="1:18" x14ac:dyDescent="0.35">
      <c r="A922" s="9">
        <v>1610</v>
      </c>
      <c r="B922" s="5">
        <v>0.75</v>
      </c>
      <c r="C922" s="5">
        <v>6000000</v>
      </c>
      <c r="D922" s="5">
        <v>0</v>
      </c>
      <c r="E922" s="5">
        <v>0.125</v>
      </c>
      <c r="F922" s="5">
        <v>0.15</v>
      </c>
      <c r="G922" s="12">
        <f>(C922*$U$4)/($U$5*$U$3)</f>
        <v>88.16326530612244</v>
      </c>
      <c r="H922" s="11">
        <f>G922*COS(RADIANS(D922))</f>
        <v>88.16326530612244</v>
      </c>
      <c r="I922" s="11">
        <f>G922*SIN(RADIANS(D922))</f>
        <v>0</v>
      </c>
      <c r="J922" s="12">
        <v>0.2802</v>
      </c>
      <c r="K922" s="12">
        <v>19</v>
      </c>
      <c r="L922" s="12">
        <f>-(F922*G922*$U$3)/J922</f>
        <v>-47.196608836253979</v>
      </c>
      <c r="M922" s="11">
        <f>ABS(L922/$U$6)</f>
        <v>0.1375994426712944</v>
      </c>
      <c r="N922" s="12">
        <f>L922*SIN(RADIANS(K922))</f>
        <v>-15.365712835455541</v>
      </c>
      <c r="O922" s="12">
        <f>L922*COS(RADIANS(K922))</f>
        <v>-44.625270359972994</v>
      </c>
      <c r="P922" s="5">
        <v>4.7269831736678283</v>
      </c>
      <c r="Q922" s="5">
        <v>-0.28284875194077252</v>
      </c>
      <c r="R922" s="6">
        <f>P922/Q922</f>
        <v>-16.71205243520976</v>
      </c>
    </row>
    <row r="923" spans="1:18" x14ac:dyDescent="0.35">
      <c r="A923" s="9">
        <v>2040</v>
      </c>
      <c r="B923" s="5">
        <v>0.75</v>
      </c>
      <c r="C923" s="5">
        <v>6000000</v>
      </c>
      <c r="D923" s="5">
        <v>20</v>
      </c>
      <c r="E923" s="5">
        <v>0.125</v>
      </c>
      <c r="F923" s="5">
        <v>0.15</v>
      </c>
      <c r="G923" s="12">
        <f>(C923*$U$4)/($U$5*$U$3)</f>
        <v>88.16326530612244</v>
      </c>
      <c r="H923" s="11">
        <f>G923*COS(RADIANS(D923))</f>
        <v>82.846369832553549</v>
      </c>
      <c r="I923" s="11">
        <f>G923*SIN(RADIANS(D923))</f>
        <v>30.153612636058952</v>
      </c>
      <c r="J923" s="19">
        <v>0.2802</v>
      </c>
      <c r="K923" s="12">
        <v>19</v>
      </c>
      <c r="L923" s="12">
        <f>-(F923*G923*$U$3)/J923</f>
        <v>-47.196608836253979</v>
      </c>
      <c r="M923" s="11">
        <f>ABS(L923/$U$6)</f>
        <v>0.1375994426712944</v>
      </c>
      <c r="N923" s="12">
        <f>L923*SIN(RADIANS(K923))</f>
        <v>-15.365712835455541</v>
      </c>
      <c r="O923" s="12">
        <f>L923*COS(RADIANS(K923))</f>
        <v>-44.625270359972994</v>
      </c>
      <c r="P923" s="5">
        <v>4.2696370078808332</v>
      </c>
      <c r="Q923" s="5">
        <v>0.82190845742131236</v>
      </c>
      <c r="R923" s="6">
        <f>P923/Q923</f>
        <v>5.194784126296204</v>
      </c>
    </row>
    <row r="924" spans="1:18" x14ac:dyDescent="0.35">
      <c r="A924" s="9">
        <v>546</v>
      </c>
      <c r="B924" s="5">
        <v>0.75</v>
      </c>
      <c r="C924" s="5">
        <v>6000000</v>
      </c>
      <c r="D924" s="5">
        <v>30</v>
      </c>
      <c r="E924" s="5">
        <v>0.25</v>
      </c>
      <c r="F924" s="5">
        <v>0.15</v>
      </c>
      <c r="G924" s="12">
        <f>(C924*$U$4)/($U$5*$U$3)</f>
        <v>88.16326530612244</v>
      </c>
      <c r="H924" s="11">
        <f>G924*COS(RADIANS(D924))</f>
        <v>76.351627435689281</v>
      </c>
      <c r="I924" s="11">
        <f>G924*SIN(RADIANS(D924))</f>
        <v>44.081632653061213</v>
      </c>
      <c r="J924" s="19">
        <v>0.28370000000000001</v>
      </c>
      <c r="K924" s="20">
        <v>38</v>
      </c>
      <c r="L924" s="12">
        <f>-(F924*G924*$U$3)/J924</f>
        <v>-46.614345420931848</v>
      </c>
      <c r="M924" s="11">
        <f>ABS(L924/$U$6)</f>
        <v>0.13590188169367887</v>
      </c>
      <c r="N924" s="12">
        <f>L924*SIN(RADIANS(K924))</f>
        <v>-28.698656673190744</v>
      </c>
      <c r="O924" s="12">
        <f>L924*COS(RADIANS(K924))</f>
        <v>-36.732605464032552</v>
      </c>
      <c r="P924" s="5">
        <v>5.1111620131373137</v>
      </c>
      <c r="Q924" s="5">
        <v>1.2258041684284593</v>
      </c>
      <c r="R924" s="6">
        <f>P924/Q924</f>
        <v>4.169639934974338</v>
      </c>
    </row>
    <row r="925" spans="1:18" x14ac:dyDescent="0.35">
      <c r="A925" s="9">
        <v>797</v>
      </c>
      <c r="B925" s="5">
        <v>0.75</v>
      </c>
      <c r="C925" s="5">
        <v>6000000</v>
      </c>
      <c r="D925" s="5">
        <v>15</v>
      </c>
      <c r="E925" s="5">
        <v>0.25</v>
      </c>
      <c r="F925" s="5">
        <v>0.15</v>
      </c>
      <c r="G925" s="12">
        <f>(C925*$U$4)/($U$5*$U$3)</f>
        <v>88.16326530612244</v>
      </c>
      <c r="H925" s="11">
        <f>G925*COS(RADIANS(D925))</f>
        <v>85.159174889158663</v>
      </c>
      <c r="I925" s="11">
        <f>G925*SIN(RADIANS(D925))</f>
        <v>22.818332139650806</v>
      </c>
      <c r="J925" s="19">
        <v>0.28370000000000001</v>
      </c>
      <c r="K925" s="20">
        <v>38</v>
      </c>
      <c r="L925" s="12">
        <f>-(F925*G925*$U$3)/J925</f>
        <v>-46.614345420931848</v>
      </c>
      <c r="M925" s="11">
        <f>ABS(L925/$U$6)</f>
        <v>0.13590188169367887</v>
      </c>
      <c r="N925" s="12">
        <f>L925*SIN(RADIANS(K925))</f>
        <v>-28.698656673190744</v>
      </c>
      <c r="O925" s="12">
        <f>L925*COS(RADIANS(K925))</f>
        <v>-36.732605464032552</v>
      </c>
      <c r="P925" s="5">
        <v>4.9125902804615</v>
      </c>
      <c r="Q925" s="5">
        <v>0.36983313272291618</v>
      </c>
      <c r="R925" s="6">
        <f>P925/Q925</f>
        <v>13.283261681538081</v>
      </c>
    </row>
    <row r="926" spans="1:18" x14ac:dyDescent="0.35">
      <c r="A926" s="9">
        <v>926</v>
      </c>
      <c r="B926" s="5">
        <v>0.25</v>
      </c>
      <c r="C926" s="5">
        <v>4000000</v>
      </c>
      <c r="D926" s="5">
        <v>0</v>
      </c>
      <c r="E926" s="5">
        <v>0.125</v>
      </c>
      <c r="F926" s="5">
        <v>0.1</v>
      </c>
      <c r="G926" s="12">
        <f>(C926*$U$4)/($U$5*$U$3)</f>
        <v>58.775510204081627</v>
      </c>
      <c r="H926" s="11">
        <f>G926*COS(RADIANS(D926))</f>
        <v>58.775510204081627</v>
      </c>
      <c r="I926" s="11">
        <f>G926*SIN(RADIANS(D926))</f>
        <v>0</v>
      </c>
      <c r="J926" s="11">
        <v>0.19020000000000001</v>
      </c>
      <c r="K926" s="12">
        <v>46</v>
      </c>
      <c r="L926" s="12">
        <f>-(F926*G926*$U$3)/J926</f>
        <v>-30.901950685637026</v>
      </c>
      <c r="M926" s="11">
        <f>ABS(L926/$U$6)</f>
        <v>9.0093150686988407E-2</v>
      </c>
      <c r="N926" s="12">
        <f>L926*SIN(RADIANS(K926))</f>
        <v>-22.229003036280979</v>
      </c>
      <c r="O926" s="12">
        <f>L926*COS(RADIANS(K926))</f>
        <v>-21.46629870728891</v>
      </c>
      <c r="P926" s="5">
        <v>2.3382940693051402</v>
      </c>
      <c r="Q926" s="5">
        <v>0.11424084690844044</v>
      </c>
      <c r="R926" s="6">
        <f>P926/Q926</f>
        <v>20.468108672016335</v>
      </c>
    </row>
    <row r="927" spans="1:18" x14ac:dyDescent="0.35">
      <c r="A927" s="9">
        <v>927</v>
      </c>
      <c r="B927" s="5">
        <v>0.75</v>
      </c>
      <c r="C927" s="5">
        <v>2000000</v>
      </c>
      <c r="D927" s="5">
        <v>30</v>
      </c>
      <c r="E927" s="5">
        <v>0.125</v>
      </c>
      <c r="F927" s="5">
        <v>7.4999999999999997E-2</v>
      </c>
      <c r="G927" s="12">
        <f>(C927*$U$4)/($U$5*$U$3)</f>
        <v>29.387755102040813</v>
      </c>
      <c r="H927" s="11">
        <f>G927*COS(RADIANS(D927))</f>
        <v>25.450542478563094</v>
      </c>
      <c r="I927" s="11">
        <f>G927*SIN(RADIANS(D927))</f>
        <v>14.693877551020405</v>
      </c>
      <c r="J927" s="12">
        <v>0.2802</v>
      </c>
      <c r="K927" s="12">
        <v>19</v>
      </c>
      <c r="L927" s="12">
        <f>-(F927*G927*$U$3)/J927</f>
        <v>-7.8661014727089968</v>
      </c>
      <c r="M927" s="11">
        <f>ABS(L927/$U$6)</f>
        <v>2.2933240445215733E-2</v>
      </c>
      <c r="N927" s="12">
        <f>L927*SIN(RADIANS(K927))</f>
        <v>-2.5609521392425907</v>
      </c>
      <c r="O927" s="12">
        <f>L927*COS(RADIANS(K927))</f>
        <v>-7.4375450599954993</v>
      </c>
      <c r="P927" s="5">
        <v>5.9072637075518584</v>
      </c>
      <c r="Q927" s="5">
        <v>1.6504992918080812</v>
      </c>
      <c r="R927" s="6">
        <f>P927/Q927</f>
        <v>3.5790767902000109</v>
      </c>
    </row>
    <row r="928" spans="1:18" x14ac:dyDescent="0.35">
      <c r="A928" s="9">
        <v>1558</v>
      </c>
      <c r="B928" s="5">
        <v>0.75</v>
      </c>
      <c r="C928" s="5">
        <v>6000000</v>
      </c>
      <c r="D928" s="5">
        <v>20</v>
      </c>
      <c r="E928" s="5">
        <v>0.25</v>
      </c>
      <c r="F928" s="5">
        <v>0.15</v>
      </c>
      <c r="G928" s="12">
        <f>(C928*$U$4)/($U$5*$U$3)</f>
        <v>88.16326530612244</v>
      </c>
      <c r="H928" s="11">
        <f>G928*COS(RADIANS(D928))</f>
        <v>82.846369832553549</v>
      </c>
      <c r="I928" s="11">
        <f>G928*SIN(RADIANS(D928))</f>
        <v>30.153612636058952</v>
      </c>
      <c r="J928" s="12">
        <v>0.28370000000000001</v>
      </c>
      <c r="K928" s="20">
        <v>38</v>
      </c>
      <c r="L928" s="12">
        <f>-(F928*G928*$U$3)/J928</f>
        <v>-46.614345420931848</v>
      </c>
      <c r="M928" s="11">
        <f>ABS(L928/$U$6)</f>
        <v>0.13590188169367887</v>
      </c>
      <c r="N928" s="12">
        <f>L928*SIN(RADIANS(K928))</f>
        <v>-28.698656673190744</v>
      </c>
      <c r="O928" s="12">
        <f>L928*COS(RADIANS(K928))</f>
        <v>-36.732605464032552</v>
      </c>
      <c r="P928" s="5">
        <v>4.9532312851231266</v>
      </c>
      <c r="Q928" s="5">
        <v>0.65074070658613536</v>
      </c>
      <c r="R928" s="6">
        <f>P928/Q928</f>
        <v>7.6116819418111685</v>
      </c>
    </row>
    <row r="929" spans="1:18" x14ac:dyDescent="0.35">
      <c r="A929" s="9">
        <v>929</v>
      </c>
      <c r="B929" s="5">
        <v>0.5</v>
      </c>
      <c r="C929" s="5">
        <v>4000000</v>
      </c>
      <c r="D929" s="5">
        <v>0</v>
      </c>
      <c r="E929" s="5">
        <v>0.25</v>
      </c>
      <c r="F929" s="5">
        <v>1.4999999999999999E-2</v>
      </c>
      <c r="G929" s="12">
        <f>(C929*$U$4)/($U$5*$U$3)</f>
        <v>58.775510204081627</v>
      </c>
      <c r="H929" s="11">
        <f>G929*COS(RADIANS(D929))</f>
        <v>58.775510204081627</v>
      </c>
      <c r="I929" s="11">
        <f>G929*SIN(RADIANS(D929))</f>
        <v>0</v>
      </c>
      <c r="J929" s="11">
        <v>0.23580000000000001</v>
      </c>
      <c r="K929" s="11">
        <v>49</v>
      </c>
      <c r="L929" s="12">
        <f>-(F929*G929*$U$3)/J929</f>
        <v>-3.7389001402087549</v>
      </c>
      <c r="M929" s="11">
        <f>ABS(L929/$U$6)</f>
        <v>1.0900583499150889E-2</v>
      </c>
      <c r="N929" s="12">
        <f>L929*SIN(RADIANS(K929))</f>
        <v>-2.821783755311813</v>
      </c>
      <c r="O929" s="12">
        <f>L929*COS(RADIANS(K929))</f>
        <v>-2.4529391954778275</v>
      </c>
      <c r="P929" s="5">
        <v>3.6443556140248914</v>
      </c>
      <c r="Q929" s="5">
        <v>3.4103413201034202E-3</v>
      </c>
      <c r="R929" s="6">
        <f>P929/Q929</f>
        <v>1068.6190243017595</v>
      </c>
    </row>
    <row r="930" spans="1:18" x14ac:dyDescent="0.35">
      <c r="A930" s="9">
        <v>930</v>
      </c>
      <c r="B930" s="5">
        <v>0.75</v>
      </c>
      <c r="C930" s="5">
        <v>2000000</v>
      </c>
      <c r="D930" s="5">
        <v>30</v>
      </c>
      <c r="E930" s="5">
        <v>0.375</v>
      </c>
      <c r="F930" s="5">
        <v>7.4999999999999997E-2</v>
      </c>
      <c r="G930" s="12">
        <f>(C930*$U$4)/($U$5*$U$3)</f>
        <v>29.387755102040813</v>
      </c>
      <c r="H930" s="11">
        <f>G930*COS(RADIANS(D930))</f>
        <v>25.450542478563094</v>
      </c>
      <c r="I930" s="11">
        <f>G930*SIN(RADIANS(D930))</f>
        <v>14.693877551020405</v>
      </c>
      <c r="J930" s="11">
        <v>0.29299999999999998</v>
      </c>
      <c r="K930" s="12">
        <v>57</v>
      </c>
      <c r="L930" s="12">
        <f>-(F930*G930*$U$3)/J930</f>
        <v>-7.5224629100787066</v>
      </c>
      <c r="M930" s="11">
        <f>ABS(L930/$U$6)</f>
        <v>2.1931378746585149E-2</v>
      </c>
      <c r="N930" s="12">
        <f>L930*SIN(RADIANS(K930))</f>
        <v>-6.3088682411440962</v>
      </c>
      <c r="O930" s="12">
        <f>L930*COS(RADIANS(K930))</f>
        <v>-4.0970269402815989</v>
      </c>
      <c r="P930" s="5">
        <v>5.540503933420986</v>
      </c>
      <c r="Q930" s="5">
        <v>1.3501697897796445</v>
      </c>
      <c r="R930" s="6">
        <f>P930/Q930</f>
        <v>4.1035608820170895</v>
      </c>
    </row>
    <row r="931" spans="1:18" x14ac:dyDescent="0.35">
      <c r="A931" s="9">
        <v>931</v>
      </c>
      <c r="B931" s="5">
        <v>0.5</v>
      </c>
      <c r="C931" s="5">
        <v>2000000</v>
      </c>
      <c r="D931" s="5">
        <v>20</v>
      </c>
      <c r="E931" s="5">
        <v>0</v>
      </c>
      <c r="F931" s="5">
        <v>2.5000000000000001E-2</v>
      </c>
      <c r="G931" s="12">
        <f>(C931*$U$4)/($U$5*$U$3)</f>
        <v>29.387755102040813</v>
      </c>
      <c r="H931" s="11">
        <f>G931*COS(RADIANS(D931))</f>
        <v>27.615456610851183</v>
      </c>
      <c r="I931" s="11">
        <f>G931*SIN(RADIANS(D931))</f>
        <v>10.051204212019652</v>
      </c>
      <c r="J931" s="12">
        <v>0.23230000000000001</v>
      </c>
      <c r="K931" s="12">
        <v>0</v>
      </c>
      <c r="L931" s="12">
        <f>-(F931*G931*$U$3)/J931</f>
        <v>-3.1626942641025413</v>
      </c>
      <c r="M931" s="11">
        <f>ABS(L931/$U$6)</f>
        <v>9.2206829857216944E-3</v>
      </c>
      <c r="N931" s="12">
        <f>L931*SIN(RADIANS(K931))</f>
        <v>0</v>
      </c>
      <c r="O931" s="12">
        <f>L931*COS(RADIANS(K931))</f>
        <v>-3.1626942641025413</v>
      </c>
      <c r="P931" s="5">
        <v>1.9981858779853356</v>
      </c>
      <c r="Q931" s="5">
        <v>0.86135694049309741</v>
      </c>
      <c r="R931" s="6">
        <f>P931/Q931</f>
        <v>2.3198116646525686</v>
      </c>
    </row>
    <row r="932" spans="1:18" x14ac:dyDescent="0.35">
      <c r="A932" s="9">
        <v>932</v>
      </c>
      <c r="B932" s="5">
        <v>0.25</v>
      </c>
      <c r="C932" s="5">
        <v>2000000</v>
      </c>
      <c r="D932" s="5">
        <v>30</v>
      </c>
      <c r="E932" s="5">
        <v>0</v>
      </c>
      <c r="F932" s="5">
        <v>3.5000000000000003E-2</v>
      </c>
      <c r="G932" s="12">
        <f>(C932*$U$4)/($U$5*$U$3)</f>
        <v>29.387755102040813</v>
      </c>
      <c r="H932" s="11">
        <f>G932*COS(RADIANS(D932))</f>
        <v>25.450542478563094</v>
      </c>
      <c r="I932" s="11">
        <f>G932*SIN(RADIANS(D932))</f>
        <v>14.693877551020405</v>
      </c>
      <c r="J932" s="12">
        <v>0.18990000000000001</v>
      </c>
      <c r="K932" s="12">
        <v>0</v>
      </c>
      <c r="L932" s="12">
        <f>-(F932*G932*$U$3)/J932</f>
        <v>-5.4163845633039935</v>
      </c>
      <c r="M932" s="11">
        <f>ABS(L932/$U$6)</f>
        <v>1.5791208639370245E-2</v>
      </c>
      <c r="N932" s="12">
        <f>L932*SIN(RADIANS(K932))</f>
        <v>0</v>
      </c>
      <c r="O932" s="12">
        <f>L932*COS(RADIANS(K932))</f>
        <v>-5.4163845633039935</v>
      </c>
      <c r="P932" s="5">
        <v>2.1829732472681651</v>
      </c>
      <c r="Q932" s="5">
        <v>0.86793281202127859</v>
      </c>
      <c r="R932" s="6">
        <f>P932/Q932</f>
        <v>2.5151408231523877</v>
      </c>
    </row>
    <row r="933" spans="1:18" x14ac:dyDescent="0.35">
      <c r="A933" s="9">
        <v>933</v>
      </c>
      <c r="B933" s="5">
        <v>0.75</v>
      </c>
      <c r="C933" s="5">
        <v>4000000</v>
      </c>
      <c r="D933" s="5">
        <v>30</v>
      </c>
      <c r="E933" s="5">
        <v>0.375</v>
      </c>
      <c r="F933" s="5">
        <v>7.4999999999999997E-2</v>
      </c>
      <c r="G933" s="12">
        <f>(C933*$U$4)/($U$5*$U$3)</f>
        <v>58.775510204081627</v>
      </c>
      <c r="H933" s="11">
        <f>G933*COS(RADIANS(D933))</f>
        <v>50.901084957126187</v>
      </c>
      <c r="I933" s="11">
        <f>G933*SIN(RADIANS(D933))</f>
        <v>29.38775510204081</v>
      </c>
      <c r="J933" s="11">
        <v>0.29299999999999998</v>
      </c>
      <c r="K933" s="12">
        <v>57</v>
      </c>
      <c r="L933" s="12">
        <f>-(F933*G933*$U$3)/J933</f>
        <v>-15.044925820157413</v>
      </c>
      <c r="M933" s="11">
        <f>ABS(L933/$U$6)</f>
        <v>4.3862757493170298E-2</v>
      </c>
      <c r="N933" s="12">
        <f>L933*SIN(RADIANS(K933))</f>
        <v>-12.617736482288192</v>
      </c>
      <c r="O933" s="12">
        <f>L933*COS(RADIANS(K933))</f>
        <v>-8.1940538805631977</v>
      </c>
      <c r="P933" s="5">
        <v>5.4788320447178283</v>
      </c>
      <c r="Q933" s="5">
        <v>1.3485786267089772</v>
      </c>
      <c r="R933" s="6">
        <f>P933/Q933</f>
        <v>4.0626715685745172</v>
      </c>
    </row>
    <row r="934" spans="1:18" x14ac:dyDescent="0.35">
      <c r="A934" s="9">
        <v>934</v>
      </c>
      <c r="B934" s="5">
        <v>0.1</v>
      </c>
      <c r="C934" s="5">
        <v>2000000</v>
      </c>
      <c r="D934" s="5">
        <v>10</v>
      </c>
      <c r="E934" s="5">
        <v>0</v>
      </c>
      <c r="F934" s="5">
        <v>3.5000000000000003E-2</v>
      </c>
      <c r="G934" s="12">
        <f>(C934*$U$4)/($U$5*$U$3)</f>
        <v>29.387755102040813</v>
      </c>
      <c r="H934" s="11">
        <f>G934*COS(RADIANS(D934))</f>
        <v>28.941289068113864</v>
      </c>
      <c r="I934" s="11">
        <f>G934*SIN(RADIANS(D934))</f>
        <v>5.1031301191914213</v>
      </c>
      <c r="J934" s="11">
        <v>0.16569999999999999</v>
      </c>
      <c r="K934" s="12">
        <v>0</v>
      </c>
      <c r="L934" s="12">
        <f>-(F934*G934*$U$3)/J934</f>
        <v>-6.2074316751444085</v>
      </c>
      <c r="M934" s="11">
        <f>ABS(L934/$U$6)</f>
        <v>1.8097468440654251E-2</v>
      </c>
      <c r="N934" s="12">
        <f>L934*SIN(RADIANS(K934))</f>
        <v>0</v>
      </c>
      <c r="O934" s="12">
        <f>L934*COS(RADIANS(K934))</f>
        <v>-6.2074316751444085</v>
      </c>
      <c r="P934" s="5">
        <v>1.3604678591380572</v>
      </c>
      <c r="Q934" s="5">
        <v>0.41627153074986156</v>
      </c>
      <c r="R934" s="6">
        <f>P934/Q934</f>
        <v>3.2682222026746413</v>
      </c>
    </row>
    <row r="935" spans="1:18" x14ac:dyDescent="0.35">
      <c r="A935" s="9">
        <v>935</v>
      </c>
      <c r="B935" s="5">
        <v>0.75</v>
      </c>
      <c r="C935" s="5">
        <v>6000000</v>
      </c>
      <c r="D935" s="5">
        <v>15</v>
      </c>
      <c r="E935" s="5">
        <v>0.25</v>
      </c>
      <c r="F935" s="5">
        <v>2.5000000000000001E-2</v>
      </c>
      <c r="G935" s="12">
        <f>(C935*$U$4)/($U$5*$U$3)</f>
        <v>88.16326530612244</v>
      </c>
      <c r="H935" s="11">
        <f>G935*COS(RADIANS(D935))</f>
        <v>85.159174889158663</v>
      </c>
      <c r="I935" s="11">
        <f>G935*SIN(RADIANS(D935))</f>
        <v>22.818332139650806</v>
      </c>
      <c r="J935" s="12">
        <v>0.28370000000000001</v>
      </c>
      <c r="K935" s="11">
        <v>38</v>
      </c>
      <c r="L935" s="12">
        <f>-(F935*G935*$U$3)/J935</f>
        <v>-7.769057570155308</v>
      </c>
      <c r="M935" s="11">
        <f>ABS(L935/$U$6)</f>
        <v>2.2650313615613142E-2</v>
      </c>
      <c r="N935" s="12">
        <f>L935*SIN(RADIANS(K935))</f>
        <v>-4.7831094455317906</v>
      </c>
      <c r="O935" s="12">
        <f>L935*COS(RADIANS(K935))</f>
        <v>-6.1221009106720921</v>
      </c>
      <c r="P935" s="5">
        <v>4.3037487414881932</v>
      </c>
      <c r="Q935" s="5">
        <v>0.56025283531550651</v>
      </c>
      <c r="R935" s="6">
        <f>P935/Q935</f>
        <v>7.6817973425596966</v>
      </c>
    </row>
    <row r="936" spans="1:18" x14ac:dyDescent="0.35">
      <c r="A936" s="9">
        <v>936</v>
      </c>
      <c r="B936" s="5">
        <v>0.5</v>
      </c>
      <c r="C936" s="5">
        <v>2000000</v>
      </c>
      <c r="D936" s="5">
        <v>0</v>
      </c>
      <c r="E936" s="5">
        <v>0.125</v>
      </c>
      <c r="F936" s="5">
        <v>0.05</v>
      </c>
      <c r="G936" s="12">
        <f>(C936*$U$4)/($U$5*$U$3)</f>
        <v>29.387755102040813</v>
      </c>
      <c r="H936" s="11">
        <f>G936*COS(RADIANS(D936))</f>
        <v>29.387755102040813</v>
      </c>
      <c r="I936" s="11">
        <f>G936*SIN(RADIANS(D936))</f>
        <v>0</v>
      </c>
      <c r="J936" s="12">
        <v>0.23300000000000001</v>
      </c>
      <c r="K936" s="11">
        <v>27</v>
      </c>
      <c r="L936" s="12">
        <f>-(F936*G936*$U$3)/J936</f>
        <v>-6.3063852150302173</v>
      </c>
      <c r="M936" s="11">
        <f>ABS(L936/$U$6)</f>
        <v>1.8385962726035619E-2</v>
      </c>
      <c r="N936" s="12">
        <f>L936*SIN(RADIANS(K936))</f>
        <v>-2.8630389753216572</v>
      </c>
      <c r="O936" s="12">
        <f>L936*COS(RADIANS(K936))</f>
        <v>-5.6190303706369873</v>
      </c>
      <c r="P936" s="5">
        <v>4.7434960029512183</v>
      </c>
      <c r="Q936" s="5">
        <v>2.0884130947172071E-2</v>
      </c>
      <c r="R936" s="6">
        <f>P936/Q936</f>
        <v>227.13399063385671</v>
      </c>
    </row>
    <row r="937" spans="1:18" x14ac:dyDescent="0.35">
      <c r="A937" s="9">
        <v>937</v>
      </c>
      <c r="B937" s="5">
        <v>0.25</v>
      </c>
      <c r="C937" s="5">
        <v>6000000</v>
      </c>
      <c r="D937" s="5">
        <v>15</v>
      </c>
      <c r="E937" s="5">
        <v>0</v>
      </c>
      <c r="F937" s="5">
        <v>2.5000000000000001E-2</v>
      </c>
      <c r="G937" s="12">
        <f>(C937*$U$4)/($U$5*$U$3)</f>
        <v>88.16326530612244</v>
      </c>
      <c r="H937" s="11">
        <f>G937*COS(RADIANS(D937))</f>
        <v>85.159174889158663</v>
      </c>
      <c r="I937" s="11">
        <f>G937*SIN(RADIANS(D937))</f>
        <v>22.818332139650806</v>
      </c>
      <c r="J937" s="12">
        <v>0.18990000000000001</v>
      </c>
      <c r="K937" s="12">
        <v>0</v>
      </c>
      <c r="L937" s="12">
        <f>-(F937*G937*$U$3)/J937</f>
        <v>-11.606538349937129</v>
      </c>
      <c r="M937" s="11">
        <f>ABS(L937/$U$6)</f>
        <v>3.3838304227221949E-2</v>
      </c>
      <c r="N937" s="12">
        <f>L937*SIN(RADIANS(K937))</f>
        <v>0</v>
      </c>
      <c r="O937" s="12">
        <f>L937*COS(RADIANS(K937))</f>
        <v>-11.606538349937129</v>
      </c>
      <c r="P937" s="5">
        <v>2.0764232092930777</v>
      </c>
      <c r="Q937" s="5">
        <v>0.54350016758460384</v>
      </c>
      <c r="R937" s="6">
        <f>P937/Q937</f>
        <v>3.820464708448966</v>
      </c>
    </row>
    <row r="938" spans="1:18" x14ac:dyDescent="0.35">
      <c r="A938" s="9">
        <v>938</v>
      </c>
      <c r="B938" s="5">
        <v>0.5</v>
      </c>
      <c r="C938" s="5">
        <v>2000000</v>
      </c>
      <c r="D938" s="5">
        <v>5</v>
      </c>
      <c r="E938" s="5">
        <v>0.375</v>
      </c>
      <c r="F938" s="5">
        <v>2.5000000000000001E-2</v>
      </c>
      <c r="G938" s="12">
        <f>(C938*$U$4)/($U$5*$U$3)</f>
        <v>29.387755102040813</v>
      </c>
      <c r="H938" s="11">
        <f>G938*COS(RADIANS(D938))</f>
        <v>29.275925821471702</v>
      </c>
      <c r="I938" s="11">
        <f>G938*SIN(RADIANS(D938))</f>
        <v>2.5613116236046478</v>
      </c>
      <c r="J938" s="12">
        <v>0.24809999999999999</v>
      </c>
      <c r="K938" s="12">
        <v>67</v>
      </c>
      <c r="L938" s="12">
        <f>-(F938*G938*$U$3)/J938</f>
        <v>-2.9612812476864989</v>
      </c>
      <c r="M938" s="11">
        <f>ABS(L938/$U$6)</f>
        <v>8.6334730253250693E-3</v>
      </c>
      <c r="N938" s="12">
        <f>L938*SIN(RADIANS(K938))</f>
        <v>-2.7258737609331205</v>
      </c>
      <c r="O938" s="12">
        <f>L938*COS(RADIANS(K938))</f>
        <v>-1.1570647636826701</v>
      </c>
      <c r="P938" s="5">
        <v>2.9853178587805105</v>
      </c>
      <c r="Q938" s="5">
        <v>9.2070908544612334E-2</v>
      </c>
      <c r="R938" s="6">
        <f>P938/Q938</f>
        <v>32.424116433411697</v>
      </c>
    </row>
    <row r="939" spans="1:18" x14ac:dyDescent="0.35">
      <c r="A939" s="9">
        <v>939</v>
      </c>
      <c r="B939" s="5">
        <v>0.5</v>
      </c>
      <c r="C939" s="5">
        <v>4000000</v>
      </c>
      <c r="D939" s="5">
        <v>5</v>
      </c>
      <c r="E939" s="5">
        <v>0</v>
      </c>
      <c r="F939" s="5">
        <v>2.5000000000000001E-2</v>
      </c>
      <c r="G939" s="12">
        <f>(C939*$U$4)/($U$5*$U$3)</f>
        <v>58.775510204081627</v>
      </c>
      <c r="H939" s="11">
        <f>G939*COS(RADIANS(D939))</f>
        <v>58.551851642943404</v>
      </c>
      <c r="I939" s="11">
        <f>G939*SIN(RADIANS(D939))</f>
        <v>5.1226232472092956</v>
      </c>
      <c r="J939" s="12">
        <v>0.23230000000000001</v>
      </c>
      <c r="K939" s="12">
        <v>0</v>
      </c>
      <c r="L939" s="12">
        <f>-(F939*G939*$U$3)/J939</f>
        <v>-6.3253885282050826</v>
      </c>
      <c r="M939" s="11">
        <f>ABS(L939/$U$6)</f>
        <v>1.8441365971443389E-2</v>
      </c>
      <c r="N939" s="12">
        <f>L939*SIN(RADIANS(K939))</f>
        <v>0</v>
      </c>
      <c r="O939" s="12">
        <f>L939*COS(RADIANS(K939))</f>
        <v>-6.3253885282050826</v>
      </c>
      <c r="P939" s="5">
        <v>2.5129274945034874</v>
      </c>
      <c r="Q939" s="5">
        <v>0.57275375636814319</v>
      </c>
      <c r="R939" s="6">
        <f>P939/Q939</f>
        <v>4.3874482996638404</v>
      </c>
    </row>
    <row r="940" spans="1:18" x14ac:dyDescent="0.35">
      <c r="A940" s="9">
        <v>940</v>
      </c>
      <c r="B940" s="5">
        <v>0.25</v>
      </c>
      <c r="C940" s="5">
        <v>4000000</v>
      </c>
      <c r="D940" s="5">
        <v>20</v>
      </c>
      <c r="E940" s="5">
        <v>0.25</v>
      </c>
      <c r="F940" s="5">
        <v>7.4999999999999997E-2</v>
      </c>
      <c r="G940" s="12">
        <f>(C940*$U$4)/($U$5*$U$3)</f>
        <v>58.775510204081627</v>
      </c>
      <c r="H940" s="11">
        <f>G940*COS(RADIANS(D940))</f>
        <v>55.230913221702366</v>
      </c>
      <c r="I940" s="11">
        <f>G940*SIN(RADIANS(D940))</f>
        <v>20.102408424039304</v>
      </c>
      <c r="J940" s="12">
        <v>0.1913</v>
      </c>
      <c r="K940" s="11">
        <v>67</v>
      </c>
      <c r="L940" s="12">
        <f>-(F940*G940*$U$3)/J940</f>
        <v>-23.043195323084799</v>
      </c>
      <c r="M940" s="11">
        <f>ABS(L940/$U$6)</f>
        <v>6.7181327472550428E-2</v>
      </c>
      <c r="N940" s="12">
        <f>L940*SIN(RADIANS(K940))</f>
        <v>-21.211373133952133</v>
      </c>
      <c r="O940" s="12">
        <f>L940*COS(RADIANS(K940))</f>
        <v>-9.0036937125876779</v>
      </c>
      <c r="P940" s="5">
        <v>2.3456042836083641</v>
      </c>
      <c r="Q940" s="5">
        <v>0.67268039393821533</v>
      </c>
      <c r="R940" s="6">
        <f>P940/Q940</f>
        <v>3.4869520573893884</v>
      </c>
    </row>
    <row r="941" spans="1:18" x14ac:dyDescent="0.35">
      <c r="A941" s="9">
        <v>320</v>
      </c>
      <c r="B941" s="5">
        <v>0.25</v>
      </c>
      <c r="C941" s="5">
        <v>4000000</v>
      </c>
      <c r="D941" s="5">
        <v>15</v>
      </c>
      <c r="E941" s="5">
        <v>0</v>
      </c>
      <c r="F941" s="5">
        <v>0.15</v>
      </c>
      <c r="G941" s="12">
        <f>(C941*$U$4)/($U$5*$U$3)</f>
        <v>58.775510204081627</v>
      </c>
      <c r="H941" s="11">
        <f>G941*COS(RADIANS(D941))</f>
        <v>56.772783259439109</v>
      </c>
      <c r="I941" s="11">
        <f>G941*SIN(RADIANS(D941))</f>
        <v>15.212221426433871</v>
      </c>
      <c r="J941" s="12">
        <v>0.18990000000000001</v>
      </c>
      <c r="K941" s="19">
        <v>0</v>
      </c>
      <c r="L941" s="12">
        <f>-(F941*G941*$U$3)/J941</f>
        <v>-46.426153399748515</v>
      </c>
      <c r="M941" s="11">
        <f>ABS(L941/$U$6)</f>
        <v>0.1353532169088878</v>
      </c>
      <c r="N941" s="12">
        <f>L941*SIN(RADIANS(K941))</f>
        <v>0</v>
      </c>
      <c r="O941" s="12">
        <f>L941*COS(RADIANS(K941))</f>
        <v>-46.426153399748515</v>
      </c>
      <c r="P941" s="5">
        <v>2.5077299069387995</v>
      </c>
      <c r="Q941" s="5">
        <v>0.40541205279768266</v>
      </c>
      <c r="R941" s="6">
        <f>P941/Q941</f>
        <v>6.1856323452481572</v>
      </c>
    </row>
    <row r="942" spans="1:18" x14ac:dyDescent="0.35">
      <c r="A942" s="9">
        <v>942</v>
      </c>
      <c r="B942" s="5">
        <v>0.1</v>
      </c>
      <c r="C942" s="5">
        <v>6000000</v>
      </c>
      <c r="D942" s="5">
        <v>30</v>
      </c>
      <c r="E942" s="5">
        <v>0.25</v>
      </c>
      <c r="F942" s="5">
        <v>0</v>
      </c>
      <c r="G942" s="12">
        <f>(C942*$U$4)/($U$5*$U$3)</f>
        <v>88.16326530612244</v>
      </c>
      <c r="H942" s="11">
        <f>G942*COS(RADIANS(D942))</f>
        <v>76.351627435689281</v>
      </c>
      <c r="I942" s="11">
        <f>G942*SIN(RADIANS(D942))</f>
        <v>44.081632653061213</v>
      </c>
      <c r="J942" s="11">
        <v>0.1661</v>
      </c>
      <c r="K942" s="12">
        <v>80</v>
      </c>
      <c r="L942" s="12">
        <f>-(F942*G942*$U$3)/J942</f>
        <v>0</v>
      </c>
      <c r="M942" s="11">
        <f>ABS(L942/$U$6)</f>
        <v>0</v>
      </c>
      <c r="N942" s="12">
        <f>L942*SIN(RADIANS(K942))</f>
        <v>0</v>
      </c>
      <c r="O942" s="12">
        <f>L942*COS(RADIANS(K942))</f>
        <v>0</v>
      </c>
      <c r="P942" s="5">
        <v>1.3401128614471329</v>
      </c>
      <c r="Q942" s="5">
        <v>1.0608760977505394</v>
      </c>
      <c r="R942" s="6">
        <f>P942/Q942</f>
        <v>1.2632133613799781</v>
      </c>
    </row>
    <row r="943" spans="1:18" x14ac:dyDescent="0.35">
      <c r="A943" s="9">
        <v>943</v>
      </c>
      <c r="B943" s="5">
        <v>0.5</v>
      </c>
      <c r="C943" s="5">
        <v>6000000</v>
      </c>
      <c r="D943" s="5">
        <v>30</v>
      </c>
      <c r="E943" s="5">
        <v>0.125</v>
      </c>
      <c r="F943" s="5">
        <v>0.05</v>
      </c>
      <c r="G943" s="12">
        <f>(C943*$U$4)/($U$5*$U$3)</f>
        <v>88.16326530612244</v>
      </c>
      <c r="H943" s="11">
        <f>G943*COS(RADIANS(D943))</f>
        <v>76.351627435689281</v>
      </c>
      <c r="I943" s="11">
        <f>G943*SIN(RADIANS(D943))</f>
        <v>44.081632653061213</v>
      </c>
      <c r="J943" s="12">
        <v>0.23300000000000001</v>
      </c>
      <c r="K943" s="11">
        <v>27</v>
      </c>
      <c r="L943" s="12">
        <f>-(F943*G943*$U$3)/J943</f>
        <v>-18.919155645090651</v>
      </c>
      <c r="M943" s="11">
        <f>ABS(L943/$U$6)</f>
        <v>5.5157888178106858E-2</v>
      </c>
      <c r="N943" s="12">
        <f>L943*SIN(RADIANS(K943))</f>
        <v>-8.5891169259649711</v>
      </c>
      <c r="O943" s="12">
        <f>L943*COS(RADIANS(K943))</f>
        <v>-16.857091111910961</v>
      </c>
      <c r="P943" s="5">
        <v>4.9728703877626774</v>
      </c>
      <c r="Q943" s="5">
        <v>1.6438223828556335</v>
      </c>
      <c r="R943" s="6">
        <f>P943/Q943</f>
        <v>3.0251871732783266</v>
      </c>
    </row>
    <row r="944" spans="1:18" x14ac:dyDescent="0.35">
      <c r="A944" s="9">
        <v>944</v>
      </c>
      <c r="B944" s="5">
        <v>0.75</v>
      </c>
      <c r="C944" s="5">
        <v>6000000</v>
      </c>
      <c r="D944" s="5">
        <v>20</v>
      </c>
      <c r="E944" s="5">
        <v>0.375</v>
      </c>
      <c r="F944" s="5">
        <v>1.4999999999999999E-2</v>
      </c>
      <c r="G944" s="12">
        <f>(C944*$U$4)/($U$5*$U$3)</f>
        <v>88.16326530612244</v>
      </c>
      <c r="H944" s="11">
        <f>G944*COS(RADIANS(D944))</f>
        <v>82.846369832553549</v>
      </c>
      <c r="I944" s="11">
        <f>G944*SIN(RADIANS(D944))</f>
        <v>30.153612636058952</v>
      </c>
      <c r="J944" s="11">
        <v>0.29299999999999998</v>
      </c>
      <c r="K944" s="12">
        <v>57</v>
      </c>
      <c r="L944" s="12">
        <f>-(F944*G944*$U$3)/J944</f>
        <v>-4.513477746047224</v>
      </c>
      <c r="M944" s="11">
        <f>ABS(L944/$U$6)</f>
        <v>1.315882724795109E-2</v>
      </c>
      <c r="N944" s="12">
        <f>L944*SIN(RADIANS(K944))</f>
        <v>-3.7853209446864575</v>
      </c>
      <c r="O944" s="12">
        <f>L944*COS(RADIANS(K944))</f>
        <v>-2.4582161641689595</v>
      </c>
      <c r="P944" s="5">
        <v>4.5988379053741992</v>
      </c>
      <c r="Q944" s="5">
        <v>0.68567813670189115</v>
      </c>
      <c r="R944" s="6">
        <f>P944/Q944</f>
        <v>6.7069921865885789</v>
      </c>
    </row>
    <row r="945" spans="1:18" x14ac:dyDescent="0.35">
      <c r="A945" s="9">
        <v>945</v>
      </c>
      <c r="B945" s="5">
        <v>0.75</v>
      </c>
      <c r="C945" s="5">
        <v>4000000</v>
      </c>
      <c r="D945" s="5">
        <v>5</v>
      </c>
      <c r="E945" s="5">
        <v>0.25</v>
      </c>
      <c r="F945" s="5">
        <v>0.15</v>
      </c>
      <c r="G945" s="12">
        <f>(C945*$U$4)/($U$5*$U$3)</f>
        <v>58.775510204081627</v>
      </c>
      <c r="H945" s="11">
        <f>G945*COS(RADIANS(D945))</f>
        <v>58.551851642943404</v>
      </c>
      <c r="I945" s="11">
        <f>G945*SIN(RADIANS(D945))</f>
        <v>5.1226232472092956</v>
      </c>
      <c r="J945" s="12">
        <v>0.28370000000000001</v>
      </c>
      <c r="K945" s="11">
        <v>38</v>
      </c>
      <c r="L945" s="12">
        <f>-(F945*G945*$U$3)/J945</f>
        <v>-31.076230280621232</v>
      </c>
      <c r="M945" s="11">
        <f>ABS(L945/$U$6)</f>
        <v>9.0601254462452568E-2</v>
      </c>
      <c r="N945" s="12">
        <f>L945*SIN(RADIANS(K945))</f>
        <v>-19.132437782127163</v>
      </c>
      <c r="O945" s="12">
        <f>L945*COS(RADIANS(K945))</f>
        <v>-24.488403642688368</v>
      </c>
      <c r="P945" s="5">
        <v>4.6401494147699465</v>
      </c>
      <c r="Q945" s="5">
        <v>-0.2136041279431051</v>
      </c>
      <c r="R945" s="6">
        <f>P945/Q945</f>
        <v>-21.723126137365107</v>
      </c>
    </row>
    <row r="946" spans="1:18" x14ac:dyDescent="0.35">
      <c r="A946" s="9">
        <v>946</v>
      </c>
      <c r="B946" s="5">
        <v>0.25</v>
      </c>
      <c r="C946" s="5">
        <v>4000000</v>
      </c>
      <c r="D946" s="5">
        <v>20</v>
      </c>
      <c r="E946" s="5">
        <v>0.375</v>
      </c>
      <c r="F946" s="5">
        <v>0</v>
      </c>
      <c r="G946" s="12">
        <f>(C946*$U$4)/($U$5*$U$3)</f>
        <v>58.775510204081627</v>
      </c>
      <c r="H946" s="11">
        <f>G946*COS(RADIANS(D946))</f>
        <v>55.230913221702366</v>
      </c>
      <c r="I946" s="11">
        <f>G946*SIN(RADIANS(D946))</f>
        <v>20.102408424039304</v>
      </c>
      <c r="J946" s="11">
        <v>0.1976</v>
      </c>
      <c r="K946" s="12">
        <v>78</v>
      </c>
      <c r="L946" s="12">
        <f>-(F946*G946*$U$3)/J946</f>
        <v>0</v>
      </c>
      <c r="M946" s="11">
        <f>ABS(L946/$U$6)</f>
        <v>0</v>
      </c>
      <c r="N946" s="12">
        <f>L946*SIN(RADIANS(K946))</f>
        <v>0</v>
      </c>
      <c r="O946" s="12">
        <f>L946*COS(RADIANS(K946))</f>
        <v>0</v>
      </c>
      <c r="P946" s="5">
        <v>2.8057928840309483</v>
      </c>
      <c r="Q946" s="5">
        <v>1.0127334297355675</v>
      </c>
      <c r="R946" s="6">
        <f>P946/Q946</f>
        <v>2.7705147293928696</v>
      </c>
    </row>
    <row r="947" spans="1:18" x14ac:dyDescent="0.35">
      <c r="A947" s="9">
        <v>947</v>
      </c>
      <c r="B947" s="5">
        <v>0.75</v>
      </c>
      <c r="C947" s="5">
        <v>6000000</v>
      </c>
      <c r="D947" s="5">
        <v>10</v>
      </c>
      <c r="E947" s="5">
        <v>0.375</v>
      </c>
      <c r="F947" s="5">
        <v>3.5000000000000003E-2</v>
      </c>
      <c r="G947" s="12">
        <f>(C947*$U$4)/($U$5*$U$3)</f>
        <v>88.16326530612244</v>
      </c>
      <c r="H947" s="11">
        <f>G947*COS(RADIANS(D947))</f>
        <v>86.823867204341596</v>
      </c>
      <c r="I947" s="11">
        <f>G947*SIN(RADIANS(D947))</f>
        <v>15.309390357574264</v>
      </c>
      <c r="J947" s="11">
        <v>0.29299999999999998</v>
      </c>
      <c r="K947" s="12">
        <v>57</v>
      </c>
      <c r="L947" s="12">
        <f>-(F947*G947*$U$3)/J947</f>
        <v>-10.531448074110191</v>
      </c>
      <c r="M947" s="11">
        <f>ABS(L947/$U$6)</f>
        <v>3.0703930245219217E-2</v>
      </c>
      <c r="N947" s="12">
        <f>L947*SIN(RADIANS(K947))</f>
        <v>-8.8324155376017366</v>
      </c>
      <c r="O947" s="12">
        <f>L947*COS(RADIANS(K947))</f>
        <v>-5.73583771639424</v>
      </c>
      <c r="P947" s="5">
        <v>3.8999238090955637</v>
      </c>
      <c r="Q947" s="5">
        <v>0.24386240879249924</v>
      </c>
      <c r="R947" s="6">
        <f>P947/Q947</f>
        <v>15.992312338774529</v>
      </c>
    </row>
    <row r="948" spans="1:18" x14ac:dyDescent="0.35">
      <c r="A948" s="9">
        <v>948</v>
      </c>
      <c r="B948" s="5">
        <v>0.1</v>
      </c>
      <c r="C948" s="5">
        <v>6000000</v>
      </c>
      <c r="D948" s="5">
        <v>0</v>
      </c>
      <c r="E948" s="5">
        <v>0.375</v>
      </c>
      <c r="F948" s="5">
        <v>2.5000000000000001E-2</v>
      </c>
      <c r="G948" s="12">
        <f>(C948*$U$4)/($U$5*$U$3)</f>
        <v>88.16326530612244</v>
      </c>
      <c r="H948" s="11">
        <f>G948*COS(RADIANS(D948))</f>
        <v>88.16326530612244</v>
      </c>
      <c r="I948" s="11">
        <f>G948*SIN(RADIANS(D948))</f>
        <v>0</v>
      </c>
      <c r="J948" s="12">
        <v>0.16789999999999999</v>
      </c>
      <c r="K948" s="11">
        <v>85</v>
      </c>
      <c r="L948" s="12">
        <f>-(F948*G948*$U$3)/J948</f>
        <v>-13.127347424973562</v>
      </c>
      <c r="M948" s="11">
        <f>ABS(L948/$U$6)</f>
        <v>3.8272149927036626E-2</v>
      </c>
      <c r="N948" s="12">
        <f>L948*SIN(RADIANS(K948))</f>
        <v>-13.077393904766991</v>
      </c>
      <c r="O948" s="12">
        <f>L948*COS(RADIANS(K948))</f>
        <v>-1.1441237151301282</v>
      </c>
      <c r="P948" s="5">
        <v>1.4735084224266541</v>
      </c>
      <c r="Q948" s="5">
        <v>0.19618261770075121</v>
      </c>
      <c r="R948" s="6">
        <f>P948/Q948</f>
        <v>7.5109020345231734</v>
      </c>
    </row>
    <row r="949" spans="1:18" x14ac:dyDescent="0.35">
      <c r="A949" s="9">
        <v>949</v>
      </c>
      <c r="B949" s="5">
        <v>0.75</v>
      </c>
      <c r="C949" s="5">
        <v>4000000</v>
      </c>
      <c r="D949" s="5">
        <v>0</v>
      </c>
      <c r="E949" s="5">
        <v>0.375</v>
      </c>
      <c r="F949" s="5">
        <v>2.5000000000000001E-2</v>
      </c>
      <c r="G949" s="12">
        <f>(C949*$U$4)/($U$5*$U$3)</f>
        <v>58.775510204081627</v>
      </c>
      <c r="H949" s="11">
        <f>G949*COS(RADIANS(D949))</f>
        <v>58.775510204081627</v>
      </c>
      <c r="I949" s="11">
        <f>G949*SIN(RADIANS(D949))</f>
        <v>0</v>
      </c>
      <c r="J949" s="11">
        <v>0.29299999999999998</v>
      </c>
      <c r="K949" s="12">
        <v>57</v>
      </c>
      <c r="L949" s="12">
        <f>-(F949*G949*$U$3)/J949</f>
        <v>-5.0149752733858044</v>
      </c>
      <c r="M949" s="11">
        <f>ABS(L949/$U$6)</f>
        <v>1.46209191643901E-2</v>
      </c>
      <c r="N949" s="12">
        <f>L949*SIN(RADIANS(K949))</f>
        <v>-4.2059121607627308</v>
      </c>
      <c r="O949" s="12">
        <f>L949*COS(RADIANS(K949))</f>
        <v>-2.7313512935210662</v>
      </c>
      <c r="P949" s="5">
        <v>3.7619789495007785</v>
      </c>
      <c r="Q949" s="5">
        <v>-0.28927963857957162</v>
      </c>
      <c r="R949" s="6">
        <f>P949/Q949</f>
        <v>-13.004644806571749</v>
      </c>
    </row>
    <row r="950" spans="1:18" x14ac:dyDescent="0.35">
      <c r="A950" s="9">
        <v>950</v>
      </c>
      <c r="B950" s="5">
        <v>0.1</v>
      </c>
      <c r="C950" s="5">
        <v>2000000</v>
      </c>
      <c r="D950" s="5">
        <v>10</v>
      </c>
      <c r="E950" s="5">
        <v>0.125</v>
      </c>
      <c r="F950" s="5">
        <v>1.4999999999999999E-2</v>
      </c>
      <c r="G950" s="12">
        <f>(C950*$U$4)/($U$5*$U$3)</f>
        <v>29.387755102040813</v>
      </c>
      <c r="H950" s="11">
        <f>G950*COS(RADIANS(D950))</f>
        <v>28.941289068113864</v>
      </c>
      <c r="I950" s="11">
        <f>G950*SIN(RADIANS(D950))</f>
        <v>5.1031301191914213</v>
      </c>
      <c r="J950" s="12">
        <v>0.1658</v>
      </c>
      <c r="K950" s="12">
        <v>69</v>
      </c>
      <c r="L950" s="12">
        <f>-(F950*G950*$U$3)/J950</f>
        <v>-2.6587233204500134</v>
      </c>
      <c r="M950" s="11">
        <f>ABS(L950/$U$6)</f>
        <v>7.7513799430029545E-3</v>
      </c>
      <c r="N950" s="12">
        <f>L950*SIN(RADIANS(K950))</f>
        <v>-2.4821320514437799</v>
      </c>
      <c r="O950" s="12">
        <f>L950*COS(RADIANS(K950))</f>
        <v>-0.95280122475794393</v>
      </c>
      <c r="P950" s="5">
        <v>1.3279387970692664</v>
      </c>
      <c r="Q950" s="5">
        <v>0.44103017979687859</v>
      </c>
      <c r="R950" s="6">
        <f>P950/Q950</f>
        <v>3.0109930292771883</v>
      </c>
    </row>
    <row r="951" spans="1:18" x14ac:dyDescent="0.35">
      <c r="A951" s="9">
        <v>951</v>
      </c>
      <c r="B951" s="5">
        <v>0.1</v>
      </c>
      <c r="C951" s="5">
        <v>6000000</v>
      </c>
      <c r="D951" s="5">
        <v>0</v>
      </c>
      <c r="E951" s="5">
        <v>0.125</v>
      </c>
      <c r="F951" s="5">
        <v>0</v>
      </c>
      <c r="G951" s="12">
        <f>(C951*$U$4)/($U$5*$U$3)</f>
        <v>88.16326530612244</v>
      </c>
      <c r="H951" s="11">
        <f>G951*COS(RADIANS(D951))</f>
        <v>88.16326530612244</v>
      </c>
      <c r="I951" s="11">
        <f>G951*SIN(RADIANS(D951))</f>
        <v>0</v>
      </c>
      <c r="J951" s="12">
        <v>0.1658</v>
      </c>
      <c r="K951" s="12">
        <v>69</v>
      </c>
      <c r="L951" s="12">
        <f>-(F951*G951*$U$3)/J951</f>
        <v>0</v>
      </c>
      <c r="M951" s="11">
        <f>ABS(L951/$U$6)</f>
        <v>0</v>
      </c>
      <c r="N951" s="12">
        <f>L951*SIN(RADIANS(K951))</f>
        <v>0</v>
      </c>
      <c r="O951" s="12">
        <f>L951*COS(RADIANS(K951))</f>
        <v>0</v>
      </c>
      <c r="P951" s="5">
        <v>1.2127596235228852</v>
      </c>
      <c r="Q951" s="5">
        <v>0.23957294579180202</v>
      </c>
      <c r="R951" s="6">
        <f>P951/Q951</f>
        <v>5.0621726903037683</v>
      </c>
    </row>
    <row r="952" spans="1:18" x14ac:dyDescent="0.35">
      <c r="A952" s="9">
        <v>425</v>
      </c>
      <c r="B952" s="5">
        <v>0.25</v>
      </c>
      <c r="C952" s="5">
        <v>4000000</v>
      </c>
      <c r="D952" s="5">
        <v>0</v>
      </c>
      <c r="E952" s="5">
        <v>0</v>
      </c>
      <c r="F952" s="5">
        <v>0.15</v>
      </c>
      <c r="G952" s="12">
        <f>(C952*$U$4)/($U$5*$U$3)</f>
        <v>58.775510204081627</v>
      </c>
      <c r="H952" s="11">
        <f>G952*COS(RADIANS(D952))</f>
        <v>58.775510204081627</v>
      </c>
      <c r="I952" s="11">
        <f>G952*SIN(RADIANS(D952))</f>
        <v>0</v>
      </c>
      <c r="J952" s="12">
        <v>0.18990000000000001</v>
      </c>
      <c r="K952" s="12">
        <v>0</v>
      </c>
      <c r="L952" s="12">
        <f>-(F952*G952*$U$3)/J952</f>
        <v>-46.426153399748515</v>
      </c>
      <c r="M952" s="11">
        <f>ABS(L952/$U$6)</f>
        <v>0.1353532169088878</v>
      </c>
      <c r="N952" s="12">
        <f>L952*SIN(RADIANS(K952))</f>
        <v>0</v>
      </c>
      <c r="O952" s="12">
        <f>L952*COS(RADIANS(K952))</f>
        <v>-46.426153399748515</v>
      </c>
      <c r="P952" s="5">
        <v>2.2965404526069437</v>
      </c>
      <c r="Q952" s="5">
        <v>1.6227047345565453E-2</v>
      </c>
      <c r="R952" s="6">
        <f>P952/Q952</f>
        <v>141.5254669380468</v>
      </c>
    </row>
    <row r="953" spans="1:18" x14ac:dyDescent="0.35">
      <c r="A953" s="9">
        <v>1012</v>
      </c>
      <c r="B953" s="5">
        <v>0.25</v>
      </c>
      <c r="C953" s="5">
        <v>4000000</v>
      </c>
      <c r="D953" s="5">
        <v>30</v>
      </c>
      <c r="E953" s="5">
        <v>0</v>
      </c>
      <c r="F953" s="5">
        <v>0.15</v>
      </c>
      <c r="G953" s="12">
        <f>(C953*$U$4)/($U$5*$U$3)</f>
        <v>58.775510204081627</v>
      </c>
      <c r="H953" s="11">
        <f>G953*COS(RADIANS(D953))</f>
        <v>50.901084957126187</v>
      </c>
      <c r="I953" s="11">
        <f>G953*SIN(RADIANS(D953))</f>
        <v>29.38775510204081</v>
      </c>
      <c r="J953" s="12">
        <v>0.18990000000000001</v>
      </c>
      <c r="K953" s="12">
        <v>0</v>
      </c>
      <c r="L953" s="12">
        <f>-(F953*G953*$U$3)/J953</f>
        <v>-46.426153399748515</v>
      </c>
      <c r="M953" s="11">
        <f>ABS(L953/$U$6)</f>
        <v>0.1353532169088878</v>
      </c>
      <c r="N953" s="12">
        <f>L953*SIN(RADIANS(K953))</f>
        <v>0</v>
      </c>
      <c r="O953" s="12">
        <f>L953*COS(RADIANS(K953))</f>
        <v>-46.426153399748515</v>
      </c>
      <c r="P953" s="5">
        <v>2.6401308002130652</v>
      </c>
      <c r="Q953" s="5">
        <v>0.8180182496283489</v>
      </c>
      <c r="R953" s="6">
        <f>P953/Q953</f>
        <v>3.2274717604559049</v>
      </c>
    </row>
    <row r="954" spans="1:18" x14ac:dyDescent="0.35">
      <c r="A954" s="9">
        <v>954</v>
      </c>
      <c r="B954" s="5">
        <v>1</v>
      </c>
      <c r="C954" s="5">
        <v>6000000</v>
      </c>
      <c r="D954" s="5">
        <v>30</v>
      </c>
      <c r="E954" s="5">
        <v>0.25</v>
      </c>
      <c r="F954" s="5">
        <v>0.05</v>
      </c>
      <c r="G954" s="12">
        <f>(C954*$U$4)/($U$5*$U$3)</f>
        <v>88.16326530612244</v>
      </c>
      <c r="H954" s="11">
        <f>G954*COS(RADIANS(D954))</f>
        <v>76.351627435689281</v>
      </c>
      <c r="I954" s="11">
        <f>G954*SIN(RADIANS(D954))</f>
        <v>44.081632653061213</v>
      </c>
      <c r="J954" s="13">
        <v>0.33379999999999999</v>
      </c>
      <c r="K954" s="12">
        <v>30</v>
      </c>
      <c r="L954" s="12">
        <f>-(F954*G954*$U$3)/J954</f>
        <v>-13.206001393966813</v>
      </c>
      <c r="M954" s="11">
        <f>ABS(L954/$U$6)</f>
        <v>3.8501461789990712E-2</v>
      </c>
      <c r="N954" s="12">
        <f>L954*SIN(RADIANS(K954))</f>
        <v>-6.6030006969834059</v>
      </c>
      <c r="O954" s="12">
        <f>L954*COS(RADIANS(K954))</f>
        <v>-11.43673268958797</v>
      </c>
      <c r="P954" s="5">
        <v>3.5125521430033442</v>
      </c>
      <c r="Q954" s="5">
        <v>1.6725517251190036</v>
      </c>
      <c r="R954" s="6">
        <f>P954/Q954</f>
        <v>2.1001157035985973</v>
      </c>
    </row>
    <row r="955" spans="1:18" x14ac:dyDescent="0.35">
      <c r="A955" s="9">
        <v>955</v>
      </c>
      <c r="B955" s="5">
        <v>1</v>
      </c>
      <c r="C955" s="5">
        <v>2000000</v>
      </c>
      <c r="D955" s="5">
        <v>30</v>
      </c>
      <c r="E955" s="5">
        <v>0</v>
      </c>
      <c r="F955" s="5">
        <v>0.1</v>
      </c>
      <c r="G955" s="12">
        <f>(C955*$U$4)/($U$5*$U$3)</f>
        <v>29.387755102040813</v>
      </c>
      <c r="H955" s="11">
        <f>G955*COS(RADIANS(D955))</f>
        <v>25.450542478563094</v>
      </c>
      <c r="I955" s="11">
        <f>G955*SIN(RADIANS(D955))</f>
        <v>14.693877551020405</v>
      </c>
      <c r="J955" s="11">
        <v>0.33379999999999999</v>
      </c>
      <c r="K955" s="12">
        <v>0</v>
      </c>
      <c r="L955" s="12">
        <f>-(F955*G955*$U$3)/J955</f>
        <v>-8.8040009293112096</v>
      </c>
      <c r="M955" s="11">
        <f>ABS(L955/$U$6)</f>
        <v>2.566764119332714E-2</v>
      </c>
      <c r="N955" s="12">
        <f>L955*SIN(RADIANS(K955))</f>
        <v>0</v>
      </c>
      <c r="O955" s="12">
        <f>L955*COS(RADIANS(K955))</f>
        <v>-8.8040009293112096</v>
      </c>
      <c r="P955" s="5">
        <v>0.76402000062145281</v>
      </c>
      <c r="Q955" s="5">
        <v>1.6438035945635394</v>
      </c>
      <c r="R955" s="6">
        <f>P955/Q955</f>
        <v>0.46478788776728186</v>
      </c>
    </row>
    <row r="956" spans="1:18" x14ac:dyDescent="0.35">
      <c r="A956" s="9">
        <v>956</v>
      </c>
      <c r="B956" s="5">
        <v>0.5</v>
      </c>
      <c r="C956" s="5">
        <v>4000000</v>
      </c>
      <c r="D956" s="5">
        <v>0</v>
      </c>
      <c r="E956" s="5">
        <v>0.25</v>
      </c>
      <c r="F956" s="5">
        <v>3.5000000000000003E-2</v>
      </c>
      <c r="G956" s="12">
        <f>(C956*$U$4)/($U$5*$U$3)</f>
        <v>58.775510204081627</v>
      </c>
      <c r="H956" s="11">
        <f>G956*COS(RADIANS(D956))</f>
        <v>58.775510204081627</v>
      </c>
      <c r="I956" s="11">
        <f>G956*SIN(RADIANS(D956))</f>
        <v>0</v>
      </c>
      <c r="J956" s="11">
        <v>0.23580000000000001</v>
      </c>
      <c r="K956" s="11">
        <v>49</v>
      </c>
      <c r="L956" s="12">
        <f>-(F956*G956*$U$3)/J956</f>
        <v>-8.7241003271537618</v>
      </c>
      <c r="M956" s="11">
        <f>ABS(L956/$U$6)</f>
        <v>2.5434694831352075E-2</v>
      </c>
      <c r="N956" s="12">
        <f>L956*SIN(RADIANS(K956))</f>
        <v>-6.5841620957275637</v>
      </c>
      <c r="O956" s="12">
        <f>L956*COS(RADIANS(K956))</f>
        <v>-5.7235247894482635</v>
      </c>
      <c r="P956" s="5">
        <v>2.5149674797319004</v>
      </c>
      <c r="Q956" s="5">
        <v>0.10577674950978014</v>
      </c>
      <c r="R956" s="6">
        <f>P956/Q956</f>
        <v>23.77618419347785</v>
      </c>
    </row>
    <row r="957" spans="1:18" x14ac:dyDescent="0.35">
      <c r="A957" s="9">
        <v>957</v>
      </c>
      <c r="B957" s="5">
        <v>0.75</v>
      </c>
      <c r="C957" s="5">
        <v>2000000</v>
      </c>
      <c r="D957" s="5">
        <v>20</v>
      </c>
      <c r="E957" s="5">
        <v>0.125</v>
      </c>
      <c r="F957" s="5">
        <v>0.15</v>
      </c>
      <c r="G957" s="12">
        <f>(C957*$U$4)/($U$5*$U$3)</f>
        <v>29.387755102040813</v>
      </c>
      <c r="H957" s="11">
        <f>G957*COS(RADIANS(D957))</f>
        <v>27.615456610851183</v>
      </c>
      <c r="I957" s="11">
        <f>G957*SIN(RADIANS(D957))</f>
        <v>10.051204212019652</v>
      </c>
      <c r="J957" s="12">
        <v>0.2802</v>
      </c>
      <c r="K957" s="12">
        <v>19</v>
      </c>
      <c r="L957" s="12">
        <f>-(F957*G957*$U$3)/J957</f>
        <v>-15.732202945417994</v>
      </c>
      <c r="M957" s="11">
        <f>ABS(L957/$U$6)</f>
        <v>4.5866480890431466E-2</v>
      </c>
      <c r="N957" s="12">
        <f>L957*SIN(RADIANS(K957))</f>
        <v>-5.1219042784851814</v>
      </c>
      <c r="O957" s="12">
        <f>L957*COS(RADIANS(K957))</f>
        <v>-14.875090119990999</v>
      </c>
      <c r="P957" s="5">
        <v>3.7097244361421273</v>
      </c>
      <c r="Q957" s="5">
        <v>0.78219590264801175</v>
      </c>
      <c r="R957" s="6">
        <f>P957/Q957</f>
        <v>4.7427050225952199</v>
      </c>
    </row>
    <row r="958" spans="1:18" x14ac:dyDescent="0.35">
      <c r="A958" s="9">
        <v>1109</v>
      </c>
      <c r="B958" s="5">
        <v>0.25</v>
      </c>
      <c r="C958" s="5">
        <v>6000000</v>
      </c>
      <c r="D958" s="5">
        <v>0</v>
      </c>
      <c r="E958" s="5">
        <v>0</v>
      </c>
      <c r="F958" s="5">
        <v>0.1</v>
      </c>
      <c r="G958" s="12">
        <f>(C958*$U$4)/($U$5*$U$3)</f>
        <v>88.16326530612244</v>
      </c>
      <c r="H958" s="11">
        <f>G958*COS(RADIANS(D958))</f>
        <v>88.16326530612244</v>
      </c>
      <c r="I958" s="11">
        <f>G958*SIN(RADIANS(D958))</f>
        <v>0</v>
      </c>
      <c r="J958" s="19">
        <v>0.18990000000000001</v>
      </c>
      <c r="K958" s="19">
        <v>0</v>
      </c>
      <c r="L958" s="12">
        <f>-(F958*G958*$U$3)/J958</f>
        <v>-46.426153399748515</v>
      </c>
      <c r="M958" s="11">
        <f>ABS(L958/$U$6)</f>
        <v>0.1353532169088878</v>
      </c>
      <c r="N958" s="12">
        <f>L958*SIN(RADIANS(K958))</f>
        <v>0</v>
      </c>
      <c r="O958" s="12">
        <f>L958*COS(RADIANS(K958))</f>
        <v>-46.426153399748515</v>
      </c>
      <c r="P958" s="5">
        <v>2.2421488400582565</v>
      </c>
      <c r="Q958" s="5">
        <v>8.8760285477074471E-2</v>
      </c>
      <c r="R958" s="6">
        <f>P958/Q958</f>
        <v>25.260721368875856</v>
      </c>
    </row>
    <row r="959" spans="1:18" x14ac:dyDescent="0.35">
      <c r="A959" s="9">
        <v>959</v>
      </c>
      <c r="B959" s="5">
        <v>0.75</v>
      </c>
      <c r="C959" s="5">
        <v>4000000</v>
      </c>
      <c r="D959" s="5">
        <v>5</v>
      </c>
      <c r="E959" s="5">
        <v>0</v>
      </c>
      <c r="F959" s="5">
        <v>3.5000000000000003E-2</v>
      </c>
      <c r="G959" s="12">
        <f>(C959*$U$4)/($U$5*$U$3)</f>
        <v>58.775510204081627</v>
      </c>
      <c r="H959" s="11">
        <f>G959*COS(RADIANS(D959))</f>
        <v>58.551851642943404</v>
      </c>
      <c r="I959" s="11">
        <f>G959*SIN(RADIANS(D959))</f>
        <v>5.1226232472092956</v>
      </c>
      <c r="J959" s="11">
        <v>0.27929999999999999</v>
      </c>
      <c r="K959" s="12">
        <v>0</v>
      </c>
      <c r="L959" s="12">
        <f>-(F959*G959*$U$3)/J959</f>
        <v>-7.3653521558999531</v>
      </c>
      <c r="M959" s="11">
        <f>ABS(L959/$U$6)</f>
        <v>2.1473329900582955E-2</v>
      </c>
      <c r="N959" s="12">
        <f>L959*SIN(RADIANS(K959))</f>
        <v>0</v>
      </c>
      <c r="O959" s="12">
        <f>L959*COS(RADIANS(K959))</f>
        <v>-7.3653521558999531</v>
      </c>
      <c r="P959" s="5">
        <v>4.5030762838763199</v>
      </c>
      <c r="Q959" s="5">
        <v>0.63509824793600222</v>
      </c>
      <c r="R959" s="6">
        <f>P959/Q959</f>
        <v>7.0903616857876886</v>
      </c>
    </row>
    <row r="960" spans="1:18" x14ac:dyDescent="0.35">
      <c r="A960" s="9">
        <v>960</v>
      </c>
      <c r="B960" s="5">
        <v>0.25</v>
      </c>
      <c r="C960" s="5">
        <v>2000000</v>
      </c>
      <c r="D960" s="5">
        <v>30</v>
      </c>
      <c r="E960" s="5">
        <v>0.25</v>
      </c>
      <c r="F960" s="5">
        <v>2.5000000000000001E-2</v>
      </c>
      <c r="G960" s="12">
        <f>(C960*$U$4)/($U$5*$U$3)</f>
        <v>29.387755102040813</v>
      </c>
      <c r="H960" s="11">
        <f>G960*COS(RADIANS(D960))</f>
        <v>25.450542478563094</v>
      </c>
      <c r="I960" s="11">
        <f>G960*SIN(RADIANS(D960))</f>
        <v>14.693877551020405</v>
      </c>
      <c r="J960" s="12">
        <v>0.1913</v>
      </c>
      <c r="K960" s="11">
        <v>67</v>
      </c>
      <c r="L960" s="12">
        <f>-(F960*G960*$U$3)/J960</f>
        <v>-3.8405325538474666</v>
      </c>
      <c r="M960" s="11">
        <f>ABS(L960/$U$6)</f>
        <v>1.119688791209174E-2</v>
      </c>
      <c r="N960" s="12">
        <f>L960*SIN(RADIANS(K960))</f>
        <v>-3.5352288556586888</v>
      </c>
      <c r="O960" s="12">
        <f>L960*COS(RADIANS(K960))</f>
        <v>-1.5006156187646129</v>
      </c>
      <c r="P960" s="5">
        <v>2.1274065241430158</v>
      </c>
      <c r="Q960" s="5">
        <v>0.90837068396943377</v>
      </c>
      <c r="R960" s="6">
        <f>P960/Q960</f>
        <v>2.3420026225930051</v>
      </c>
    </row>
    <row r="961" spans="1:18" x14ac:dyDescent="0.35">
      <c r="A961" s="9">
        <v>961</v>
      </c>
      <c r="B961" s="5">
        <v>0.25</v>
      </c>
      <c r="C961" s="5">
        <v>6000000</v>
      </c>
      <c r="D961" s="5">
        <v>5</v>
      </c>
      <c r="E961" s="5">
        <v>0.25</v>
      </c>
      <c r="F961" s="5">
        <v>0.05</v>
      </c>
      <c r="G961" s="12">
        <f>(C961*$U$4)/($U$5*$U$3)</f>
        <v>88.16326530612244</v>
      </c>
      <c r="H961" s="11">
        <f>G961*COS(RADIANS(D961))</f>
        <v>87.827777464415107</v>
      </c>
      <c r="I961" s="11">
        <f>G961*SIN(RADIANS(D961))</f>
        <v>7.6839348708139434</v>
      </c>
      <c r="J961" s="12">
        <v>0.1913</v>
      </c>
      <c r="K961" s="11">
        <v>67</v>
      </c>
      <c r="L961" s="12">
        <f>-(F961*G961*$U$3)/J961</f>
        <v>-23.043195323084799</v>
      </c>
      <c r="M961" s="11">
        <f>ABS(L961/$U$6)</f>
        <v>6.7181327472550428E-2</v>
      </c>
      <c r="N961" s="12">
        <f>L961*SIN(RADIANS(K961))</f>
        <v>-21.211373133952133</v>
      </c>
      <c r="O961" s="12">
        <f>L961*COS(RADIANS(K961))</f>
        <v>-9.0036937125876779</v>
      </c>
      <c r="P961" s="5">
        <v>2.0768130150544413</v>
      </c>
      <c r="Q961" s="5">
        <v>0.24890102006904657</v>
      </c>
      <c r="R961" s="6">
        <f>P961/Q961</f>
        <v>8.3439313124483032</v>
      </c>
    </row>
    <row r="962" spans="1:18" x14ac:dyDescent="0.35">
      <c r="A962" s="9">
        <v>962</v>
      </c>
      <c r="B962" s="5">
        <v>0.25</v>
      </c>
      <c r="C962" s="5">
        <v>6000000</v>
      </c>
      <c r="D962" s="5">
        <v>10</v>
      </c>
      <c r="E962" s="5">
        <v>0.375</v>
      </c>
      <c r="F962" s="5">
        <v>3.5000000000000003E-2</v>
      </c>
      <c r="G962" s="12">
        <f>(C962*$U$4)/($U$5*$U$3)</f>
        <v>88.16326530612244</v>
      </c>
      <c r="H962" s="11">
        <f>G962*COS(RADIANS(D962))</f>
        <v>86.823867204341596</v>
      </c>
      <c r="I962" s="11">
        <f>G962*SIN(RADIANS(D962))</f>
        <v>15.309390357574264</v>
      </c>
      <c r="J962" s="11">
        <v>0.1976</v>
      </c>
      <c r="K962" s="12">
        <v>78</v>
      </c>
      <c r="L962" s="12">
        <f>-(F962*G962*$U$3)/J962</f>
        <v>-15.615962984384037</v>
      </c>
      <c r="M962" s="11">
        <f>ABS(L962/$U$6)</f>
        <v>4.5527588875755212E-2</v>
      </c>
      <c r="N962" s="12">
        <f>L962*SIN(RADIANS(K962))</f>
        <v>-15.274716726323165</v>
      </c>
      <c r="O962" s="12">
        <f>L962*COS(RADIANS(K962))</f>
        <v>-3.2467412678308301</v>
      </c>
      <c r="P962" s="5">
        <v>2.2518772171434653</v>
      </c>
      <c r="Q962" s="5">
        <v>0.3089340343987696</v>
      </c>
      <c r="R962" s="6">
        <f>P962/Q962</f>
        <v>7.289184636215122</v>
      </c>
    </row>
    <row r="963" spans="1:18" x14ac:dyDescent="0.35">
      <c r="A963" s="9">
        <v>963</v>
      </c>
      <c r="B963" s="5">
        <v>0.75</v>
      </c>
      <c r="C963" s="5">
        <v>2000000</v>
      </c>
      <c r="D963" s="5">
        <v>5</v>
      </c>
      <c r="E963" s="5">
        <v>0.125</v>
      </c>
      <c r="F963" s="5">
        <v>3.5000000000000003E-2</v>
      </c>
      <c r="G963" s="12">
        <f>(C963*$U$4)/($U$5*$U$3)</f>
        <v>29.387755102040813</v>
      </c>
      <c r="H963" s="11">
        <f>G963*COS(RADIANS(D963))</f>
        <v>29.275925821471702</v>
      </c>
      <c r="I963" s="11">
        <f>G963*SIN(RADIANS(D963))</f>
        <v>2.5613116236046478</v>
      </c>
      <c r="J963" s="12">
        <v>0.2802</v>
      </c>
      <c r="K963" s="12">
        <v>19</v>
      </c>
      <c r="L963" s="12">
        <f>-(F963*G963*$U$3)/J963</f>
        <v>-3.6708473539308653</v>
      </c>
      <c r="M963" s="11">
        <f>ABS(L963/$U$6)</f>
        <v>1.0702178874434009E-2</v>
      </c>
      <c r="N963" s="12">
        <f>L963*SIN(RADIANS(K963))</f>
        <v>-1.1951109983132089</v>
      </c>
      <c r="O963" s="12">
        <f>L963*COS(RADIANS(K963))</f>
        <v>-3.470854361331233</v>
      </c>
      <c r="P963" s="5">
        <v>2.5266995116125344</v>
      </c>
      <c r="Q963" s="5">
        <v>0.80955241849281834</v>
      </c>
      <c r="R963" s="6">
        <f>P963/Q963</f>
        <v>3.1211067423115222</v>
      </c>
    </row>
    <row r="964" spans="1:18" x14ac:dyDescent="0.35">
      <c r="A964" s="9">
        <v>964</v>
      </c>
      <c r="B964" s="5">
        <v>0.5</v>
      </c>
      <c r="C964" s="5">
        <v>4000000</v>
      </c>
      <c r="D964" s="5">
        <v>10</v>
      </c>
      <c r="E964" s="5">
        <v>0.25</v>
      </c>
      <c r="F964" s="5">
        <v>0.05</v>
      </c>
      <c r="G964" s="12">
        <f>(C964*$U$4)/($U$5*$U$3)</f>
        <v>58.775510204081627</v>
      </c>
      <c r="H964" s="11">
        <f>G964*COS(RADIANS(D964))</f>
        <v>57.882578136227728</v>
      </c>
      <c r="I964" s="11">
        <f>G964*SIN(RADIANS(D964))</f>
        <v>10.206260238382843</v>
      </c>
      <c r="J964" s="11">
        <v>0.23580000000000001</v>
      </c>
      <c r="K964" s="11">
        <v>49</v>
      </c>
      <c r="L964" s="12">
        <f>-(F964*G964*$U$3)/J964</f>
        <v>-12.463000467362516</v>
      </c>
      <c r="M964" s="11">
        <f>ABS(L964/$U$6)</f>
        <v>3.6335278330502964E-2</v>
      </c>
      <c r="N964" s="12">
        <f>L964*SIN(RADIANS(K964))</f>
        <v>-9.405945851039375</v>
      </c>
      <c r="O964" s="12">
        <f>L964*COS(RADIANS(K964))</f>
        <v>-8.1764639849260909</v>
      </c>
      <c r="P964" s="5">
        <v>3.0527325795575018</v>
      </c>
      <c r="Q964" s="5">
        <v>0.35630281428560884</v>
      </c>
      <c r="R964" s="6">
        <f>P964/Q964</f>
        <v>8.5678037252617969</v>
      </c>
    </row>
    <row r="965" spans="1:18" x14ac:dyDescent="0.35">
      <c r="A965" s="9">
        <v>965</v>
      </c>
      <c r="B965" s="5">
        <v>0.5</v>
      </c>
      <c r="C965" s="5">
        <v>6000000</v>
      </c>
      <c r="D965" s="5">
        <v>20</v>
      </c>
      <c r="E965" s="5">
        <v>0</v>
      </c>
      <c r="F965" s="5">
        <v>2.5000000000000001E-2</v>
      </c>
      <c r="G965" s="12">
        <f>(C965*$U$4)/($U$5*$U$3)</f>
        <v>88.16326530612244</v>
      </c>
      <c r="H965" s="11">
        <f>G965*COS(RADIANS(D965))</f>
        <v>82.846369832553549</v>
      </c>
      <c r="I965" s="11">
        <f>G965*SIN(RADIANS(D965))</f>
        <v>30.153612636058952</v>
      </c>
      <c r="J965" s="12">
        <v>0.23230000000000001</v>
      </c>
      <c r="K965" s="12">
        <v>0</v>
      </c>
      <c r="L965" s="12">
        <f>-(F965*G965*$U$3)/J965</f>
        <v>-9.4880827923076243</v>
      </c>
      <c r="M965" s="11">
        <f>ABS(L965/$U$6)</f>
        <v>2.7662048957165085E-2</v>
      </c>
      <c r="N965" s="12">
        <f>L965*SIN(RADIANS(K965))</f>
        <v>0</v>
      </c>
      <c r="O965" s="12">
        <f>L965*COS(RADIANS(K965))</f>
        <v>-9.4880827923076243</v>
      </c>
      <c r="P965" s="5">
        <v>1.9749622444021295</v>
      </c>
      <c r="Q965" s="5">
        <v>0.86228495966159535</v>
      </c>
      <c r="R965" s="6">
        <f>P965/Q965</f>
        <v>2.2903823408646784</v>
      </c>
    </row>
    <row r="966" spans="1:18" x14ac:dyDescent="0.35">
      <c r="A966" s="9">
        <v>966</v>
      </c>
      <c r="B966" s="5">
        <v>0.25</v>
      </c>
      <c r="C966" s="5">
        <v>4000000</v>
      </c>
      <c r="D966" s="5">
        <v>0</v>
      </c>
      <c r="E966" s="5">
        <v>0.125</v>
      </c>
      <c r="F966" s="5">
        <v>3.5000000000000003E-2</v>
      </c>
      <c r="G966" s="12">
        <f>(C966*$U$4)/($U$5*$U$3)</f>
        <v>58.775510204081627</v>
      </c>
      <c r="H966" s="11">
        <f>G966*COS(RADIANS(D966))</f>
        <v>58.775510204081627</v>
      </c>
      <c r="I966" s="11">
        <f>G966*SIN(RADIANS(D966))</f>
        <v>0</v>
      </c>
      <c r="J966" s="11">
        <v>0.19020000000000001</v>
      </c>
      <c r="K966" s="12">
        <v>46</v>
      </c>
      <c r="L966" s="12">
        <f>-(F966*G966*$U$3)/J966</f>
        <v>-10.81568273997296</v>
      </c>
      <c r="M966" s="11">
        <f>ABS(L966/$U$6)</f>
        <v>3.1532602740445947E-2</v>
      </c>
      <c r="N966" s="12">
        <f>L966*SIN(RADIANS(K966))</f>
        <v>-7.7801510626983434</v>
      </c>
      <c r="O966" s="12">
        <f>L966*COS(RADIANS(K966))</f>
        <v>-7.5132045475511191</v>
      </c>
      <c r="P966" s="5">
        <v>2.0489913496041341</v>
      </c>
      <c r="Q966" s="5">
        <v>0.19819336798530224</v>
      </c>
      <c r="R966" s="6">
        <f>P966/Q966</f>
        <v>10.338344670322595</v>
      </c>
    </row>
    <row r="967" spans="1:18" x14ac:dyDescent="0.35">
      <c r="A967" s="9">
        <v>967</v>
      </c>
      <c r="B967" s="5">
        <v>0.25</v>
      </c>
      <c r="C967" s="5">
        <v>6000000</v>
      </c>
      <c r="D967" s="5">
        <v>10</v>
      </c>
      <c r="E967" s="5">
        <v>0.25</v>
      </c>
      <c r="F967" s="5">
        <v>0</v>
      </c>
      <c r="G967" s="12">
        <f>(C967*$U$4)/($U$5*$U$3)</f>
        <v>88.16326530612244</v>
      </c>
      <c r="H967" s="11">
        <f>G967*COS(RADIANS(D967))</f>
        <v>86.823867204341596</v>
      </c>
      <c r="I967" s="11">
        <f>G967*SIN(RADIANS(D967))</f>
        <v>15.309390357574264</v>
      </c>
      <c r="J967" s="12">
        <v>0.1913</v>
      </c>
      <c r="K967" s="11">
        <v>67</v>
      </c>
      <c r="L967" s="12">
        <f>-(F967*G967*$U$3)/J967</f>
        <v>0</v>
      </c>
      <c r="M967" s="11">
        <f>ABS(L967/$U$6)</f>
        <v>0</v>
      </c>
      <c r="N967" s="12">
        <f>L967*SIN(RADIANS(K967))</f>
        <v>0</v>
      </c>
      <c r="O967" s="12">
        <f>L967*COS(RADIANS(K967))</f>
        <v>0</v>
      </c>
      <c r="P967" s="5">
        <v>2.5569224521605429</v>
      </c>
      <c r="Q967" s="5">
        <v>0.56761786884152876</v>
      </c>
      <c r="R967" s="6">
        <f>P967/Q967</f>
        <v>4.5046546145191932</v>
      </c>
    </row>
    <row r="968" spans="1:18" x14ac:dyDescent="0.35">
      <c r="A968" s="9">
        <v>968</v>
      </c>
      <c r="B968" s="5">
        <v>0.5</v>
      </c>
      <c r="C968" s="5">
        <v>2000000</v>
      </c>
      <c r="D968" s="5">
        <v>0</v>
      </c>
      <c r="E968" s="5">
        <v>0</v>
      </c>
      <c r="F968" s="5">
        <v>7.4999999999999997E-2</v>
      </c>
      <c r="G968" s="12">
        <f>(C968*$U$4)/($U$5*$U$3)</f>
        <v>29.387755102040813</v>
      </c>
      <c r="H968" s="11">
        <f>G968*COS(RADIANS(D968))</f>
        <v>29.387755102040813</v>
      </c>
      <c r="I968" s="11">
        <f>G968*SIN(RADIANS(D968))</f>
        <v>0</v>
      </c>
      <c r="J968" s="12">
        <v>0.23230000000000001</v>
      </c>
      <c r="K968" s="12">
        <v>0</v>
      </c>
      <c r="L968" s="12">
        <f>-(F968*G968*$U$3)/J968</f>
        <v>-9.4880827923076243</v>
      </c>
      <c r="M968" s="11">
        <f>ABS(L968/$U$6)</f>
        <v>2.7662048957165085E-2</v>
      </c>
      <c r="N968" s="12">
        <f>L968*SIN(RADIANS(K968))</f>
        <v>0</v>
      </c>
      <c r="O968" s="12">
        <f>L968*COS(RADIANS(K968))</f>
        <v>-9.4880827923076243</v>
      </c>
      <c r="P968" s="5">
        <v>4.6707299241574631</v>
      </c>
      <c r="Q968" s="5">
        <v>7.9452904551636533E-2</v>
      </c>
      <c r="R968" s="6">
        <f>P968/Q968</f>
        <v>58.786144452679515</v>
      </c>
    </row>
    <row r="969" spans="1:18" x14ac:dyDescent="0.35">
      <c r="A969" s="9">
        <v>969</v>
      </c>
      <c r="B969" s="5">
        <v>0.5</v>
      </c>
      <c r="C969" s="5">
        <v>6000000</v>
      </c>
      <c r="D969" s="5">
        <v>15</v>
      </c>
      <c r="E969" s="5">
        <v>0.375</v>
      </c>
      <c r="F969" s="5">
        <v>3.5000000000000003E-2</v>
      </c>
      <c r="G969" s="12">
        <f>(C969*$U$4)/($U$5*$U$3)</f>
        <v>88.16326530612244</v>
      </c>
      <c r="H969" s="11">
        <f>G969*COS(RADIANS(D969))</f>
        <v>85.159174889158663</v>
      </c>
      <c r="I969" s="11">
        <f>G969*SIN(RADIANS(D969))</f>
        <v>22.818332139650806</v>
      </c>
      <c r="J969" s="12">
        <v>0.24809999999999999</v>
      </c>
      <c r="K969" s="12">
        <v>67</v>
      </c>
      <c r="L969" s="12">
        <f>-(F969*G969*$U$3)/J969</f>
        <v>-12.437381240283298</v>
      </c>
      <c r="M969" s="11">
        <f>ABS(L969/$U$6)</f>
        <v>3.6260586706365297E-2</v>
      </c>
      <c r="N969" s="12">
        <f>L969*SIN(RADIANS(K969))</f>
        <v>-11.448669795919107</v>
      </c>
      <c r="O969" s="12">
        <f>L969*COS(RADIANS(K969))</f>
        <v>-4.8596720074672159</v>
      </c>
      <c r="P969" s="5">
        <v>3.3156693022883847</v>
      </c>
      <c r="Q969" s="5">
        <v>0.48032069607197136</v>
      </c>
      <c r="R969" s="6">
        <f>P969/Q969</f>
        <v>6.903032347770341</v>
      </c>
    </row>
    <row r="970" spans="1:18" x14ac:dyDescent="0.35">
      <c r="A970" s="9">
        <v>970</v>
      </c>
      <c r="B970" s="5">
        <v>0.75</v>
      </c>
      <c r="C970" s="5">
        <v>4000000</v>
      </c>
      <c r="D970" s="5">
        <v>15</v>
      </c>
      <c r="E970" s="5">
        <v>0.25</v>
      </c>
      <c r="F970" s="5">
        <v>3.5000000000000003E-2</v>
      </c>
      <c r="G970" s="12">
        <f>(C970*$U$4)/($U$5*$U$3)</f>
        <v>58.775510204081627</v>
      </c>
      <c r="H970" s="11">
        <f>G970*COS(RADIANS(D970))</f>
        <v>56.772783259439109</v>
      </c>
      <c r="I970" s="11">
        <f>G970*SIN(RADIANS(D970))</f>
        <v>15.212221426433871</v>
      </c>
      <c r="J970" s="12">
        <v>0.28370000000000001</v>
      </c>
      <c r="K970" s="11">
        <v>38</v>
      </c>
      <c r="L970" s="12">
        <f>-(F970*G970*$U$3)/J970</f>
        <v>-7.2511203988116213</v>
      </c>
      <c r="M970" s="11">
        <f>ABS(L970/$U$6)</f>
        <v>2.11402927079056E-2</v>
      </c>
      <c r="N970" s="12">
        <f>L970*SIN(RADIANS(K970))</f>
        <v>-4.4642354824963384</v>
      </c>
      <c r="O970" s="12">
        <f>L970*COS(RADIANS(K970))</f>
        <v>-5.7139608499606194</v>
      </c>
      <c r="P970" s="5">
        <v>3.4993309018223502</v>
      </c>
      <c r="Q970" s="5">
        <v>0.53693248230530122</v>
      </c>
      <c r="R970" s="6">
        <f>P970/Q970</f>
        <v>6.5172643063017768</v>
      </c>
    </row>
    <row r="971" spans="1:18" x14ac:dyDescent="0.35">
      <c r="A971" s="9">
        <v>971</v>
      </c>
      <c r="B971" s="5">
        <v>0.5</v>
      </c>
      <c r="C971" s="5">
        <v>2000000</v>
      </c>
      <c r="D971" s="5">
        <v>30</v>
      </c>
      <c r="E971" s="5">
        <v>0.375</v>
      </c>
      <c r="F971" s="5">
        <v>0.1</v>
      </c>
      <c r="G971" s="12">
        <f>(C971*$U$4)/($U$5*$U$3)</f>
        <v>29.387755102040813</v>
      </c>
      <c r="H971" s="11">
        <f>G971*COS(RADIANS(D971))</f>
        <v>25.450542478563094</v>
      </c>
      <c r="I971" s="11">
        <f>G971*SIN(RADIANS(D971))</f>
        <v>14.693877551020405</v>
      </c>
      <c r="J971" s="12">
        <v>0.24809999999999999</v>
      </c>
      <c r="K971" s="12">
        <v>67</v>
      </c>
      <c r="L971" s="12">
        <f>-(F971*G971*$U$3)/J971</f>
        <v>-11.845124990745996</v>
      </c>
      <c r="M971" s="11">
        <f>ABS(L971/$U$6)</f>
        <v>3.4533892101300277E-2</v>
      </c>
      <c r="N971" s="12">
        <f>L971*SIN(RADIANS(K971))</f>
        <v>-10.903495043732482</v>
      </c>
      <c r="O971" s="12">
        <f>L971*COS(RADIANS(K971))</f>
        <v>-4.6282590547306803</v>
      </c>
      <c r="P971" s="5">
        <v>4.4224809261983289</v>
      </c>
      <c r="Q971" s="5">
        <v>1.243756675643712</v>
      </c>
      <c r="R971" s="6">
        <f>P971/Q971</f>
        <v>3.5557444738211785</v>
      </c>
    </row>
    <row r="972" spans="1:18" x14ac:dyDescent="0.35">
      <c r="A972" s="9">
        <v>972</v>
      </c>
      <c r="B972" s="5">
        <v>0.75</v>
      </c>
      <c r="C972" s="5">
        <v>4000000</v>
      </c>
      <c r="D972" s="5">
        <v>15</v>
      </c>
      <c r="E972" s="5">
        <v>0.125</v>
      </c>
      <c r="F972" s="5">
        <v>7.4999999999999997E-2</v>
      </c>
      <c r="G972" s="12">
        <f>(C972*$U$4)/($U$5*$U$3)</f>
        <v>58.775510204081627</v>
      </c>
      <c r="H972" s="11">
        <f>G972*COS(RADIANS(D972))</f>
        <v>56.772783259439109</v>
      </c>
      <c r="I972" s="11">
        <f>G972*SIN(RADIANS(D972))</f>
        <v>15.212221426433871</v>
      </c>
      <c r="J972" s="12">
        <v>0.2802</v>
      </c>
      <c r="K972" s="12">
        <v>19</v>
      </c>
      <c r="L972" s="12">
        <f>-(F972*G972*$U$3)/J972</f>
        <v>-15.732202945417994</v>
      </c>
      <c r="M972" s="11">
        <f>ABS(L972/$U$6)</f>
        <v>4.5866480890431466E-2</v>
      </c>
      <c r="N972" s="12">
        <f>L972*SIN(RADIANS(K972))</f>
        <v>-5.1219042784851814</v>
      </c>
      <c r="O972" s="12">
        <f>L972*COS(RADIANS(K972))</f>
        <v>-14.875090119990999</v>
      </c>
      <c r="P972" s="5">
        <v>6.2690522019427481</v>
      </c>
      <c r="Q972" s="5">
        <v>0.71016805202103905</v>
      </c>
      <c r="R972" s="6">
        <f>P972/Q972</f>
        <v>8.827561566733257</v>
      </c>
    </row>
    <row r="973" spans="1:18" x14ac:dyDescent="0.35">
      <c r="A973" s="9">
        <v>973</v>
      </c>
      <c r="B973" s="5">
        <v>0.5</v>
      </c>
      <c r="C973" s="5">
        <v>6000000</v>
      </c>
      <c r="D973" s="5">
        <v>5</v>
      </c>
      <c r="E973" s="5">
        <v>0.375</v>
      </c>
      <c r="F973" s="5">
        <v>2.5000000000000001E-2</v>
      </c>
      <c r="G973" s="12">
        <f>(C973*$U$4)/($U$5*$U$3)</f>
        <v>88.16326530612244</v>
      </c>
      <c r="H973" s="11">
        <f>G973*COS(RADIANS(D973))</f>
        <v>87.827777464415107</v>
      </c>
      <c r="I973" s="11">
        <f>G973*SIN(RADIANS(D973))</f>
        <v>7.6839348708139434</v>
      </c>
      <c r="J973" s="12">
        <v>0.24809999999999999</v>
      </c>
      <c r="K973" s="12">
        <v>67</v>
      </c>
      <c r="L973" s="12">
        <f>-(F973*G973*$U$3)/J973</f>
        <v>-8.8838437430594972</v>
      </c>
      <c r="M973" s="11">
        <f>ABS(L973/$U$6)</f>
        <v>2.590041907597521E-2</v>
      </c>
      <c r="N973" s="12">
        <f>L973*SIN(RADIANS(K973))</f>
        <v>-8.1776212827993611</v>
      </c>
      <c r="O973" s="12">
        <f>L973*COS(RADIANS(K973))</f>
        <v>-3.4711942910480107</v>
      </c>
      <c r="P973" s="5">
        <v>2.9953841303299686</v>
      </c>
      <c r="Q973" s="5">
        <v>9.6688418010693805E-2</v>
      </c>
      <c r="R973" s="6">
        <f>P973/Q973</f>
        <v>30.979761505650831</v>
      </c>
    </row>
    <row r="974" spans="1:18" x14ac:dyDescent="0.35">
      <c r="A974" s="9">
        <v>974</v>
      </c>
      <c r="B974" s="5">
        <v>0.75</v>
      </c>
      <c r="C974" s="5">
        <v>4000000</v>
      </c>
      <c r="D974" s="5">
        <v>30</v>
      </c>
      <c r="E974" s="5">
        <v>0.25</v>
      </c>
      <c r="F974" s="5">
        <v>0.1</v>
      </c>
      <c r="G974" s="12">
        <f>(C974*$U$4)/($U$5*$U$3)</f>
        <v>58.775510204081627</v>
      </c>
      <c r="H974" s="11">
        <f>G974*COS(RADIANS(D974))</f>
        <v>50.901084957126187</v>
      </c>
      <c r="I974" s="11">
        <f>G974*SIN(RADIANS(D974))</f>
        <v>29.38775510204081</v>
      </c>
      <c r="J974" s="12">
        <v>0.28370000000000001</v>
      </c>
      <c r="K974" s="11">
        <v>38</v>
      </c>
      <c r="L974" s="12">
        <f>-(F974*G974*$U$3)/J974</f>
        <v>-20.717486853747488</v>
      </c>
      <c r="M974" s="11">
        <f>ABS(L974/$U$6)</f>
        <v>6.0400836308301717E-2</v>
      </c>
      <c r="N974" s="12">
        <f>L974*SIN(RADIANS(K974))</f>
        <v>-12.754958521418109</v>
      </c>
      <c r="O974" s="12">
        <f>L974*COS(RADIANS(K974))</f>
        <v>-16.325602428458911</v>
      </c>
      <c r="P974" s="5">
        <v>4.7838898458135271</v>
      </c>
      <c r="Q974" s="5">
        <v>1.2414139774599031</v>
      </c>
      <c r="R974" s="6">
        <f>P974/Q974</f>
        <v>3.8535814262394541</v>
      </c>
    </row>
    <row r="975" spans="1:18" x14ac:dyDescent="0.35">
      <c r="A975" s="9">
        <v>1255</v>
      </c>
      <c r="B975" s="5">
        <v>0.25</v>
      </c>
      <c r="C975" s="5">
        <v>6000000</v>
      </c>
      <c r="D975" s="5">
        <v>10</v>
      </c>
      <c r="E975" s="5">
        <v>0</v>
      </c>
      <c r="F975" s="5">
        <v>0.1</v>
      </c>
      <c r="G975" s="12">
        <f>(C975*$U$4)/($U$5*$U$3)</f>
        <v>88.16326530612244</v>
      </c>
      <c r="H975" s="11">
        <f>G975*COS(RADIANS(D975))</f>
        <v>86.823867204341596</v>
      </c>
      <c r="I975" s="11">
        <f>G975*SIN(RADIANS(D975))</f>
        <v>15.309390357574264</v>
      </c>
      <c r="J975" s="19">
        <v>0.18990000000000001</v>
      </c>
      <c r="K975" s="19">
        <v>0</v>
      </c>
      <c r="L975" s="12">
        <f>-(F975*G975*$U$3)/J975</f>
        <v>-46.426153399748515</v>
      </c>
      <c r="M975" s="11">
        <f>ABS(L975/$U$6)</f>
        <v>0.1353532169088878</v>
      </c>
      <c r="N975" s="12">
        <f>L975*SIN(RADIANS(K975))</f>
        <v>0</v>
      </c>
      <c r="O975" s="12">
        <f>L975*COS(RADIANS(K975))</f>
        <v>-46.426153399748515</v>
      </c>
      <c r="P975" s="5">
        <v>2.3823763081454752</v>
      </c>
      <c r="Q975" s="5">
        <v>0.3402133961279506</v>
      </c>
      <c r="R975" s="6">
        <f>P975/Q975</f>
        <v>7.0025940637842758</v>
      </c>
    </row>
    <row r="976" spans="1:18" x14ac:dyDescent="0.35">
      <c r="A976" s="9">
        <v>976</v>
      </c>
      <c r="B976" s="5">
        <v>0.25</v>
      </c>
      <c r="C976" s="5">
        <v>4000000</v>
      </c>
      <c r="D976" s="5">
        <v>10</v>
      </c>
      <c r="E976" s="5">
        <v>0.125</v>
      </c>
      <c r="F976" s="5">
        <v>3.5000000000000003E-2</v>
      </c>
      <c r="G976" s="12">
        <f>(C976*$U$4)/($U$5*$U$3)</f>
        <v>58.775510204081627</v>
      </c>
      <c r="H976" s="11">
        <f>G976*COS(RADIANS(D976))</f>
        <v>57.882578136227728</v>
      </c>
      <c r="I976" s="11">
        <f>G976*SIN(RADIANS(D976))</f>
        <v>10.206260238382843</v>
      </c>
      <c r="J976" s="11">
        <v>0.19020000000000001</v>
      </c>
      <c r="K976" s="12">
        <v>46</v>
      </c>
      <c r="L976" s="12">
        <f>-(F976*G976*$U$3)/J976</f>
        <v>-10.81568273997296</v>
      </c>
      <c r="M976" s="11">
        <f>ABS(L976/$U$6)</f>
        <v>3.1532602740445947E-2</v>
      </c>
      <c r="N976" s="12">
        <f>L976*SIN(RADIANS(K976))</f>
        <v>-7.7801510626983434</v>
      </c>
      <c r="O976" s="12">
        <f>L976*COS(RADIANS(K976))</f>
        <v>-7.5132045475511191</v>
      </c>
      <c r="P976" s="5">
        <v>2.1518756885248642</v>
      </c>
      <c r="Q976" s="5">
        <v>0.43997021170487222</v>
      </c>
      <c r="R976" s="6">
        <f>P976/Q976</f>
        <v>4.8909576859451604</v>
      </c>
    </row>
    <row r="977" spans="1:18" x14ac:dyDescent="0.35">
      <c r="A977" s="9">
        <v>977</v>
      </c>
      <c r="B977" s="5">
        <v>0.5</v>
      </c>
      <c r="C977" s="5">
        <v>2000000</v>
      </c>
      <c r="D977" s="5">
        <v>5</v>
      </c>
      <c r="E977" s="5">
        <v>0.125</v>
      </c>
      <c r="F977" s="5">
        <v>0.05</v>
      </c>
      <c r="G977" s="12">
        <f>(C977*$U$4)/($U$5*$U$3)</f>
        <v>29.387755102040813</v>
      </c>
      <c r="H977" s="11">
        <f>G977*COS(RADIANS(D977))</f>
        <v>29.275925821471702</v>
      </c>
      <c r="I977" s="11">
        <f>G977*SIN(RADIANS(D977))</f>
        <v>2.5613116236046478</v>
      </c>
      <c r="J977" s="12">
        <v>0.23300000000000001</v>
      </c>
      <c r="K977" s="11">
        <v>27</v>
      </c>
      <c r="L977" s="12">
        <f>-(F977*G977*$U$3)/J977</f>
        <v>-6.3063852150302173</v>
      </c>
      <c r="M977" s="11">
        <f>ABS(L977/$U$6)</f>
        <v>1.8385962726035619E-2</v>
      </c>
      <c r="N977" s="12">
        <f>L977*SIN(RADIANS(K977))</f>
        <v>-2.8630389753216572</v>
      </c>
      <c r="O977" s="12">
        <f>L977*COS(RADIANS(K977))</f>
        <v>-5.6190303706369873</v>
      </c>
      <c r="P977" s="5">
        <v>4.7338579500234887</v>
      </c>
      <c r="Q977" s="5">
        <v>0.30653408335896398</v>
      </c>
      <c r="R977" s="6">
        <f>P977/Q977</f>
        <v>15.443169967105899</v>
      </c>
    </row>
    <row r="978" spans="1:18" x14ac:dyDescent="0.35">
      <c r="A978" s="9">
        <v>978</v>
      </c>
      <c r="B978" s="5">
        <v>0.1</v>
      </c>
      <c r="C978" s="5">
        <v>6000000</v>
      </c>
      <c r="D978" s="5">
        <v>0</v>
      </c>
      <c r="E978" s="5">
        <v>0.25</v>
      </c>
      <c r="F978" s="5">
        <v>1.4999999999999999E-2</v>
      </c>
      <c r="G978" s="12">
        <f>(C978*$U$4)/($U$5*$U$3)</f>
        <v>88.16326530612244</v>
      </c>
      <c r="H978" s="11">
        <f>G978*COS(RADIANS(D978))</f>
        <v>88.16326530612244</v>
      </c>
      <c r="I978" s="11">
        <f>G978*SIN(RADIANS(D978))</f>
        <v>0</v>
      </c>
      <c r="J978" s="11">
        <v>0.1661</v>
      </c>
      <c r="K978" s="12">
        <v>80</v>
      </c>
      <c r="L978" s="12">
        <f>-(F978*G978*$U$3)/J978</f>
        <v>-7.9617638747250847</v>
      </c>
      <c r="M978" s="11">
        <f>ABS(L978/$U$6)</f>
        <v>2.3212139576457971E-2</v>
      </c>
      <c r="N978" s="12">
        <f>L978*SIN(RADIANS(K978))</f>
        <v>-7.8408067914817812</v>
      </c>
      <c r="O978" s="12">
        <f>L978*COS(RADIANS(K978))</f>
        <v>-1.3825457878604097</v>
      </c>
      <c r="P978" s="5">
        <v>1.3058764626612536</v>
      </c>
      <c r="Q978" s="5">
        <v>0.22763991679907578</v>
      </c>
      <c r="R978" s="6">
        <f>P978/Q978</f>
        <v>5.7365882092369285</v>
      </c>
    </row>
    <row r="979" spans="1:18" x14ac:dyDescent="0.35">
      <c r="A979" s="9">
        <v>979</v>
      </c>
      <c r="B979" s="5">
        <v>0.1</v>
      </c>
      <c r="C979" s="5">
        <v>2000000</v>
      </c>
      <c r="D979" s="5">
        <v>30</v>
      </c>
      <c r="E979" s="5">
        <v>0.25</v>
      </c>
      <c r="F979" s="5">
        <v>3.5000000000000003E-2</v>
      </c>
      <c r="G979" s="12">
        <f>(C979*$U$4)/($U$5*$U$3)</f>
        <v>29.387755102040813</v>
      </c>
      <c r="H979" s="11">
        <f>G979*COS(RADIANS(D979))</f>
        <v>25.450542478563094</v>
      </c>
      <c r="I979" s="11">
        <f>G979*SIN(RADIANS(D979))</f>
        <v>14.693877551020405</v>
      </c>
      <c r="J979" s="11">
        <v>0.1661</v>
      </c>
      <c r="K979" s="12">
        <v>80</v>
      </c>
      <c r="L979" s="12">
        <f>-(F979*G979*$U$3)/J979</f>
        <v>-6.1924830136750657</v>
      </c>
      <c r="M979" s="11">
        <f>ABS(L979/$U$6)</f>
        <v>1.8053886337245091E-2</v>
      </c>
      <c r="N979" s="12">
        <f>L979*SIN(RADIANS(K979))</f>
        <v>-6.0984052822636077</v>
      </c>
      <c r="O979" s="12">
        <f>L979*COS(RADIANS(K979))</f>
        <v>-1.0753133905580965</v>
      </c>
      <c r="P979" s="5">
        <v>1.366098419507499</v>
      </c>
      <c r="Q979" s="5">
        <v>1.0259717040182428</v>
      </c>
      <c r="R979" s="6">
        <f>P979/Q979</f>
        <v>1.331516662844737</v>
      </c>
    </row>
    <row r="980" spans="1:18" x14ac:dyDescent="0.35">
      <c r="A980" s="9">
        <v>980</v>
      </c>
      <c r="B980" s="5">
        <v>0.75</v>
      </c>
      <c r="C980" s="5">
        <v>2000000</v>
      </c>
      <c r="D980" s="5">
        <v>0</v>
      </c>
      <c r="E980" s="5">
        <v>0.375</v>
      </c>
      <c r="F980" s="5">
        <v>2.5000000000000001E-2</v>
      </c>
      <c r="G980" s="12">
        <f>(C980*$U$4)/($U$5*$U$3)</f>
        <v>29.387755102040813</v>
      </c>
      <c r="H980" s="11">
        <f>G980*COS(RADIANS(D980))</f>
        <v>29.387755102040813</v>
      </c>
      <c r="I980" s="11">
        <f>G980*SIN(RADIANS(D980))</f>
        <v>0</v>
      </c>
      <c r="J980" s="11">
        <v>0.29299999999999998</v>
      </c>
      <c r="K980" s="12">
        <v>57</v>
      </c>
      <c r="L980" s="12">
        <f>-(F980*G980*$U$3)/J980</f>
        <v>-2.5074876366929022</v>
      </c>
      <c r="M980" s="11">
        <f>ABS(L980/$U$6)</f>
        <v>7.31045958219505E-3</v>
      </c>
      <c r="N980" s="12">
        <f>L980*SIN(RADIANS(K980))</f>
        <v>-2.1029560803813654</v>
      </c>
      <c r="O980" s="12">
        <f>L980*COS(RADIANS(K980))</f>
        <v>-1.3656756467605331</v>
      </c>
      <c r="P980" s="5">
        <v>3.7565773181952054</v>
      </c>
      <c r="Q980" s="5">
        <v>-0.29593776521516368</v>
      </c>
      <c r="R980" s="6">
        <f>P980/Q980</f>
        <v>-12.693808495390774</v>
      </c>
    </row>
    <row r="981" spans="1:18" x14ac:dyDescent="0.35">
      <c r="A981" s="9">
        <v>981</v>
      </c>
      <c r="B981" s="5">
        <v>0.1</v>
      </c>
      <c r="C981" s="5">
        <v>2000000</v>
      </c>
      <c r="D981" s="5">
        <v>5</v>
      </c>
      <c r="E981" s="5">
        <v>0.25</v>
      </c>
      <c r="F981" s="5">
        <v>0.15</v>
      </c>
      <c r="G981" s="12">
        <f>(C981*$U$4)/($U$5*$U$3)</f>
        <v>29.387755102040813</v>
      </c>
      <c r="H981" s="11">
        <f>G981*COS(RADIANS(D981))</f>
        <v>29.275925821471702</v>
      </c>
      <c r="I981" s="11">
        <f>G981*SIN(RADIANS(D981))</f>
        <v>2.5613116236046478</v>
      </c>
      <c r="J981" s="11">
        <v>0.1661</v>
      </c>
      <c r="K981" s="12">
        <v>80</v>
      </c>
      <c r="L981" s="12">
        <f>-(F981*G981*$U$3)/J981</f>
        <v>-26.539212915750284</v>
      </c>
      <c r="M981" s="11">
        <f>ABS(L981/$U$6)</f>
        <v>7.7373798588193252E-2</v>
      </c>
      <c r="N981" s="12">
        <f>L981*SIN(RADIANS(K981))</f>
        <v>-26.136022638272607</v>
      </c>
      <c r="O981" s="12">
        <f>L981*COS(RADIANS(K981))</f>
        <v>-4.6084859595346996</v>
      </c>
      <c r="P981" s="5">
        <v>1.8116859971040788</v>
      </c>
      <c r="Q981" s="5">
        <v>0.34202804384199209</v>
      </c>
      <c r="R981" s="6">
        <f>P981/Q981</f>
        <v>5.2968931341227385</v>
      </c>
    </row>
    <row r="982" spans="1:18" x14ac:dyDescent="0.35">
      <c r="A982" s="9">
        <v>982</v>
      </c>
      <c r="B982" s="5">
        <v>1</v>
      </c>
      <c r="C982" s="5">
        <v>6000000</v>
      </c>
      <c r="D982" s="5">
        <v>0</v>
      </c>
      <c r="E982" s="5">
        <v>0.375</v>
      </c>
      <c r="F982" s="5">
        <v>7.4999999999999997E-2</v>
      </c>
      <c r="G982" s="12">
        <f>(C982*$U$4)/($U$5*$U$3)</f>
        <v>88.16326530612244</v>
      </c>
      <c r="H982" s="11">
        <f>G982*COS(RADIANS(D982))</f>
        <v>88.16326530612244</v>
      </c>
      <c r="I982" s="11">
        <f>G982*SIN(RADIANS(D982))</f>
        <v>0</v>
      </c>
      <c r="J982" s="12">
        <v>0.33379999999999999</v>
      </c>
      <c r="K982" s="11">
        <v>49</v>
      </c>
      <c r="L982" s="12">
        <f>-(F982*G982*$U$3)/J982</f>
        <v>-19.809002090950219</v>
      </c>
      <c r="M982" s="11">
        <f>ABS(L982/$U$6)</f>
        <v>5.7752192684986062E-2</v>
      </c>
      <c r="N982" s="12">
        <f>L982*SIN(RADIANS(K982))</f>
        <v>-14.950043652693052</v>
      </c>
      <c r="O982" s="12">
        <f>L982*COS(RADIANS(K982))</f>
        <v>-12.99587467705973</v>
      </c>
      <c r="P982" s="5">
        <v>5.1677590746814133</v>
      </c>
      <c r="Q982" s="5">
        <v>-0.70123064114920608</v>
      </c>
      <c r="R982" s="6">
        <f>P982/Q982</f>
        <v>-7.369556849672561</v>
      </c>
    </row>
    <row r="983" spans="1:18" x14ac:dyDescent="0.35">
      <c r="A983" s="9">
        <v>983</v>
      </c>
      <c r="B983" s="5">
        <v>0.75</v>
      </c>
      <c r="C983" s="5">
        <v>6000000</v>
      </c>
      <c r="D983" s="5">
        <v>20</v>
      </c>
      <c r="E983" s="5">
        <v>0.125</v>
      </c>
      <c r="F983" s="5">
        <v>2.5000000000000001E-2</v>
      </c>
      <c r="G983" s="12">
        <f>(C983*$U$4)/($U$5*$U$3)</f>
        <v>88.16326530612244</v>
      </c>
      <c r="H983" s="11">
        <f>G983*COS(RADIANS(D983))</f>
        <v>82.846369832553549</v>
      </c>
      <c r="I983" s="11">
        <f>G983*SIN(RADIANS(D983))</f>
        <v>30.153612636058952</v>
      </c>
      <c r="J983" s="12">
        <v>0.2802</v>
      </c>
      <c r="K983" s="12">
        <v>19</v>
      </c>
      <c r="L983" s="12">
        <f>-(F983*G983*$U$3)/J983</f>
        <v>-7.8661014727089968</v>
      </c>
      <c r="M983" s="11">
        <f>ABS(L983/$U$6)</f>
        <v>2.2933240445215733E-2</v>
      </c>
      <c r="N983" s="12">
        <f>L983*SIN(RADIANS(K983))</f>
        <v>-2.5609521392425907</v>
      </c>
      <c r="O983" s="12">
        <f>L983*COS(RADIANS(K983))</f>
        <v>-7.4375450599954993</v>
      </c>
      <c r="P983" s="5">
        <v>3.9448971135353244</v>
      </c>
      <c r="Q983" s="5">
        <v>1.0349892379793069</v>
      </c>
      <c r="R983" s="6">
        <f>P983/Q983</f>
        <v>3.8115344283552801</v>
      </c>
    </row>
    <row r="984" spans="1:18" x14ac:dyDescent="0.35">
      <c r="A984" s="9">
        <v>984</v>
      </c>
      <c r="B984" s="5">
        <v>0.25</v>
      </c>
      <c r="C984" s="5">
        <v>4000000</v>
      </c>
      <c r="D984" s="5">
        <v>30</v>
      </c>
      <c r="E984" s="5">
        <v>0</v>
      </c>
      <c r="F984" s="5">
        <v>0.1</v>
      </c>
      <c r="G984" s="12">
        <f>(C984*$U$4)/($U$5*$U$3)</f>
        <v>58.775510204081627</v>
      </c>
      <c r="H984" s="11">
        <f>G984*COS(RADIANS(D984))</f>
        <v>50.901084957126187</v>
      </c>
      <c r="I984" s="11">
        <f>G984*SIN(RADIANS(D984))</f>
        <v>29.38775510204081</v>
      </c>
      <c r="J984" s="12">
        <v>0.18990000000000001</v>
      </c>
      <c r="K984" s="12">
        <v>0</v>
      </c>
      <c r="L984" s="12">
        <f>-(F984*G984*$U$3)/J984</f>
        <v>-30.95076893316568</v>
      </c>
      <c r="M984" s="11">
        <f>ABS(L984/$U$6)</f>
        <v>9.023547793925854E-2</v>
      </c>
      <c r="N984" s="12">
        <f>L984*SIN(RADIANS(K984))</f>
        <v>0</v>
      </c>
      <c r="O984" s="12">
        <f>L984*COS(RADIANS(K984))</f>
        <v>-30.95076893316568</v>
      </c>
      <c r="P984" s="5">
        <v>2.5146411889574147</v>
      </c>
      <c r="Q984" s="5">
        <v>0.85787199329066388</v>
      </c>
      <c r="R984" s="6">
        <f>P984/Q984</f>
        <v>2.9312545561857557</v>
      </c>
    </row>
    <row r="985" spans="1:18" x14ac:dyDescent="0.35">
      <c r="A985" s="9">
        <v>1462</v>
      </c>
      <c r="B985" s="5">
        <v>0.25</v>
      </c>
      <c r="C985" s="5">
        <v>4000000</v>
      </c>
      <c r="D985" s="5">
        <v>10</v>
      </c>
      <c r="E985" s="5">
        <v>0</v>
      </c>
      <c r="F985" s="5">
        <v>0.15</v>
      </c>
      <c r="G985" s="12">
        <f>(C985*$U$4)/($U$5*$U$3)</f>
        <v>58.775510204081627</v>
      </c>
      <c r="H985" s="11">
        <f>G985*COS(RADIANS(D985))</f>
        <v>57.882578136227728</v>
      </c>
      <c r="I985" s="11">
        <f>G985*SIN(RADIANS(D985))</f>
        <v>10.206260238382843</v>
      </c>
      <c r="J985" s="12">
        <v>0.18990000000000001</v>
      </c>
      <c r="K985" s="12">
        <v>0</v>
      </c>
      <c r="L985" s="12">
        <f>-(F985*G985*$U$3)/J985</f>
        <v>-46.426153399748515</v>
      </c>
      <c r="M985" s="11">
        <f>ABS(L985/$U$6)</f>
        <v>0.1353532169088878</v>
      </c>
      <c r="N985" s="12">
        <f>L985*SIN(RADIANS(K985))</f>
        <v>0</v>
      </c>
      <c r="O985" s="12">
        <f>L985*COS(RADIANS(K985))</f>
        <v>-46.426153399748515</v>
      </c>
      <c r="P985" s="5">
        <v>2.4525442289909161</v>
      </c>
      <c r="Q985" s="5">
        <v>0.2724247691416834</v>
      </c>
      <c r="R985" s="6">
        <f>P985/Q985</f>
        <v>9.0026477280976991</v>
      </c>
    </row>
    <row r="986" spans="1:18" x14ac:dyDescent="0.35">
      <c r="A986" s="9">
        <v>986</v>
      </c>
      <c r="B986" s="5">
        <v>0.75</v>
      </c>
      <c r="C986" s="5">
        <v>4000000</v>
      </c>
      <c r="D986" s="5">
        <v>30</v>
      </c>
      <c r="E986" s="5">
        <v>0.375</v>
      </c>
      <c r="F986" s="5">
        <v>0.1</v>
      </c>
      <c r="G986" s="12">
        <f>(C986*$U$4)/($U$5*$U$3)</f>
        <v>58.775510204081627</v>
      </c>
      <c r="H986" s="11">
        <f>G986*COS(RADIANS(D986))</f>
        <v>50.901084957126187</v>
      </c>
      <c r="I986" s="11">
        <f>G986*SIN(RADIANS(D986))</f>
        <v>29.38775510204081</v>
      </c>
      <c r="J986" s="11">
        <v>0.29299999999999998</v>
      </c>
      <c r="K986" s="12">
        <v>57</v>
      </c>
      <c r="L986" s="12">
        <f>-(F986*G986*$U$3)/J986</f>
        <v>-20.059901093543218</v>
      </c>
      <c r="M986" s="11">
        <f>ABS(L986/$U$6)</f>
        <v>5.84836766575604E-2</v>
      </c>
      <c r="N986" s="12">
        <f>L986*SIN(RADIANS(K986))</f>
        <v>-16.823648643050923</v>
      </c>
      <c r="O986" s="12">
        <f>L986*COS(RADIANS(K986))</f>
        <v>-10.925405174084265</v>
      </c>
      <c r="P986" s="5">
        <v>5.7786112234506852</v>
      </c>
      <c r="Q986" s="5">
        <v>1.3924773304140088</v>
      </c>
      <c r="R986" s="6">
        <f>P986/Q986</f>
        <v>4.1498781324738685</v>
      </c>
    </row>
    <row r="987" spans="1:18" x14ac:dyDescent="0.35">
      <c r="A987" s="9">
        <v>987</v>
      </c>
      <c r="B987" s="5">
        <v>0.25</v>
      </c>
      <c r="C987" s="5">
        <v>4000000</v>
      </c>
      <c r="D987" s="5">
        <v>0</v>
      </c>
      <c r="E987" s="5">
        <v>0.125</v>
      </c>
      <c r="F987" s="5">
        <v>2.5000000000000001E-2</v>
      </c>
      <c r="G987" s="12">
        <f>(C987*$U$4)/($U$5*$U$3)</f>
        <v>58.775510204081627</v>
      </c>
      <c r="H987" s="11">
        <f>G987*COS(RADIANS(D987))</f>
        <v>58.775510204081627</v>
      </c>
      <c r="I987" s="11">
        <f>G987*SIN(RADIANS(D987))</f>
        <v>0</v>
      </c>
      <c r="J987" s="11">
        <v>0.19020000000000001</v>
      </c>
      <c r="K987" s="12">
        <v>46</v>
      </c>
      <c r="L987" s="12">
        <f>-(F987*G987*$U$3)/J987</f>
        <v>-7.7254876714092564</v>
      </c>
      <c r="M987" s="11">
        <f>ABS(L987/$U$6)</f>
        <v>2.2523287671747102E-2</v>
      </c>
      <c r="N987" s="12">
        <f>L987*SIN(RADIANS(K987))</f>
        <v>-5.5572507590702447</v>
      </c>
      <c r="O987" s="12">
        <f>L987*COS(RADIANS(K987))</f>
        <v>-5.3665746768222276</v>
      </c>
      <c r="P987" s="5">
        <v>1.9872297665649048</v>
      </c>
      <c r="Q987" s="5">
        <v>0.21696080026909426</v>
      </c>
      <c r="R987" s="6">
        <f>P987/Q987</f>
        <v>9.1593954488560332</v>
      </c>
    </row>
    <row r="988" spans="1:18" x14ac:dyDescent="0.35">
      <c r="A988" s="9">
        <v>988</v>
      </c>
      <c r="B988" s="5">
        <v>0.25</v>
      </c>
      <c r="C988" s="5">
        <v>2000000</v>
      </c>
      <c r="D988" s="5">
        <v>10</v>
      </c>
      <c r="E988" s="5">
        <v>0.125</v>
      </c>
      <c r="F988" s="5">
        <v>2.5000000000000001E-2</v>
      </c>
      <c r="G988" s="12">
        <f>(C988*$U$4)/($U$5*$U$3)</f>
        <v>29.387755102040813</v>
      </c>
      <c r="H988" s="11">
        <f>G988*COS(RADIANS(D988))</f>
        <v>28.941289068113864</v>
      </c>
      <c r="I988" s="11">
        <f>G988*SIN(RADIANS(D988))</f>
        <v>5.1031301191914213</v>
      </c>
      <c r="J988" s="11">
        <v>0.19020000000000001</v>
      </c>
      <c r="K988" s="12">
        <v>46</v>
      </c>
      <c r="L988" s="12">
        <f>-(F988*G988*$U$3)/J988</f>
        <v>-3.8627438357046282</v>
      </c>
      <c r="M988" s="11">
        <f>ABS(L988/$U$6)</f>
        <v>1.1261643835873551E-2</v>
      </c>
      <c r="N988" s="12">
        <f>L988*SIN(RADIANS(K988))</f>
        <v>-2.7786253795351223</v>
      </c>
      <c r="O988" s="12">
        <f>L988*COS(RADIANS(K988))</f>
        <v>-2.6832873384111138</v>
      </c>
      <c r="P988" s="5">
        <v>2.1023552711739208</v>
      </c>
      <c r="Q988" s="5">
        <v>0.45184637808935429</v>
      </c>
      <c r="R988" s="6">
        <f>P988/Q988</f>
        <v>4.652809833430096</v>
      </c>
    </row>
    <row r="989" spans="1:18" x14ac:dyDescent="0.35">
      <c r="A989" s="9">
        <v>989</v>
      </c>
      <c r="B989" s="5">
        <v>0.1</v>
      </c>
      <c r="C989" s="5">
        <v>6000000</v>
      </c>
      <c r="D989" s="5">
        <v>15</v>
      </c>
      <c r="E989" s="5">
        <v>0</v>
      </c>
      <c r="F989" s="5">
        <v>1.4999999999999999E-2</v>
      </c>
      <c r="G989" s="12">
        <f>(C989*$U$4)/($U$5*$U$3)</f>
        <v>88.16326530612244</v>
      </c>
      <c r="H989" s="11">
        <f>G989*COS(RADIANS(D989))</f>
        <v>85.159174889158663</v>
      </c>
      <c r="I989" s="11">
        <f>G989*SIN(RADIANS(D989))</f>
        <v>22.818332139650806</v>
      </c>
      <c r="J989" s="11">
        <v>0.16569999999999999</v>
      </c>
      <c r="K989" s="12">
        <v>0</v>
      </c>
      <c r="L989" s="12">
        <f>-(F989*G989*$U$3)/J989</f>
        <v>-7.980983582328526</v>
      </c>
      <c r="M989" s="11">
        <f>ABS(L989/$U$6)</f>
        <v>2.3268173709412612E-2</v>
      </c>
      <c r="N989" s="12">
        <f>L989*SIN(RADIANS(K989))</f>
        <v>0</v>
      </c>
      <c r="O989" s="12">
        <f>L989*COS(RADIANS(K989))</f>
        <v>-7.980983582328526</v>
      </c>
      <c r="P989" s="5">
        <v>1.215960835564367</v>
      </c>
      <c r="Q989" s="5">
        <v>0.49064755239541141</v>
      </c>
      <c r="R989" s="6">
        <f>P989/Q989</f>
        <v>2.4782775938203963</v>
      </c>
    </row>
    <row r="990" spans="1:18" x14ac:dyDescent="0.35">
      <c r="A990" s="9">
        <v>990</v>
      </c>
      <c r="B990" s="5">
        <v>1</v>
      </c>
      <c r="C990" s="5">
        <v>4000000</v>
      </c>
      <c r="D990" s="5">
        <v>5</v>
      </c>
      <c r="E990" s="5">
        <v>0.375</v>
      </c>
      <c r="F990" s="5">
        <v>0</v>
      </c>
      <c r="G990" s="12">
        <f>(C990*$U$4)/($U$5*$U$3)</f>
        <v>58.775510204081627</v>
      </c>
      <c r="H990" s="11">
        <f>G990*COS(RADIANS(D990))</f>
        <v>58.551851642943404</v>
      </c>
      <c r="I990" s="11">
        <f>G990*SIN(RADIANS(D990))</f>
        <v>5.1226232472092956</v>
      </c>
      <c r="J990" s="12">
        <v>0.33379999999999999</v>
      </c>
      <c r="K990" s="11">
        <v>49</v>
      </c>
      <c r="L990" s="12">
        <f>-(F990*G990*$U$3)/J990</f>
        <v>0</v>
      </c>
      <c r="M990" s="11">
        <f>ABS(L990/$U$6)</f>
        <v>0</v>
      </c>
      <c r="N990" s="12">
        <f>L990*SIN(RADIANS(K990))</f>
        <v>0</v>
      </c>
      <c r="O990" s="12">
        <f>L990*COS(RADIANS(K990))</f>
        <v>0</v>
      </c>
      <c r="P990" s="5">
        <v>5.6323473094866339</v>
      </c>
      <c r="Q990" s="5">
        <v>0.74276828588650068</v>
      </c>
      <c r="R990" s="6">
        <f>P990/Q990</f>
        <v>7.5829130248397405</v>
      </c>
    </row>
    <row r="991" spans="1:18" x14ac:dyDescent="0.35">
      <c r="A991" s="9">
        <v>991</v>
      </c>
      <c r="B991" s="5">
        <v>0.75</v>
      </c>
      <c r="C991" s="5">
        <v>2000000</v>
      </c>
      <c r="D991" s="5">
        <v>0</v>
      </c>
      <c r="E991" s="5">
        <v>0.125</v>
      </c>
      <c r="F991" s="5">
        <v>2.5000000000000001E-2</v>
      </c>
      <c r="G991" s="12">
        <f>(C991*$U$4)/($U$5*$U$3)</f>
        <v>29.387755102040813</v>
      </c>
      <c r="H991" s="11">
        <f>G991*COS(RADIANS(D991))</f>
        <v>29.387755102040813</v>
      </c>
      <c r="I991" s="11">
        <f>G991*SIN(RADIANS(D991))</f>
        <v>0</v>
      </c>
      <c r="J991" s="12">
        <v>0.2802</v>
      </c>
      <c r="K991" s="12">
        <v>19</v>
      </c>
      <c r="L991" s="12">
        <f>-(F991*G991*$U$3)/J991</f>
        <v>-2.6220338242363321</v>
      </c>
      <c r="M991" s="11">
        <f>ABS(L991/$U$6)</f>
        <v>7.6444134817385779E-3</v>
      </c>
      <c r="N991" s="12">
        <f>L991*SIN(RADIANS(K991))</f>
        <v>-0.85365071308086349</v>
      </c>
      <c r="O991" s="12">
        <f>L991*COS(RADIANS(K991))</f>
        <v>-2.4791816866651661</v>
      </c>
      <c r="P991" s="5">
        <v>3.9908212260886495</v>
      </c>
      <c r="Q991" s="5">
        <v>0.24231943138149273</v>
      </c>
      <c r="R991" s="6">
        <f>P991/Q991</f>
        <v>16.469257968032071</v>
      </c>
    </row>
    <row r="992" spans="1:18" x14ac:dyDescent="0.35">
      <c r="A992" s="9">
        <v>992</v>
      </c>
      <c r="B992" s="5">
        <v>0.75</v>
      </c>
      <c r="C992" s="5">
        <v>4000000</v>
      </c>
      <c r="D992" s="5">
        <v>0</v>
      </c>
      <c r="E992" s="5">
        <v>0.375</v>
      </c>
      <c r="F992" s="5">
        <v>0</v>
      </c>
      <c r="G992" s="12">
        <f>(C992*$U$4)/($U$5*$U$3)</f>
        <v>58.775510204081627</v>
      </c>
      <c r="H992" s="11">
        <f>G992*COS(RADIANS(D992))</f>
        <v>58.775510204081627</v>
      </c>
      <c r="I992" s="11">
        <f>G992*SIN(RADIANS(D992))</f>
        <v>0</v>
      </c>
      <c r="J992" s="11">
        <v>0.29299999999999998</v>
      </c>
      <c r="K992" s="12">
        <v>57</v>
      </c>
      <c r="L992" s="12">
        <f>-(F992*G992*$U$3)/J992</f>
        <v>0</v>
      </c>
      <c r="M992" s="11">
        <f>ABS(L992/$U$6)</f>
        <v>0</v>
      </c>
      <c r="N992" s="12">
        <f>L992*SIN(RADIANS(K992))</f>
        <v>0</v>
      </c>
      <c r="O992" s="12">
        <f>L992*COS(RADIANS(K992))</f>
        <v>0</v>
      </c>
      <c r="P992" s="5">
        <v>4.9729166543794516</v>
      </c>
      <c r="Q992" s="5">
        <v>0.33095376471354165</v>
      </c>
      <c r="R992" s="6">
        <f>P992/Q992</f>
        <v>15.026016273553436</v>
      </c>
    </row>
    <row r="993" spans="1:18" x14ac:dyDescent="0.35">
      <c r="A993" s="9">
        <v>993</v>
      </c>
      <c r="B993" s="5">
        <v>0.75</v>
      </c>
      <c r="C993" s="5">
        <v>4000000</v>
      </c>
      <c r="D993" s="5">
        <v>20</v>
      </c>
      <c r="E993" s="5">
        <v>0.375</v>
      </c>
      <c r="F993" s="5">
        <v>0.1</v>
      </c>
      <c r="G993" s="12">
        <f>(C993*$U$4)/($U$5*$U$3)</f>
        <v>58.775510204081627</v>
      </c>
      <c r="H993" s="11">
        <f>G993*COS(RADIANS(D993))</f>
        <v>55.230913221702366</v>
      </c>
      <c r="I993" s="11">
        <f>G993*SIN(RADIANS(D993))</f>
        <v>20.102408424039304</v>
      </c>
      <c r="J993" s="11">
        <v>0.29299999999999998</v>
      </c>
      <c r="K993" s="12">
        <v>57</v>
      </c>
      <c r="L993" s="12">
        <f>-(F993*G993*$U$3)/J993</f>
        <v>-20.059901093543218</v>
      </c>
      <c r="M993" s="11">
        <f>ABS(L993/$U$6)</f>
        <v>5.84836766575604E-2</v>
      </c>
      <c r="N993" s="12">
        <f>L993*SIN(RADIANS(K993))</f>
        <v>-16.823648643050923</v>
      </c>
      <c r="O993" s="12">
        <f>L993*COS(RADIANS(K993))</f>
        <v>-10.925405174084265</v>
      </c>
      <c r="P993" s="5">
        <v>5.5730673998100011</v>
      </c>
      <c r="Q993" s="5">
        <v>0.66175820049859502</v>
      </c>
      <c r="R993" s="6">
        <f>P993/Q993</f>
        <v>8.4216068582316463</v>
      </c>
    </row>
    <row r="994" spans="1:18" x14ac:dyDescent="0.35">
      <c r="A994" s="9">
        <v>994</v>
      </c>
      <c r="B994" s="5">
        <v>1</v>
      </c>
      <c r="C994" s="5">
        <v>6000000</v>
      </c>
      <c r="D994" s="5">
        <v>5</v>
      </c>
      <c r="E994" s="5">
        <v>0.25</v>
      </c>
      <c r="F994" s="5">
        <v>7.4999999999999997E-2</v>
      </c>
      <c r="G994" s="12">
        <f>(C994*$U$4)/($U$5*$U$3)</f>
        <v>88.16326530612244</v>
      </c>
      <c r="H994" s="11">
        <f>G994*COS(RADIANS(D994))</f>
        <v>87.827777464415107</v>
      </c>
      <c r="I994" s="11">
        <f>G994*SIN(RADIANS(D994))</f>
        <v>7.6839348708139434</v>
      </c>
      <c r="J994" s="13">
        <v>0.33379999999999999</v>
      </c>
      <c r="K994" s="12">
        <v>30</v>
      </c>
      <c r="L994" s="12">
        <f>-(F994*G994*$U$3)/J994</f>
        <v>-19.809002090950219</v>
      </c>
      <c r="M994" s="11">
        <f>ABS(L994/$U$6)</f>
        <v>5.7752192684986062E-2</v>
      </c>
      <c r="N994" s="12">
        <f>L994*SIN(RADIANS(K994))</f>
        <v>-9.9045010454751079</v>
      </c>
      <c r="O994" s="12">
        <f>L994*COS(RADIANS(K994))</f>
        <v>-17.155099034381955</v>
      </c>
      <c r="P994" s="5">
        <v>4.7272421810326337</v>
      </c>
      <c r="Q994" s="5">
        <v>-0.23062210418710807</v>
      </c>
      <c r="R994" s="6">
        <f>P994/Q994</f>
        <v>-20.497784449999351</v>
      </c>
    </row>
    <row r="995" spans="1:18" x14ac:dyDescent="0.35">
      <c r="A995" s="9">
        <v>995</v>
      </c>
      <c r="B995" s="5">
        <v>0.5</v>
      </c>
      <c r="C995" s="5">
        <v>2000000</v>
      </c>
      <c r="D995" s="5">
        <v>15</v>
      </c>
      <c r="E995" s="5">
        <v>0.375</v>
      </c>
      <c r="F995" s="5">
        <v>0.1</v>
      </c>
      <c r="G995" s="12">
        <f>(C995*$U$4)/($U$5*$U$3)</f>
        <v>29.387755102040813</v>
      </c>
      <c r="H995" s="11">
        <f>G995*COS(RADIANS(D995))</f>
        <v>28.386391629719554</v>
      </c>
      <c r="I995" s="11">
        <f>G995*SIN(RADIANS(D995))</f>
        <v>7.6061107132169354</v>
      </c>
      <c r="J995" s="12">
        <v>0.24809999999999999</v>
      </c>
      <c r="K995" s="12">
        <v>67</v>
      </c>
      <c r="L995" s="12">
        <f>-(F995*G995*$U$3)/J995</f>
        <v>-11.845124990745996</v>
      </c>
      <c r="M995" s="11">
        <f>ABS(L995/$U$6)</f>
        <v>3.4533892101300277E-2</v>
      </c>
      <c r="N995" s="12">
        <f>L995*SIN(RADIANS(K995))</f>
        <v>-10.903495043732482</v>
      </c>
      <c r="O995" s="12">
        <f>L995*COS(RADIANS(K995))</f>
        <v>-4.6282590547306803</v>
      </c>
      <c r="P995" s="5">
        <v>4.2610859371211118</v>
      </c>
      <c r="Q995" s="5">
        <v>0.35107081087027198</v>
      </c>
      <c r="R995" s="6">
        <f>P995/Q995</f>
        <v>12.137397371653528</v>
      </c>
    </row>
    <row r="996" spans="1:18" x14ac:dyDescent="0.35">
      <c r="A996" s="9">
        <v>996</v>
      </c>
      <c r="B996" s="5">
        <v>1</v>
      </c>
      <c r="C996" s="5">
        <v>4000000</v>
      </c>
      <c r="D996" s="5">
        <v>0</v>
      </c>
      <c r="E996" s="5">
        <v>0</v>
      </c>
      <c r="F996" s="5">
        <v>0.15</v>
      </c>
      <c r="G996" s="12">
        <f>(C996*$U$4)/($U$5*$U$3)</f>
        <v>58.775510204081627</v>
      </c>
      <c r="H996" s="11">
        <f>G996*COS(RADIANS(D996))</f>
        <v>58.775510204081627</v>
      </c>
      <c r="I996" s="11">
        <f>G996*SIN(RADIANS(D996))</f>
        <v>0</v>
      </c>
      <c r="J996" s="11">
        <v>0.33379999999999999</v>
      </c>
      <c r="K996" s="12">
        <v>0</v>
      </c>
      <c r="L996" s="12">
        <f>-(F996*G996*$U$3)/J996</f>
        <v>-26.412002787933627</v>
      </c>
      <c r="M996" s="11">
        <f>ABS(L996/$U$6)</f>
        <v>7.7002923579981425E-2</v>
      </c>
      <c r="N996" s="12">
        <f>L996*SIN(RADIANS(K996))</f>
        <v>0</v>
      </c>
      <c r="O996" s="12">
        <f>L996*COS(RADIANS(K996))</f>
        <v>-26.412002787933627</v>
      </c>
      <c r="P996" s="5">
        <v>2.4565035644956565</v>
      </c>
      <c r="Q996" s="5">
        <v>1.1469597619348564</v>
      </c>
      <c r="R996" s="6">
        <f>P996/Q996</f>
        <v>2.1417521747682531</v>
      </c>
    </row>
    <row r="997" spans="1:18" x14ac:dyDescent="0.35">
      <c r="A997" s="9">
        <v>997</v>
      </c>
      <c r="B997" s="5">
        <v>0.25</v>
      </c>
      <c r="C997" s="5">
        <v>6000000</v>
      </c>
      <c r="D997" s="5">
        <v>5</v>
      </c>
      <c r="E997" s="5">
        <v>0.125</v>
      </c>
      <c r="F997" s="5">
        <v>3.5000000000000003E-2</v>
      </c>
      <c r="G997" s="12">
        <f>(C997*$U$4)/($U$5*$U$3)</f>
        <v>88.16326530612244</v>
      </c>
      <c r="H997" s="11">
        <f>G997*COS(RADIANS(D997))</f>
        <v>87.827777464415107</v>
      </c>
      <c r="I997" s="11">
        <f>G997*SIN(RADIANS(D997))</f>
        <v>7.6839348708139434</v>
      </c>
      <c r="J997" s="11">
        <v>0.19020000000000001</v>
      </c>
      <c r="K997" s="12">
        <v>46</v>
      </c>
      <c r="L997" s="12">
        <f>-(F997*G997*$U$3)/J997</f>
        <v>-16.223524109959442</v>
      </c>
      <c r="M997" s="11">
        <f>ABS(L997/$U$6)</f>
        <v>4.7298904110668928E-2</v>
      </c>
      <c r="N997" s="12">
        <f>L997*SIN(RADIANS(K997))</f>
        <v>-11.670226594047516</v>
      </c>
      <c r="O997" s="12">
        <f>L997*COS(RADIANS(K997))</f>
        <v>-11.26980682132668</v>
      </c>
      <c r="P997" s="5">
        <v>2.107105452051159</v>
      </c>
      <c r="Q997" s="5">
        <v>0.31693184753310133</v>
      </c>
      <c r="R997" s="6">
        <f>P997/Q997</f>
        <v>6.6484497170360468</v>
      </c>
    </row>
    <row r="998" spans="1:18" x14ac:dyDescent="0.35">
      <c r="A998" s="9">
        <v>998</v>
      </c>
      <c r="B998" s="5">
        <v>1</v>
      </c>
      <c r="C998" s="5">
        <v>6000000</v>
      </c>
      <c r="D998" s="5">
        <v>10</v>
      </c>
      <c r="E998" s="5">
        <v>0.25</v>
      </c>
      <c r="F998" s="5">
        <v>0</v>
      </c>
      <c r="G998" s="12">
        <f>(C998*$U$4)/($U$5*$U$3)</f>
        <v>88.16326530612244</v>
      </c>
      <c r="H998" s="11">
        <f>G998*COS(RADIANS(D998))</f>
        <v>86.823867204341596</v>
      </c>
      <c r="I998" s="11">
        <f>G998*SIN(RADIANS(D998))</f>
        <v>15.309390357574264</v>
      </c>
      <c r="J998" s="13">
        <v>0.33379999999999999</v>
      </c>
      <c r="K998" s="12">
        <v>30</v>
      </c>
      <c r="L998" s="12">
        <f>-(F998*G998*$U$3)/J998</f>
        <v>0</v>
      </c>
      <c r="M998" s="11">
        <f>ABS(L998/$U$6)</f>
        <v>0</v>
      </c>
      <c r="N998" s="12">
        <f>L998*SIN(RADIANS(K998))</f>
        <v>0</v>
      </c>
      <c r="O998" s="12">
        <f>L998*COS(RADIANS(K998))</f>
        <v>0</v>
      </c>
      <c r="P998" s="5">
        <v>6.8098334121343269</v>
      </c>
      <c r="Q998" s="5">
        <v>1.6268210337799074</v>
      </c>
      <c r="R998" s="6">
        <f>P998/Q998</f>
        <v>4.1859757593075413</v>
      </c>
    </row>
    <row r="999" spans="1:18" x14ac:dyDescent="0.35">
      <c r="A999" s="9">
        <v>999</v>
      </c>
      <c r="B999" s="5">
        <v>0.5</v>
      </c>
      <c r="C999" s="5">
        <v>6000000</v>
      </c>
      <c r="D999" s="5">
        <v>15</v>
      </c>
      <c r="E999" s="5">
        <v>0.375</v>
      </c>
      <c r="F999" s="5">
        <v>2.5000000000000001E-2</v>
      </c>
      <c r="G999" s="12">
        <f>(C999*$U$4)/($U$5*$U$3)</f>
        <v>88.16326530612244</v>
      </c>
      <c r="H999" s="11">
        <f>G999*COS(RADIANS(D999))</f>
        <v>85.159174889158663</v>
      </c>
      <c r="I999" s="11">
        <f>G999*SIN(RADIANS(D999))</f>
        <v>22.818332139650806</v>
      </c>
      <c r="J999" s="12">
        <v>0.24809999999999999</v>
      </c>
      <c r="K999" s="12">
        <v>67</v>
      </c>
      <c r="L999" s="12">
        <f>-(F999*G999*$U$3)/J999</f>
        <v>-8.8838437430594972</v>
      </c>
      <c r="M999" s="11">
        <f>ABS(L999/$U$6)</f>
        <v>2.590041907597521E-2</v>
      </c>
      <c r="N999" s="12">
        <f>L999*SIN(RADIANS(K999))</f>
        <v>-8.1776212827993611</v>
      </c>
      <c r="O999" s="12">
        <f>L999*COS(RADIANS(K999))</f>
        <v>-3.4711942910480107</v>
      </c>
      <c r="P999" s="5">
        <v>3.169207720401467</v>
      </c>
      <c r="Q999" s="5">
        <v>0.47239930517019652</v>
      </c>
      <c r="R999" s="6">
        <f>P999/Q999</f>
        <v>6.7087476330213089</v>
      </c>
    </row>
    <row r="1000" spans="1:18" x14ac:dyDescent="0.35">
      <c r="A1000" s="9">
        <v>1000</v>
      </c>
      <c r="B1000" s="5">
        <v>0.75</v>
      </c>
      <c r="C1000" s="5">
        <v>4000000</v>
      </c>
      <c r="D1000" s="5">
        <v>0</v>
      </c>
      <c r="E1000" s="5">
        <v>0</v>
      </c>
      <c r="F1000" s="5">
        <v>0.05</v>
      </c>
      <c r="G1000" s="12">
        <f>(C1000*$U$4)/($U$5*$U$3)</f>
        <v>58.775510204081627</v>
      </c>
      <c r="H1000" s="11">
        <f>G1000*COS(RADIANS(D1000))</f>
        <v>58.775510204081627</v>
      </c>
      <c r="I1000" s="11">
        <f>G1000*SIN(RADIANS(D1000))</f>
        <v>0</v>
      </c>
      <c r="J1000" s="11">
        <v>0.27929999999999999</v>
      </c>
      <c r="K1000" s="12">
        <v>0</v>
      </c>
      <c r="L1000" s="12">
        <f>-(F1000*G1000*$U$3)/J1000</f>
        <v>-10.521931651285648</v>
      </c>
      <c r="M1000" s="11">
        <f>ABS(L1000/$U$6)</f>
        <v>3.0676185572261365E-2</v>
      </c>
      <c r="N1000" s="12">
        <f>L1000*SIN(RADIANS(K1000))</f>
        <v>0</v>
      </c>
      <c r="O1000" s="12">
        <f>L1000*COS(RADIANS(K1000))</f>
        <v>-10.521931651285648</v>
      </c>
      <c r="P1000" s="5">
        <v>4.143588812003296</v>
      </c>
      <c r="Q1000" s="5">
        <v>0.4882625417074507</v>
      </c>
      <c r="R1000" s="6">
        <f>P1000/Q1000</f>
        <v>8.4863950396710646</v>
      </c>
    </row>
    <row r="1001" spans="1:18" x14ac:dyDescent="0.35">
      <c r="A1001" s="9">
        <v>1001</v>
      </c>
      <c r="B1001" s="5">
        <v>0.25</v>
      </c>
      <c r="C1001" s="5">
        <v>4000000</v>
      </c>
      <c r="D1001" s="5">
        <v>10</v>
      </c>
      <c r="E1001" s="5">
        <v>0.375</v>
      </c>
      <c r="F1001" s="5">
        <v>0</v>
      </c>
      <c r="G1001" s="12">
        <f>(C1001*$U$4)/($U$5*$U$3)</f>
        <v>58.775510204081627</v>
      </c>
      <c r="H1001" s="11">
        <f>G1001*COS(RADIANS(D1001))</f>
        <v>57.882578136227728</v>
      </c>
      <c r="I1001" s="11">
        <f>G1001*SIN(RADIANS(D1001))</f>
        <v>10.206260238382843</v>
      </c>
      <c r="J1001" s="11">
        <v>0.1976</v>
      </c>
      <c r="K1001" s="12">
        <v>78</v>
      </c>
      <c r="L1001" s="12">
        <f>-(F1001*G1001*$U$3)/J1001</f>
        <v>0</v>
      </c>
      <c r="M1001" s="11">
        <f>ABS(L1001/$U$6)</f>
        <v>0</v>
      </c>
      <c r="N1001" s="12">
        <f>L1001*SIN(RADIANS(K1001))</f>
        <v>0</v>
      </c>
      <c r="O1001" s="12">
        <f>L1001*COS(RADIANS(K1001))</f>
        <v>0</v>
      </c>
      <c r="P1001" s="5">
        <v>2.8105510907567957</v>
      </c>
      <c r="Q1001" s="5">
        <v>0.65754265712838367</v>
      </c>
      <c r="R1001" s="6">
        <f>P1001/Q1001</f>
        <v>4.2743251107555782</v>
      </c>
    </row>
    <row r="1002" spans="1:18" x14ac:dyDescent="0.35">
      <c r="A1002" s="9">
        <v>1002</v>
      </c>
      <c r="B1002" s="5">
        <v>0.1</v>
      </c>
      <c r="C1002" s="5">
        <v>6000000</v>
      </c>
      <c r="D1002" s="5">
        <v>30</v>
      </c>
      <c r="E1002" s="5">
        <v>0.375</v>
      </c>
      <c r="F1002" s="5">
        <v>0</v>
      </c>
      <c r="G1002" s="12">
        <f>(C1002*$U$4)/($U$5*$U$3)</f>
        <v>88.16326530612244</v>
      </c>
      <c r="H1002" s="11">
        <f>G1002*COS(RADIANS(D1002))</f>
        <v>76.351627435689281</v>
      </c>
      <c r="I1002" s="11">
        <f>G1002*SIN(RADIANS(D1002))</f>
        <v>44.081632653061213</v>
      </c>
      <c r="J1002" s="12">
        <v>0.16789999999999999</v>
      </c>
      <c r="K1002" s="11">
        <v>85</v>
      </c>
      <c r="L1002" s="12">
        <f>-(F1002*G1002*$U$3)/J1002</f>
        <v>0</v>
      </c>
      <c r="M1002" s="11">
        <f>ABS(L1002/$U$6)</f>
        <v>0</v>
      </c>
      <c r="N1002" s="12">
        <f>L1002*SIN(RADIANS(K1002))</f>
        <v>0</v>
      </c>
      <c r="O1002" s="12">
        <f>L1002*COS(RADIANS(K1002))</f>
        <v>0</v>
      </c>
      <c r="P1002" s="5">
        <v>1.502812437705136</v>
      </c>
      <c r="Q1002" s="5">
        <v>1.1748751442405061</v>
      </c>
      <c r="R1002" s="6">
        <f>P1002/Q1002</f>
        <v>1.2791252288145254</v>
      </c>
    </row>
    <row r="1003" spans="1:18" x14ac:dyDescent="0.35">
      <c r="A1003" s="9">
        <v>1003</v>
      </c>
      <c r="B1003" s="5">
        <v>0.5</v>
      </c>
      <c r="C1003" s="5">
        <v>4000000</v>
      </c>
      <c r="D1003" s="5">
        <v>0</v>
      </c>
      <c r="E1003" s="5">
        <v>0</v>
      </c>
      <c r="F1003" s="5">
        <v>0</v>
      </c>
      <c r="G1003" s="12">
        <f>(C1003*$U$4)/($U$5*$U$3)</f>
        <v>58.775510204081627</v>
      </c>
      <c r="H1003" s="11">
        <f>G1003*COS(RADIANS(D1003))</f>
        <v>58.775510204081627</v>
      </c>
      <c r="I1003" s="11">
        <f>G1003*SIN(RADIANS(D1003))</f>
        <v>0</v>
      </c>
      <c r="J1003" s="12">
        <v>0.23230000000000001</v>
      </c>
      <c r="K1003" s="12">
        <v>0</v>
      </c>
      <c r="L1003" s="12">
        <f>-(F1003*G1003*$U$3)/J1003</f>
        <v>0</v>
      </c>
      <c r="M1003" s="11">
        <f>ABS(L1003/$U$6)</f>
        <v>0</v>
      </c>
      <c r="N1003" s="12">
        <f>L1003*SIN(RADIANS(K1003))</f>
        <v>0</v>
      </c>
      <c r="O1003" s="12">
        <f>L1003*COS(RADIANS(K1003))</f>
        <v>0</v>
      </c>
      <c r="P1003" s="5">
        <v>3.7883888859878159</v>
      </c>
      <c r="Q1003" s="5">
        <v>0.43877420009091794</v>
      </c>
      <c r="R1003" s="6">
        <f>P1003/Q1003</f>
        <v>8.6340283571887948</v>
      </c>
    </row>
    <row r="1004" spans="1:18" x14ac:dyDescent="0.35">
      <c r="A1004" s="9">
        <v>1004</v>
      </c>
      <c r="B1004" s="5">
        <v>0.5</v>
      </c>
      <c r="C1004" s="5">
        <v>6000000</v>
      </c>
      <c r="D1004" s="5">
        <v>0</v>
      </c>
      <c r="E1004" s="5">
        <v>0</v>
      </c>
      <c r="F1004" s="5">
        <v>3.5000000000000003E-2</v>
      </c>
      <c r="G1004" s="12">
        <f>(C1004*$U$4)/($U$5*$U$3)</f>
        <v>88.16326530612244</v>
      </c>
      <c r="H1004" s="11">
        <f>G1004*COS(RADIANS(D1004))</f>
        <v>88.16326530612244</v>
      </c>
      <c r="I1004" s="11">
        <f>G1004*SIN(RADIANS(D1004))</f>
        <v>0</v>
      </c>
      <c r="J1004" s="12">
        <v>0.23230000000000001</v>
      </c>
      <c r="K1004" s="12">
        <v>0</v>
      </c>
      <c r="L1004" s="12">
        <f>-(F1004*G1004*$U$3)/J1004</f>
        <v>-13.283315909230675</v>
      </c>
      <c r="M1004" s="11">
        <f>ABS(L1004/$U$6)</f>
        <v>3.8726868540031122E-2</v>
      </c>
      <c r="N1004" s="12">
        <f>L1004*SIN(RADIANS(K1004))</f>
        <v>0</v>
      </c>
      <c r="O1004" s="12">
        <f>L1004*COS(RADIANS(K1004))</f>
        <v>-13.283315909230675</v>
      </c>
      <c r="P1004" s="5">
        <v>3.8984746793963314</v>
      </c>
      <c r="Q1004" s="5">
        <v>0.22290923249202999</v>
      </c>
      <c r="R1004" s="6">
        <f>P1004/Q1004</f>
        <v>17.489067795950174</v>
      </c>
    </row>
    <row r="1005" spans="1:18" x14ac:dyDescent="0.35">
      <c r="A1005" s="9">
        <v>1005</v>
      </c>
      <c r="B1005" s="5">
        <v>0.75</v>
      </c>
      <c r="C1005" s="5">
        <v>2000000</v>
      </c>
      <c r="D1005" s="5">
        <v>30</v>
      </c>
      <c r="E1005" s="5">
        <v>0.375</v>
      </c>
      <c r="F1005" s="5">
        <v>1.4999999999999999E-2</v>
      </c>
      <c r="G1005" s="12">
        <f>(C1005*$U$4)/($U$5*$U$3)</f>
        <v>29.387755102040813</v>
      </c>
      <c r="H1005" s="11">
        <f>G1005*COS(RADIANS(D1005))</f>
        <v>25.450542478563094</v>
      </c>
      <c r="I1005" s="11">
        <f>G1005*SIN(RADIANS(D1005))</f>
        <v>14.693877551020405</v>
      </c>
      <c r="J1005" s="11">
        <v>0.29299999999999998</v>
      </c>
      <c r="K1005" s="12">
        <v>57</v>
      </c>
      <c r="L1005" s="12">
        <f>-(F1005*G1005*$U$3)/J1005</f>
        <v>-1.5044925820157413</v>
      </c>
      <c r="M1005" s="11">
        <f>ABS(L1005/$U$6)</f>
        <v>4.3862757493170297E-3</v>
      </c>
      <c r="N1005" s="12">
        <f>L1005*SIN(RADIANS(K1005))</f>
        <v>-1.2617736482288193</v>
      </c>
      <c r="O1005" s="12">
        <f>L1005*COS(RADIANS(K1005))</f>
        <v>-0.81940538805631979</v>
      </c>
      <c r="P1005" s="5">
        <v>4.7873925394075965</v>
      </c>
      <c r="Q1005" s="5">
        <v>1.3155810647146515</v>
      </c>
      <c r="R1005" s="6">
        <f>P1005/Q1005</f>
        <v>3.6389947132949789</v>
      </c>
    </row>
    <row r="1006" spans="1:18" x14ac:dyDescent="0.35">
      <c r="A1006" s="9">
        <v>1006</v>
      </c>
      <c r="B1006" s="5">
        <v>0.1</v>
      </c>
      <c r="C1006" s="5">
        <v>2000000</v>
      </c>
      <c r="D1006" s="5">
        <v>10</v>
      </c>
      <c r="E1006" s="5">
        <v>0.375</v>
      </c>
      <c r="F1006" s="5">
        <v>3.5000000000000003E-2</v>
      </c>
      <c r="G1006" s="12">
        <f>(C1006*$U$4)/($U$5*$U$3)</f>
        <v>29.387755102040813</v>
      </c>
      <c r="H1006" s="11">
        <f>G1006*COS(RADIANS(D1006))</f>
        <v>28.941289068113864</v>
      </c>
      <c r="I1006" s="11">
        <f>G1006*SIN(RADIANS(D1006))</f>
        <v>5.1031301191914213</v>
      </c>
      <c r="J1006" s="12">
        <v>0.16789999999999999</v>
      </c>
      <c r="K1006" s="11">
        <v>85</v>
      </c>
      <c r="L1006" s="12">
        <f>-(F1006*G1006*$U$3)/J1006</f>
        <v>-6.126095464987662</v>
      </c>
      <c r="M1006" s="11">
        <f>ABS(L1006/$U$6)</f>
        <v>1.7860336632617092E-2</v>
      </c>
      <c r="N1006" s="12">
        <f>L1006*SIN(RADIANS(K1006))</f>
        <v>-6.1027838222245956</v>
      </c>
      <c r="O1006" s="12">
        <f>L1006*COS(RADIANS(K1006))</f>
        <v>-0.53392440039405986</v>
      </c>
      <c r="P1006" s="5">
        <v>1.8532491905986792</v>
      </c>
      <c r="Q1006" s="5">
        <v>0.50811309125504212</v>
      </c>
      <c r="R1006" s="6">
        <f>P1006/Q1006</f>
        <v>3.6473163602637033</v>
      </c>
    </row>
    <row r="1007" spans="1:18" x14ac:dyDescent="0.35">
      <c r="A1007" s="9">
        <v>1007</v>
      </c>
      <c r="B1007" s="5">
        <v>0.5</v>
      </c>
      <c r="C1007" s="5">
        <v>2000000</v>
      </c>
      <c r="D1007" s="5">
        <v>10</v>
      </c>
      <c r="E1007" s="5">
        <v>0.25</v>
      </c>
      <c r="F1007" s="5">
        <v>3.5000000000000003E-2</v>
      </c>
      <c r="G1007" s="12">
        <f>(C1007*$U$4)/($U$5*$U$3)</f>
        <v>29.387755102040813</v>
      </c>
      <c r="H1007" s="11">
        <f>G1007*COS(RADIANS(D1007))</f>
        <v>28.941289068113864</v>
      </c>
      <c r="I1007" s="11">
        <f>G1007*SIN(RADIANS(D1007))</f>
        <v>5.1031301191914213</v>
      </c>
      <c r="J1007" s="11">
        <v>0.23580000000000001</v>
      </c>
      <c r="K1007" s="11">
        <v>49</v>
      </c>
      <c r="L1007" s="12">
        <f>-(F1007*G1007*$U$3)/J1007</f>
        <v>-4.3620501635768809</v>
      </c>
      <c r="M1007" s="11">
        <f>ABS(L1007/$U$6)</f>
        <v>1.2717347415676037E-2</v>
      </c>
      <c r="N1007" s="12">
        <f>L1007*SIN(RADIANS(K1007))</f>
        <v>-3.2920810478637819</v>
      </c>
      <c r="O1007" s="12">
        <f>L1007*COS(RADIANS(K1007))</f>
        <v>-2.8617623947241317</v>
      </c>
      <c r="P1007" s="5">
        <v>2.73695206165339</v>
      </c>
      <c r="Q1007" s="5">
        <v>0.39346516645431778</v>
      </c>
      <c r="R1007" s="6">
        <f>P1007/Q1007</f>
        <v>6.9560212567664648</v>
      </c>
    </row>
    <row r="1008" spans="1:18" x14ac:dyDescent="0.35">
      <c r="A1008" s="9">
        <v>1008</v>
      </c>
      <c r="B1008" s="5">
        <v>0.25</v>
      </c>
      <c r="C1008" s="5">
        <v>4000000</v>
      </c>
      <c r="D1008" s="5">
        <v>5</v>
      </c>
      <c r="E1008" s="5">
        <v>0.25</v>
      </c>
      <c r="F1008" s="5">
        <v>0.1</v>
      </c>
      <c r="G1008" s="12">
        <f>(C1008*$U$4)/($U$5*$U$3)</f>
        <v>58.775510204081627</v>
      </c>
      <c r="H1008" s="11">
        <f>G1008*COS(RADIANS(D1008))</f>
        <v>58.551851642943404</v>
      </c>
      <c r="I1008" s="11">
        <f>G1008*SIN(RADIANS(D1008))</f>
        <v>5.1226232472092956</v>
      </c>
      <c r="J1008" s="12">
        <v>0.1913</v>
      </c>
      <c r="K1008" s="11">
        <v>67</v>
      </c>
      <c r="L1008" s="12">
        <f>-(F1008*G1008*$U$3)/J1008</f>
        <v>-30.724260430779733</v>
      </c>
      <c r="M1008" s="11">
        <f>ABS(L1008/$U$6)</f>
        <v>8.9575103296733918E-2</v>
      </c>
      <c r="N1008" s="12">
        <f>L1008*SIN(RADIANS(K1008))</f>
        <v>-28.281830845269511</v>
      </c>
      <c r="O1008" s="12">
        <f>L1008*COS(RADIANS(K1008))</f>
        <v>-12.004924950116903</v>
      </c>
      <c r="P1008" s="5">
        <v>2.3784868604880396</v>
      </c>
      <c r="Q1008" s="5">
        <v>0.25203232358239624</v>
      </c>
      <c r="R1008" s="6">
        <f>P1008/Q1008</f>
        <v>9.4372294262900258</v>
      </c>
    </row>
    <row r="1009" spans="1:18" x14ac:dyDescent="0.35">
      <c r="A1009" s="9">
        <v>1009</v>
      </c>
      <c r="B1009" s="5">
        <v>0.5</v>
      </c>
      <c r="C1009" s="5">
        <v>2000000</v>
      </c>
      <c r="D1009" s="5">
        <v>30</v>
      </c>
      <c r="E1009" s="5">
        <v>0</v>
      </c>
      <c r="F1009" s="5">
        <v>0</v>
      </c>
      <c r="G1009" s="12">
        <f>(C1009*$U$4)/($U$5*$U$3)</f>
        <v>29.387755102040813</v>
      </c>
      <c r="H1009" s="11">
        <f>G1009*COS(RADIANS(D1009))</f>
        <v>25.450542478563094</v>
      </c>
      <c r="I1009" s="11">
        <f>G1009*SIN(RADIANS(D1009))</f>
        <v>14.693877551020405</v>
      </c>
      <c r="J1009" s="12">
        <v>0.23230000000000001</v>
      </c>
      <c r="K1009" s="12">
        <v>0</v>
      </c>
      <c r="L1009" s="12">
        <f>-(F1009*G1009*$U$3)/J1009</f>
        <v>0</v>
      </c>
      <c r="M1009" s="11">
        <f>ABS(L1009/$U$6)</f>
        <v>0</v>
      </c>
      <c r="N1009" s="12">
        <f>L1009*SIN(RADIANS(K1009))</f>
        <v>0</v>
      </c>
      <c r="O1009" s="12">
        <f>L1009*COS(RADIANS(K1009))</f>
        <v>0</v>
      </c>
      <c r="P1009" s="5">
        <v>2.9300883514350509</v>
      </c>
      <c r="Q1009" s="5">
        <v>1.4942979733460198</v>
      </c>
      <c r="R1009" s="6">
        <f>P1009/Q1009</f>
        <v>1.960846098769726</v>
      </c>
    </row>
    <row r="1010" spans="1:18" x14ac:dyDescent="0.35">
      <c r="A1010" s="9">
        <v>1511</v>
      </c>
      <c r="B1010" s="5">
        <v>0.25</v>
      </c>
      <c r="C1010" s="5">
        <v>6000000</v>
      </c>
      <c r="D1010" s="5">
        <v>15</v>
      </c>
      <c r="E1010" s="5">
        <v>0</v>
      </c>
      <c r="F1010" s="5">
        <v>0.1</v>
      </c>
      <c r="G1010" s="12">
        <f>(C1010*$U$4)/($U$5*$U$3)</f>
        <v>88.16326530612244</v>
      </c>
      <c r="H1010" s="11">
        <f>G1010*COS(RADIANS(D1010))</f>
        <v>85.159174889158663</v>
      </c>
      <c r="I1010" s="11">
        <f>G1010*SIN(RADIANS(D1010))</f>
        <v>22.818332139650806</v>
      </c>
      <c r="J1010" s="12">
        <v>0.18990000000000001</v>
      </c>
      <c r="K1010" s="12">
        <v>0</v>
      </c>
      <c r="L1010" s="12">
        <f>-(F1010*G1010*$U$3)/J1010</f>
        <v>-46.426153399748515</v>
      </c>
      <c r="M1010" s="11">
        <f>ABS(L1010/$U$6)</f>
        <v>0.1353532169088878</v>
      </c>
      <c r="N1010" s="12">
        <f>L1010*SIN(RADIANS(K1010))</f>
        <v>0</v>
      </c>
      <c r="O1010" s="12">
        <f>L1010*COS(RADIANS(K1010))</f>
        <v>-46.426153399748515</v>
      </c>
      <c r="P1010" s="5">
        <v>2.4267658574487685</v>
      </c>
      <c r="Q1010" s="5">
        <v>0.46793738256011141</v>
      </c>
      <c r="R1010" s="6">
        <f>P1010/Q1010</f>
        <v>5.1860910196398455</v>
      </c>
    </row>
    <row r="1011" spans="1:18" x14ac:dyDescent="0.35">
      <c r="A1011" s="9">
        <v>1566</v>
      </c>
      <c r="B1011" s="5">
        <v>0.25</v>
      </c>
      <c r="C1011" s="5">
        <v>6000000</v>
      </c>
      <c r="D1011" s="5">
        <v>20</v>
      </c>
      <c r="E1011" s="5">
        <v>0</v>
      </c>
      <c r="F1011" s="5">
        <v>0.1</v>
      </c>
      <c r="G1011" s="12">
        <f>(C1011*$U$4)/($U$5*$U$3)</f>
        <v>88.16326530612244</v>
      </c>
      <c r="H1011" s="11">
        <f>G1011*COS(RADIANS(D1011))</f>
        <v>82.846369832553549</v>
      </c>
      <c r="I1011" s="11">
        <f>G1011*SIN(RADIANS(D1011))</f>
        <v>30.153612636058952</v>
      </c>
      <c r="J1011" s="12">
        <v>0.18990000000000001</v>
      </c>
      <c r="K1011" s="19">
        <v>0</v>
      </c>
      <c r="L1011" s="12">
        <f>-(F1011*G1011*$U$3)/J1011</f>
        <v>-46.426153399748515</v>
      </c>
      <c r="M1011" s="11">
        <f>ABS(L1011/$U$6)</f>
        <v>0.1353532169088878</v>
      </c>
      <c r="N1011" s="12">
        <f>L1011*SIN(RADIANS(K1011))</f>
        <v>0</v>
      </c>
      <c r="O1011" s="12">
        <f>L1011*COS(RADIANS(K1011))</f>
        <v>-46.426153399748515</v>
      </c>
      <c r="P1011" s="5">
        <v>2.4651025304014782</v>
      </c>
      <c r="Q1011" s="5">
        <v>0.6006300803997725</v>
      </c>
      <c r="R1011" s="6">
        <f>P1011/Q1011</f>
        <v>4.1041942633987532</v>
      </c>
    </row>
    <row r="1012" spans="1:18" x14ac:dyDescent="0.35">
      <c r="A1012" s="9">
        <v>1841</v>
      </c>
      <c r="B1012" s="5">
        <v>0.25</v>
      </c>
      <c r="C1012" s="5">
        <v>6000000</v>
      </c>
      <c r="D1012" s="5">
        <v>30</v>
      </c>
      <c r="E1012" s="5">
        <v>0</v>
      </c>
      <c r="F1012" s="5">
        <v>0.1</v>
      </c>
      <c r="G1012" s="12">
        <f>(C1012*$U$4)/($U$5*$U$3)</f>
        <v>88.16326530612244</v>
      </c>
      <c r="H1012" s="11">
        <f>G1012*COS(RADIANS(D1012))</f>
        <v>76.351627435689281</v>
      </c>
      <c r="I1012" s="11">
        <f>G1012*SIN(RADIANS(D1012))</f>
        <v>44.081632653061213</v>
      </c>
      <c r="J1012" s="12">
        <v>0.18990000000000001</v>
      </c>
      <c r="K1012" s="12">
        <v>0</v>
      </c>
      <c r="L1012" s="12">
        <f>-(F1012*G1012*$U$3)/J1012</f>
        <v>-46.426153399748515</v>
      </c>
      <c r="M1012" s="11">
        <f>ABS(L1012/$U$6)</f>
        <v>0.1353532169088878</v>
      </c>
      <c r="N1012" s="12">
        <f>L1012*SIN(RADIANS(K1012))</f>
        <v>0</v>
      </c>
      <c r="O1012" s="12">
        <f>L1012*COS(RADIANS(K1012))</f>
        <v>-46.426153399748515</v>
      </c>
      <c r="P1012" s="5">
        <v>2.519641237109751</v>
      </c>
      <c r="Q1012" s="5">
        <v>0.85891051848706867</v>
      </c>
      <c r="R1012" s="6">
        <f>P1012/Q1012</f>
        <v>2.9335317042664504</v>
      </c>
    </row>
    <row r="1013" spans="1:18" x14ac:dyDescent="0.35">
      <c r="A1013" s="9">
        <v>1013</v>
      </c>
      <c r="B1013" s="5">
        <v>0.75</v>
      </c>
      <c r="C1013" s="5">
        <v>4000000</v>
      </c>
      <c r="D1013" s="5">
        <v>30</v>
      </c>
      <c r="E1013" s="5">
        <v>0</v>
      </c>
      <c r="F1013" s="5">
        <v>0</v>
      </c>
      <c r="G1013" s="12">
        <f>(C1013*$U$4)/($U$5*$U$3)</f>
        <v>58.775510204081627</v>
      </c>
      <c r="H1013" s="11">
        <f>G1013*COS(RADIANS(D1013))</f>
        <v>50.901084957126187</v>
      </c>
      <c r="I1013" s="11">
        <f>G1013*SIN(RADIANS(D1013))</f>
        <v>29.38775510204081</v>
      </c>
      <c r="J1013" s="11">
        <v>0.27929999999999999</v>
      </c>
      <c r="K1013" s="12">
        <v>0</v>
      </c>
      <c r="L1013" s="12">
        <f>-(F1013*G1013*$U$3)/J1013</f>
        <v>0</v>
      </c>
      <c r="M1013" s="11">
        <f>ABS(L1013/$U$6)</f>
        <v>0</v>
      </c>
      <c r="N1013" s="12">
        <f>L1013*SIN(RADIANS(K1013))</f>
        <v>0</v>
      </c>
      <c r="O1013" s="12">
        <f>L1013*COS(RADIANS(K1013))</f>
        <v>0</v>
      </c>
      <c r="P1013" s="5">
        <v>3.3930860393505275</v>
      </c>
      <c r="Q1013" s="5">
        <v>2.1247180759284672</v>
      </c>
      <c r="R1013" s="6">
        <f>P1013/Q1013</f>
        <v>1.5969582401504276</v>
      </c>
    </row>
    <row r="1014" spans="1:18" x14ac:dyDescent="0.35">
      <c r="A1014" s="9">
        <v>1014</v>
      </c>
      <c r="B1014" s="5">
        <v>0.25</v>
      </c>
      <c r="C1014" s="5">
        <v>2000000</v>
      </c>
      <c r="D1014" s="5">
        <v>20</v>
      </c>
      <c r="E1014" s="5">
        <v>0.125</v>
      </c>
      <c r="F1014" s="5">
        <v>1.4999999999999999E-2</v>
      </c>
      <c r="G1014" s="12">
        <f>(C1014*$U$4)/($U$5*$U$3)</f>
        <v>29.387755102040813</v>
      </c>
      <c r="H1014" s="11">
        <f>G1014*COS(RADIANS(D1014))</f>
        <v>27.615456610851183</v>
      </c>
      <c r="I1014" s="11">
        <f>G1014*SIN(RADIANS(D1014))</f>
        <v>10.051204212019652</v>
      </c>
      <c r="J1014" s="11">
        <v>0.19020000000000001</v>
      </c>
      <c r="K1014" s="12">
        <v>46</v>
      </c>
      <c r="L1014" s="12">
        <f>-(F1014*G1014*$U$3)/J1014</f>
        <v>-2.3176463014227768</v>
      </c>
      <c r="M1014" s="11">
        <f>ABS(L1014/$U$6)</f>
        <v>6.7569863015241307E-3</v>
      </c>
      <c r="N1014" s="12">
        <f>L1014*SIN(RADIANS(K1014))</f>
        <v>-1.6671752277210734</v>
      </c>
      <c r="O1014" s="12">
        <f>L1014*COS(RADIANS(K1014))</f>
        <v>-1.6099724030466682</v>
      </c>
      <c r="P1014" s="5">
        <v>2.1148542479669841</v>
      </c>
      <c r="Q1014" s="5">
        <v>0.70216365950498072</v>
      </c>
      <c r="R1014" s="6">
        <f>P1014/Q1014</f>
        <v>3.0119107124654358</v>
      </c>
    </row>
    <row r="1015" spans="1:18" x14ac:dyDescent="0.35">
      <c r="A1015" s="9">
        <v>1015</v>
      </c>
      <c r="B1015" s="5">
        <v>0.5</v>
      </c>
      <c r="C1015" s="5">
        <v>4000000</v>
      </c>
      <c r="D1015" s="5">
        <v>20</v>
      </c>
      <c r="E1015" s="5">
        <v>0.25</v>
      </c>
      <c r="F1015" s="5">
        <v>2.5000000000000001E-2</v>
      </c>
      <c r="G1015" s="12">
        <f>(C1015*$U$4)/($U$5*$U$3)</f>
        <v>58.775510204081627</v>
      </c>
      <c r="H1015" s="11">
        <f>G1015*COS(RADIANS(D1015))</f>
        <v>55.230913221702366</v>
      </c>
      <c r="I1015" s="11">
        <f>G1015*SIN(RADIANS(D1015))</f>
        <v>20.102408424039304</v>
      </c>
      <c r="J1015" s="11">
        <v>0.23580000000000001</v>
      </c>
      <c r="K1015" s="11">
        <v>49</v>
      </c>
      <c r="L1015" s="12">
        <f>-(F1015*G1015*$U$3)/J1015</f>
        <v>-6.2315002336812579</v>
      </c>
      <c r="M1015" s="11">
        <f>ABS(L1015/$U$6)</f>
        <v>1.8167639165251482E-2</v>
      </c>
      <c r="N1015" s="12">
        <f>L1015*SIN(RADIANS(K1015))</f>
        <v>-4.7029729255196875</v>
      </c>
      <c r="O1015" s="12">
        <f>L1015*COS(RADIANS(K1015))</f>
        <v>-4.0882319924630455</v>
      </c>
      <c r="P1015" s="5">
        <v>3.4850018127486058</v>
      </c>
      <c r="Q1015" s="5">
        <v>0.79843968996021619</v>
      </c>
      <c r="R1015" s="6">
        <f>P1015/Q1015</f>
        <v>4.3647652497363358</v>
      </c>
    </row>
    <row r="1016" spans="1:18" x14ac:dyDescent="0.35">
      <c r="A1016" s="9">
        <v>1016</v>
      </c>
      <c r="B1016" s="5">
        <v>1</v>
      </c>
      <c r="C1016" s="5">
        <v>2000000</v>
      </c>
      <c r="D1016" s="5">
        <v>10</v>
      </c>
      <c r="E1016" s="5">
        <v>0.25</v>
      </c>
      <c r="F1016" s="5">
        <v>0.15</v>
      </c>
      <c r="G1016" s="12">
        <f>(C1016*$U$4)/($U$5*$U$3)</f>
        <v>29.387755102040813</v>
      </c>
      <c r="H1016" s="11">
        <f>G1016*COS(RADIANS(D1016))</f>
        <v>28.941289068113864</v>
      </c>
      <c r="I1016" s="11">
        <f>G1016*SIN(RADIANS(D1016))</f>
        <v>5.1031301191914213</v>
      </c>
      <c r="J1016" s="13">
        <v>0.33379999999999999</v>
      </c>
      <c r="K1016" s="12">
        <v>30</v>
      </c>
      <c r="L1016" s="12">
        <f>-(F1016*G1016*$U$3)/J1016</f>
        <v>-13.206001393966813</v>
      </c>
      <c r="M1016" s="11">
        <f>ABS(L1016/$U$6)</f>
        <v>3.8501461789990712E-2</v>
      </c>
      <c r="N1016" s="12">
        <f>L1016*SIN(RADIANS(K1016))</f>
        <v>-6.6030006969834059</v>
      </c>
      <c r="O1016" s="12">
        <f>L1016*COS(RADIANS(K1016))</f>
        <v>-11.43673268958797</v>
      </c>
      <c r="P1016" s="5">
        <v>5.3578823793399337</v>
      </c>
      <c r="Q1016" s="5">
        <v>-4.8629593474285242E-2</v>
      </c>
      <c r="R1016" s="6">
        <f>P1016/Q1016</f>
        <v>-110.17740426255298</v>
      </c>
    </row>
    <row r="1017" spans="1:18" x14ac:dyDescent="0.35">
      <c r="A1017" s="9">
        <v>1017</v>
      </c>
      <c r="B1017" s="5">
        <v>1</v>
      </c>
      <c r="C1017" s="5">
        <v>4000000</v>
      </c>
      <c r="D1017" s="5">
        <v>20</v>
      </c>
      <c r="E1017" s="5">
        <v>0.375</v>
      </c>
      <c r="F1017" s="5">
        <v>0.1</v>
      </c>
      <c r="G1017" s="12">
        <f>(C1017*$U$4)/($U$5*$U$3)</f>
        <v>58.775510204081627</v>
      </c>
      <c r="H1017" s="11">
        <f>G1017*COS(RADIANS(D1017))</f>
        <v>55.230913221702366</v>
      </c>
      <c r="I1017" s="11">
        <f>G1017*SIN(RADIANS(D1017))</f>
        <v>20.102408424039304</v>
      </c>
      <c r="J1017" s="12">
        <v>0.33379999999999999</v>
      </c>
      <c r="K1017" s="11">
        <v>49</v>
      </c>
      <c r="L1017" s="12">
        <f>-(F1017*G1017*$U$3)/J1017</f>
        <v>-17.608001858622419</v>
      </c>
      <c r="M1017" s="11">
        <f>ABS(L1017/$U$6)</f>
        <v>5.1335282386654281E-2</v>
      </c>
      <c r="N1017" s="12">
        <f>L1017*SIN(RADIANS(K1017))</f>
        <v>-13.288927691282716</v>
      </c>
      <c r="O1017" s="12">
        <f>L1017*COS(RADIANS(K1017))</f>
        <v>-11.551888601830871</v>
      </c>
      <c r="P1017" s="5">
        <v>6.9642231319246806</v>
      </c>
      <c r="Q1017" s="5">
        <v>0.67541041008317237</v>
      </c>
      <c r="R1017" s="6">
        <f>P1017/Q1017</f>
        <v>10.311098301056807</v>
      </c>
    </row>
    <row r="1018" spans="1:18" x14ac:dyDescent="0.35">
      <c r="A1018" s="9">
        <v>1018</v>
      </c>
      <c r="B1018" s="5">
        <v>1</v>
      </c>
      <c r="C1018" s="5">
        <v>2000000</v>
      </c>
      <c r="D1018" s="5">
        <v>30</v>
      </c>
      <c r="E1018" s="5">
        <v>0.125</v>
      </c>
      <c r="F1018" s="5">
        <v>2.5000000000000001E-2</v>
      </c>
      <c r="G1018" s="12">
        <f>(C1018*$U$4)/($U$5*$U$3)</f>
        <v>29.387755102040813</v>
      </c>
      <c r="H1018" s="11">
        <f>G1018*COS(RADIANS(D1018))</f>
        <v>25.450542478563094</v>
      </c>
      <c r="I1018" s="11">
        <f>G1018*SIN(RADIANS(D1018))</f>
        <v>14.693877551020405</v>
      </c>
      <c r="J1018" s="11">
        <v>0.33379999999999999</v>
      </c>
      <c r="K1018" s="12">
        <v>14</v>
      </c>
      <c r="L1018" s="12">
        <f>-(F1018*G1018*$U$3)/J1018</f>
        <v>-2.2010002323278024</v>
      </c>
      <c r="M1018" s="11">
        <f>ABS(L1018/$U$6)</f>
        <v>6.4169102983317851E-3</v>
      </c>
      <c r="N1018" s="12">
        <f>L1018*SIN(RADIANS(K1018))</f>
        <v>-0.53247014842005103</v>
      </c>
      <c r="O1018" s="12">
        <f>L1018*COS(RADIANS(K1018))</f>
        <v>-2.1356211189601422</v>
      </c>
      <c r="P1018" s="5">
        <v>3.5131431448984909</v>
      </c>
      <c r="Q1018" s="5">
        <v>1.3778217146769003</v>
      </c>
      <c r="R1018" s="6">
        <f>P1018/Q1018</f>
        <v>2.5497806483056658</v>
      </c>
    </row>
    <row r="1019" spans="1:18" x14ac:dyDescent="0.35">
      <c r="A1019" s="9">
        <v>2155</v>
      </c>
      <c r="B1019" s="5">
        <v>0.25</v>
      </c>
      <c r="C1019" s="5">
        <v>6000000</v>
      </c>
      <c r="D1019" s="5">
        <v>5</v>
      </c>
      <c r="E1019" s="5">
        <v>0</v>
      </c>
      <c r="F1019" s="5">
        <v>0.1</v>
      </c>
      <c r="G1019" s="12">
        <f>(C1019*$U$4)/($U$5*$U$3)</f>
        <v>88.16326530612244</v>
      </c>
      <c r="H1019" s="11">
        <f>G1019*COS(RADIANS(D1019))</f>
        <v>87.827777464415107</v>
      </c>
      <c r="I1019" s="11">
        <f>G1019*SIN(RADIANS(D1019))</f>
        <v>7.6839348708139434</v>
      </c>
      <c r="J1019" s="19">
        <v>0.18990000000000001</v>
      </c>
      <c r="K1019" s="12">
        <v>0</v>
      </c>
      <c r="L1019" s="12">
        <f>-(F1019*G1019*$U$3)/J1019</f>
        <v>-46.426153399748515</v>
      </c>
      <c r="M1019" s="11">
        <f>ABS(L1019/$U$6)</f>
        <v>0.1353532169088878</v>
      </c>
      <c r="N1019" s="12">
        <f>L1019*SIN(RADIANS(K1019))</f>
        <v>0</v>
      </c>
      <c r="O1019" s="12">
        <f>L1019*COS(RADIANS(K1019))</f>
        <v>-46.426153399748515</v>
      </c>
      <c r="P1019" s="5">
        <v>2.3255441734049835</v>
      </c>
      <c r="Q1019" s="5">
        <v>0.2089812432282169</v>
      </c>
      <c r="R1019" s="6">
        <f>P1019/Q1019</f>
        <v>11.128004300679677</v>
      </c>
    </row>
    <row r="1020" spans="1:18" x14ac:dyDescent="0.35">
      <c r="A1020" s="9">
        <v>157</v>
      </c>
      <c r="B1020" s="5">
        <v>0.25</v>
      </c>
      <c r="C1020" s="5">
        <v>6000000</v>
      </c>
      <c r="D1020" s="5">
        <v>20</v>
      </c>
      <c r="E1020" s="5">
        <v>0.125</v>
      </c>
      <c r="F1020" s="5">
        <v>0.1</v>
      </c>
      <c r="G1020" s="12">
        <f>(C1020*$U$4)/($U$5*$U$3)</f>
        <v>88.16326530612244</v>
      </c>
      <c r="H1020" s="11">
        <f>G1020*COS(RADIANS(D1020))</f>
        <v>82.846369832553549</v>
      </c>
      <c r="I1020" s="11">
        <f>G1020*SIN(RADIANS(D1020))</f>
        <v>30.153612636058952</v>
      </c>
      <c r="J1020" s="11">
        <v>0.19020000000000001</v>
      </c>
      <c r="K1020" s="12">
        <v>46</v>
      </c>
      <c r="L1020" s="12">
        <f>-(F1020*G1020*$U$3)/J1020</f>
        <v>-46.352926028455542</v>
      </c>
      <c r="M1020" s="11">
        <f>ABS(L1020/$U$6)</f>
        <v>0.13513972603048263</v>
      </c>
      <c r="N1020" s="12">
        <f>L1020*SIN(RADIANS(K1020))</f>
        <v>-33.343504554421472</v>
      </c>
      <c r="O1020" s="12">
        <f>L1020*COS(RADIANS(K1020))</f>
        <v>-32.199448060933364</v>
      </c>
      <c r="P1020" s="5">
        <v>2.6125297837967993</v>
      </c>
      <c r="Q1020" s="5">
        <v>0.68765882162966996</v>
      </c>
      <c r="R1020" s="6">
        <f>P1020/Q1020</f>
        <v>3.7991656641667348</v>
      </c>
    </row>
    <row r="1021" spans="1:18" x14ac:dyDescent="0.35">
      <c r="A1021" s="9">
        <v>1021</v>
      </c>
      <c r="B1021" s="5">
        <v>0.75</v>
      </c>
      <c r="C1021" s="5">
        <v>2000000</v>
      </c>
      <c r="D1021" s="5">
        <v>30</v>
      </c>
      <c r="E1021" s="5">
        <v>0.375</v>
      </c>
      <c r="F1021" s="5">
        <v>0.05</v>
      </c>
      <c r="G1021" s="12">
        <f>(C1021*$U$4)/($U$5*$U$3)</f>
        <v>29.387755102040813</v>
      </c>
      <c r="H1021" s="11">
        <f>G1021*COS(RADIANS(D1021))</f>
        <v>25.450542478563094</v>
      </c>
      <c r="I1021" s="11">
        <f>G1021*SIN(RADIANS(D1021))</f>
        <v>14.693877551020405</v>
      </c>
      <c r="J1021" s="11">
        <v>0.29299999999999998</v>
      </c>
      <c r="K1021" s="12">
        <v>57</v>
      </c>
      <c r="L1021" s="12">
        <f>-(F1021*G1021*$U$3)/J1021</f>
        <v>-5.0149752733858044</v>
      </c>
      <c r="M1021" s="11">
        <f>ABS(L1021/$U$6)</f>
        <v>1.46209191643901E-2</v>
      </c>
      <c r="N1021" s="12">
        <f>L1021*SIN(RADIANS(K1021))</f>
        <v>-4.2059121607627308</v>
      </c>
      <c r="O1021" s="12">
        <f>L1021*COS(RADIANS(K1021))</f>
        <v>-2.7313512935210662</v>
      </c>
      <c r="P1021" s="5">
        <v>5.5555408329700411</v>
      </c>
      <c r="Q1021" s="5">
        <v>1.3452469398400626</v>
      </c>
      <c r="R1021" s="6">
        <f>P1021/Q1021</f>
        <v>4.129755413998967</v>
      </c>
    </row>
    <row r="1022" spans="1:18" x14ac:dyDescent="0.35">
      <c r="A1022" s="9">
        <v>1022</v>
      </c>
      <c r="B1022" s="5">
        <v>0.75</v>
      </c>
      <c r="C1022" s="5">
        <v>2000000</v>
      </c>
      <c r="D1022" s="5">
        <v>20</v>
      </c>
      <c r="E1022" s="5">
        <v>0</v>
      </c>
      <c r="F1022" s="5">
        <v>0.15</v>
      </c>
      <c r="G1022" s="12">
        <f>(C1022*$U$4)/($U$5*$U$3)</f>
        <v>29.387755102040813</v>
      </c>
      <c r="H1022" s="11">
        <f>G1022*COS(RADIANS(D1022))</f>
        <v>27.615456610851183</v>
      </c>
      <c r="I1022" s="11">
        <f>G1022*SIN(RADIANS(D1022))</f>
        <v>10.051204212019652</v>
      </c>
      <c r="J1022" s="11">
        <v>0.27929999999999999</v>
      </c>
      <c r="K1022" s="12">
        <v>0</v>
      </c>
      <c r="L1022" s="12">
        <f>-(F1022*G1022*$U$3)/J1022</f>
        <v>-15.782897476928472</v>
      </c>
      <c r="M1022" s="11">
        <f>ABS(L1022/$U$6)</f>
        <v>4.6014278358392044E-2</v>
      </c>
      <c r="N1022" s="12">
        <f>L1022*SIN(RADIANS(K1022))</f>
        <v>0</v>
      </c>
      <c r="O1022" s="12">
        <f>L1022*COS(RADIANS(K1022))</f>
        <v>-15.782897476928472</v>
      </c>
      <c r="P1022" s="5">
        <v>7.3345994231020661</v>
      </c>
      <c r="Q1022" s="5">
        <v>1.3666969115145249</v>
      </c>
      <c r="R1022" s="6">
        <f>P1022/Q1022</f>
        <v>5.366661299449432</v>
      </c>
    </row>
    <row r="1023" spans="1:18" x14ac:dyDescent="0.35">
      <c r="A1023" s="9">
        <v>1023</v>
      </c>
      <c r="B1023" s="5">
        <v>1</v>
      </c>
      <c r="C1023" s="5">
        <v>4000000</v>
      </c>
      <c r="D1023" s="5">
        <v>10</v>
      </c>
      <c r="E1023" s="5">
        <v>0.25</v>
      </c>
      <c r="F1023" s="5">
        <v>1.4999999999999999E-2</v>
      </c>
      <c r="G1023" s="12">
        <f>(C1023*$U$4)/($U$5*$U$3)</f>
        <v>58.775510204081627</v>
      </c>
      <c r="H1023" s="11">
        <f>G1023*COS(RADIANS(D1023))</f>
        <v>57.882578136227728</v>
      </c>
      <c r="I1023" s="11">
        <f>G1023*SIN(RADIANS(D1023))</f>
        <v>10.206260238382843</v>
      </c>
      <c r="J1023" s="13">
        <v>0.33379999999999999</v>
      </c>
      <c r="K1023" s="12">
        <v>30</v>
      </c>
      <c r="L1023" s="12">
        <f>-(F1023*G1023*$U$3)/J1023</f>
        <v>-2.6412002787933626</v>
      </c>
      <c r="M1023" s="11">
        <f>ABS(L1023/$U$6)</f>
        <v>7.7002923579981416E-3</v>
      </c>
      <c r="N1023" s="12">
        <f>L1023*SIN(RADIANS(K1023))</f>
        <v>-1.3206001393966811</v>
      </c>
      <c r="O1023" s="12">
        <f>L1023*COS(RADIANS(K1023))</f>
        <v>-2.2873465379175939</v>
      </c>
      <c r="P1023" s="5">
        <v>3.5815227304287722</v>
      </c>
      <c r="Q1023" s="5">
        <v>0.91410489297693043</v>
      </c>
      <c r="R1023" s="6">
        <f>P1023/Q1023</f>
        <v>3.9180653751507273</v>
      </c>
    </row>
    <row r="1024" spans="1:18" x14ac:dyDescent="0.35">
      <c r="A1024" s="9">
        <v>1024</v>
      </c>
      <c r="B1024" s="5">
        <v>0.1</v>
      </c>
      <c r="C1024" s="5">
        <v>6000000</v>
      </c>
      <c r="D1024" s="5">
        <v>5</v>
      </c>
      <c r="E1024" s="5">
        <v>0.375</v>
      </c>
      <c r="F1024" s="5">
        <v>0.05</v>
      </c>
      <c r="G1024" s="12">
        <f>(C1024*$U$4)/($U$5*$U$3)</f>
        <v>88.16326530612244</v>
      </c>
      <c r="H1024" s="11">
        <f>G1024*COS(RADIANS(D1024))</f>
        <v>87.827777464415107</v>
      </c>
      <c r="I1024" s="11">
        <f>G1024*SIN(RADIANS(D1024))</f>
        <v>7.6839348708139434</v>
      </c>
      <c r="J1024" s="12">
        <v>0.16789999999999999</v>
      </c>
      <c r="K1024" s="11">
        <v>85</v>
      </c>
      <c r="L1024" s="12">
        <f>-(F1024*G1024*$U$3)/J1024</f>
        <v>-26.254694849947125</v>
      </c>
      <c r="M1024" s="11">
        <f>ABS(L1024/$U$6)</f>
        <v>7.6544299854073253E-2</v>
      </c>
      <c r="N1024" s="12">
        <f>L1024*SIN(RADIANS(K1024))</f>
        <v>-26.154787809533982</v>
      </c>
      <c r="O1024" s="12">
        <f>L1024*COS(RADIANS(K1024))</f>
        <v>-2.2882474302602565</v>
      </c>
      <c r="P1024" s="5">
        <v>1.8377190584512182</v>
      </c>
      <c r="Q1024" s="5">
        <v>0.3371948068590474</v>
      </c>
      <c r="R1024" s="6">
        <f>P1024/Q1024</f>
        <v>5.4500218303166603</v>
      </c>
    </row>
    <row r="1025" spans="1:18" x14ac:dyDescent="0.35">
      <c r="A1025" s="9">
        <v>1025</v>
      </c>
      <c r="B1025" s="5">
        <v>0.5</v>
      </c>
      <c r="C1025" s="5">
        <v>2000000</v>
      </c>
      <c r="D1025" s="5">
        <v>15</v>
      </c>
      <c r="E1025" s="5">
        <v>0.125</v>
      </c>
      <c r="F1025" s="5">
        <v>7.4999999999999997E-2</v>
      </c>
      <c r="G1025" s="12">
        <f>(C1025*$U$4)/($U$5*$U$3)</f>
        <v>29.387755102040813</v>
      </c>
      <c r="H1025" s="11">
        <f>G1025*COS(RADIANS(D1025))</f>
        <v>28.386391629719554</v>
      </c>
      <c r="I1025" s="11">
        <f>G1025*SIN(RADIANS(D1025))</f>
        <v>7.6061107132169354</v>
      </c>
      <c r="J1025" s="12">
        <v>0.23300000000000001</v>
      </c>
      <c r="K1025" s="11">
        <v>27</v>
      </c>
      <c r="L1025" s="12">
        <f>-(F1025*G1025*$U$3)/J1025</f>
        <v>-9.4595778225453255</v>
      </c>
      <c r="M1025" s="11">
        <f>ABS(L1025/$U$6)</f>
        <v>2.7578944089053429E-2</v>
      </c>
      <c r="N1025" s="12">
        <f>L1025*SIN(RADIANS(K1025))</f>
        <v>-4.2945584629824856</v>
      </c>
      <c r="O1025" s="12">
        <f>L1025*COS(RADIANS(K1025))</f>
        <v>-8.4285455559554805</v>
      </c>
      <c r="P1025" s="5">
        <v>4.3536801298856931</v>
      </c>
      <c r="Q1025" s="5">
        <v>0.71767394188760858</v>
      </c>
      <c r="R1025" s="6">
        <f>P1025/Q1025</f>
        <v>6.0663762131794128</v>
      </c>
    </row>
    <row r="1026" spans="1:18" x14ac:dyDescent="0.35">
      <c r="A1026" s="9">
        <v>1026</v>
      </c>
      <c r="B1026" s="5">
        <v>1</v>
      </c>
      <c r="C1026" s="5">
        <v>6000000</v>
      </c>
      <c r="D1026" s="5">
        <v>30</v>
      </c>
      <c r="E1026" s="5">
        <v>0.125</v>
      </c>
      <c r="F1026" s="5">
        <v>1.4999999999999999E-2</v>
      </c>
      <c r="G1026" s="12">
        <f>(C1026*$U$4)/($U$5*$U$3)</f>
        <v>88.16326530612244</v>
      </c>
      <c r="H1026" s="11">
        <f>G1026*COS(RADIANS(D1026))</f>
        <v>76.351627435689281</v>
      </c>
      <c r="I1026" s="11">
        <f>G1026*SIN(RADIANS(D1026))</f>
        <v>44.081632653061213</v>
      </c>
      <c r="J1026" s="11">
        <v>0.33379999999999999</v>
      </c>
      <c r="K1026" s="12">
        <v>14</v>
      </c>
      <c r="L1026" s="12">
        <f>-(F1026*G1026*$U$3)/J1026</f>
        <v>-3.9618004181900441</v>
      </c>
      <c r="M1026" s="11">
        <f>ABS(L1026/$U$6)</f>
        <v>1.1550438536997214E-2</v>
      </c>
      <c r="N1026" s="12">
        <f>L1026*SIN(RADIANS(K1026))</f>
        <v>-0.95844626715609182</v>
      </c>
      <c r="O1026" s="12">
        <f>L1026*COS(RADIANS(K1026))</f>
        <v>-3.8441180141282554</v>
      </c>
      <c r="P1026" s="5">
        <v>1.262114154875573</v>
      </c>
      <c r="Q1026" s="5">
        <v>1.9629524741786177</v>
      </c>
      <c r="R1026" s="6">
        <f>P1026/Q1026</f>
        <v>0.64296725034246938</v>
      </c>
    </row>
    <row r="1027" spans="1:18" x14ac:dyDescent="0.35">
      <c r="A1027" s="9">
        <v>1027</v>
      </c>
      <c r="B1027" s="5">
        <v>0.1</v>
      </c>
      <c r="C1027" s="5">
        <v>6000000</v>
      </c>
      <c r="D1027" s="5">
        <v>15</v>
      </c>
      <c r="E1027" s="5">
        <v>0.375</v>
      </c>
      <c r="F1027" s="5">
        <v>0.05</v>
      </c>
      <c r="G1027" s="12">
        <f>(C1027*$U$4)/($U$5*$U$3)</f>
        <v>88.16326530612244</v>
      </c>
      <c r="H1027" s="11">
        <f>G1027*COS(RADIANS(D1027))</f>
        <v>85.159174889158663</v>
      </c>
      <c r="I1027" s="11">
        <f>G1027*SIN(RADIANS(D1027))</f>
        <v>22.818332139650806</v>
      </c>
      <c r="J1027" s="12">
        <v>0.16789999999999999</v>
      </c>
      <c r="K1027" s="11">
        <v>85</v>
      </c>
      <c r="L1027" s="12">
        <f>-(F1027*G1027*$U$3)/J1027</f>
        <v>-26.254694849947125</v>
      </c>
      <c r="M1027" s="11">
        <f>ABS(L1027/$U$6)</f>
        <v>7.6544299854073253E-2</v>
      </c>
      <c r="N1027" s="12">
        <f>L1027*SIN(RADIANS(K1027))</f>
        <v>-26.154787809533982</v>
      </c>
      <c r="O1027" s="12">
        <f>L1027*COS(RADIANS(K1027))</f>
        <v>-2.2882474302602565</v>
      </c>
      <c r="P1027" s="5">
        <v>1.8749439392337266</v>
      </c>
      <c r="Q1027" s="5">
        <v>0.68901914612916271</v>
      </c>
      <c r="R1027" s="6">
        <f>P1027/Q1027</f>
        <v>2.7211782862159417</v>
      </c>
    </row>
    <row r="1028" spans="1:18" x14ac:dyDescent="0.35">
      <c r="A1028" s="9">
        <v>1028</v>
      </c>
      <c r="B1028" s="5">
        <v>1</v>
      </c>
      <c r="C1028" s="5">
        <v>4000000</v>
      </c>
      <c r="D1028" s="5">
        <v>10</v>
      </c>
      <c r="E1028" s="5">
        <v>0</v>
      </c>
      <c r="F1028" s="5">
        <v>0.05</v>
      </c>
      <c r="G1028" s="12">
        <f>(C1028*$U$4)/($U$5*$U$3)</f>
        <v>58.775510204081627</v>
      </c>
      <c r="H1028" s="11">
        <f>G1028*COS(RADIANS(D1028))</f>
        <v>57.882578136227728</v>
      </c>
      <c r="I1028" s="11">
        <f>G1028*SIN(RADIANS(D1028))</f>
        <v>10.206260238382843</v>
      </c>
      <c r="J1028" s="11">
        <v>0.33379999999999999</v>
      </c>
      <c r="K1028" s="12">
        <v>0</v>
      </c>
      <c r="L1028" s="12">
        <f>-(F1028*G1028*$U$3)/J1028</f>
        <v>-8.8040009293112096</v>
      </c>
      <c r="M1028" s="11">
        <f>ABS(L1028/$U$6)</f>
        <v>2.566764119332714E-2</v>
      </c>
      <c r="N1028" s="12">
        <f>L1028*SIN(RADIANS(K1028))</f>
        <v>0</v>
      </c>
      <c r="O1028" s="12">
        <f>L1028*COS(RADIANS(K1028))</f>
        <v>-8.8040009293112096</v>
      </c>
      <c r="P1028" s="5">
        <v>2.1763445724246471</v>
      </c>
      <c r="Q1028" s="5">
        <v>1.5393046897810962</v>
      </c>
      <c r="R1028" s="6">
        <f>P1028/Q1028</f>
        <v>1.4138491143908254</v>
      </c>
    </row>
    <row r="1029" spans="1:18" x14ac:dyDescent="0.35">
      <c r="A1029" s="9">
        <v>1029</v>
      </c>
      <c r="B1029" s="5">
        <v>0.5</v>
      </c>
      <c r="C1029" s="5">
        <v>2000000</v>
      </c>
      <c r="D1029" s="5">
        <v>15</v>
      </c>
      <c r="E1029" s="5">
        <v>0.25</v>
      </c>
      <c r="F1029" s="5">
        <v>1.4999999999999999E-2</v>
      </c>
      <c r="G1029" s="12">
        <f>(C1029*$U$4)/($U$5*$U$3)</f>
        <v>29.387755102040813</v>
      </c>
      <c r="H1029" s="11">
        <f>G1029*COS(RADIANS(D1029))</f>
        <v>28.386391629719554</v>
      </c>
      <c r="I1029" s="11">
        <f>G1029*SIN(RADIANS(D1029))</f>
        <v>7.6061107132169354</v>
      </c>
      <c r="J1029" s="11">
        <v>0.23580000000000001</v>
      </c>
      <c r="K1029" s="11">
        <v>49</v>
      </c>
      <c r="L1029" s="12">
        <f>-(F1029*G1029*$U$3)/J1029</f>
        <v>-1.8694500701043775</v>
      </c>
      <c r="M1029" s="11">
        <f>ABS(L1029/$U$6)</f>
        <v>5.4502917495754446E-3</v>
      </c>
      <c r="N1029" s="12">
        <f>L1029*SIN(RADIANS(K1029))</f>
        <v>-1.4108918776559065</v>
      </c>
      <c r="O1029" s="12">
        <f>L1029*COS(RADIANS(K1029))</f>
        <v>-1.2264695977389137</v>
      </c>
      <c r="P1029" s="5">
        <v>3.5717489510946936</v>
      </c>
      <c r="Q1029" s="5">
        <v>0.66298845777768178</v>
      </c>
      <c r="R1029" s="6">
        <f>P1029/Q1029</f>
        <v>5.3873471086768134</v>
      </c>
    </row>
    <row r="1030" spans="1:18" x14ac:dyDescent="0.35">
      <c r="A1030" s="9">
        <v>1030</v>
      </c>
      <c r="B1030" s="5">
        <v>0.25</v>
      </c>
      <c r="C1030" s="5">
        <v>2000000</v>
      </c>
      <c r="D1030" s="5">
        <v>10</v>
      </c>
      <c r="E1030" s="5">
        <v>0.375</v>
      </c>
      <c r="F1030" s="5">
        <v>3.5000000000000003E-2</v>
      </c>
      <c r="G1030" s="12">
        <f>(C1030*$U$4)/($U$5*$U$3)</f>
        <v>29.387755102040813</v>
      </c>
      <c r="H1030" s="11">
        <f>G1030*COS(RADIANS(D1030))</f>
        <v>28.941289068113864</v>
      </c>
      <c r="I1030" s="11">
        <f>G1030*SIN(RADIANS(D1030))</f>
        <v>5.1031301191914213</v>
      </c>
      <c r="J1030" s="11">
        <v>0.1976</v>
      </c>
      <c r="K1030" s="12">
        <v>78</v>
      </c>
      <c r="L1030" s="12">
        <f>-(F1030*G1030*$U$3)/J1030</f>
        <v>-5.2053209947946781</v>
      </c>
      <c r="M1030" s="11">
        <f>ABS(L1030/$U$6)</f>
        <v>1.5175862958585067E-2</v>
      </c>
      <c r="N1030" s="12">
        <f>L1030*SIN(RADIANS(K1030))</f>
        <v>-5.0915722421077207</v>
      </c>
      <c r="O1030" s="12">
        <f>L1030*COS(RADIANS(K1030))</f>
        <v>-1.0822470892769431</v>
      </c>
      <c r="P1030" s="5">
        <v>2.2303171386134162</v>
      </c>
      <c r="Q1030" s="5">
        <v>0.31194265321634856</v>
      </c>
      <c r="R1030" s="6">
        <f>P1030/Q1030</f>
        <v>7.1497665215618156</v>
      </c>
    </row>
    <row r="1031" spans="1:18" x14ac:dyDescent="0.35">
      <c r="A1031" s="9">
        <v>1031</v>
      </c>
      <c r="B1031" s="5">
        <v>0.75</v>
      </c>
      <c r="C1031" s="5">
        <v>6000000</v>
      </c>
      <c r="D1031" s="5">
        <v>15</v>
      </c>
      <c r="E1031" s="5">
        <v>0.125</v>
      </c>
      <c r="F1031" s="5">
        <v>0.1</v>
      </c>
      <c r="G1031" s="12">
        <f>(C1031*$U$4)/($U$5*$U$3)</f>
        <v>88.16326530612244</v>
      </c>
      <c r="H1031" s="11">
        <f>G1031*COS(RADIANS(D1031))</f>
        <v>85.159174889158663</v>
      </c>
      <c r="I1031" s="11">
        <f>G1031*SIN(RADIANS(D1031))</f>
        <v>22.818332139650806</v>
      </c>
      <c r="J1031" s="12">
        <v>0.2802</v>
      </c>
      <c r="K1031" s="12">
        <v>19</v>
      </c>
      <c r="L1031" s="12">
        <f>-(F1031*G1031*$U$3)/J1031</f>
        <v>-31.464405890835987</v>
      </c>
      <c r="M1031" s="11">
        <f>ABS(L1031/$U$6)</f>
        <v>9.1732961780862932E-2</v>
      </c>
      <c r="N1031" s="12">
        <f>L1031*SIN(RADIANS(K1031))</f>
        <v>-10.243808556970363</v>
      </c>
      <c r="O1031" s="12">
        <f>L1031*COS(RADIANS(K1031))</f>
        <v>-29.750180239981997</v>
      </c>
      <c r="P1031" s="5">
        <v>3.5845167352584197</v>
      </c>
      <c r="Q1031" s="5">
        <v>0.75720850948573226</v>
      </c>
      <c r="R1031" s="6">
        <f>P1031/Q1031</f>
        <v>4.7338569104207364</v>
      </c>
    </row>
    <row r="1032" spans="1:18" x14ac:dyDescent="0.35">
      <c r="A1032" s="9">
        <v>1032</v>
      </c>
      <c r="B1032" s="5">
        <v>1</v>
      </c>
      <c r="C1032" s="5">
        <v>6000000</v>
      </c>
      <c r="D1032" s="5">
        <v>30</v>
      </c>
      <c r="E1032" s="5">
        <v>0.125</v>
      </c>
      <c r="F1032" s="5">
        <v>2.5000000000000001E-2</v>
      </c>
      <c r="G1032" s="12">
        <f>(C1032*$U$4)/($U$5*$U$3)</f>
        <v>88.16326530612244</v>
      </c>
      <c r="H1032" s="11">
        <f>G1032*COS(RADIANS(D1032))</f>
        <v>76.351627435689281</v>
      </c>
      <c r="I1032" s="11">
        <f>G1032*SIN(RADIANS(D1032))</f>
        <v>44.081632653061213</v>
      </c>
      <c r="J1032" s="11">
        <v>0.33379999999999999</v>
      </c>
      <c r="K1032" s="12">
        <v>14</v>
      </c>
      <c r="L1032" s="12">
        <f>-(F1032*G1032*$U$3)/J1032</f>
        <v>-6.6030006969834067</v>
      </c>
      <c r="M1032" s="11">
        <f>ABS(L1032/$U$6)</f>
        <v>1.9250730894995356E-2</v>
      </c>
      <c r="N1032" s="12">
        <f>L1032*SIN(RADIANS(K1032))</f>
        <v>-1.597410445260153</v>
      </c>
      <c r="O1032" s="12">
        <f>L1032*COS(RADIANS(K1032))</f>
        <v>-6.4068633568804252</v>
      </c>
      <c r="P1032" s="5">
        <v>3.5336875743944614</v>
      </c>
      <c r="Q1032" s="5">
        <v>1.3670376531838899</v>
      </c>
      <c r="R1032" s="6">
        <f>P1032/Q1032</f>
        <v>2.5849233678124008</v>
      </c>
    </row>
    <row r="1033" spans="1:18" x14ac:dyDescent="0.35">
      <c r="A1033" s="9">
        <v>1033</v>
      </c>
      <c r="B1033" s="5">
        <v>0.5</v>
      </c>
      <c r="C1033" s="5">
        <v>2000000</v>
      </c>
      <c r="D1033" s="5">
        <v>20</v>
      </c>
      <c r="E1033" s="5">
        <v>0.125</v>
      </c>
      <c r="F1033" s="5">
        <v>3.5000000000000003E-2</v>
      </c>
      <c r="G1033" s="12">
        <f>(C1033*$U$4)/($U$5*$U$3)</f>
        <v>29.387755102040813</v>
      </c>
      <c r="H1033" s="11">
        <f>G1033*COS(RADIANS(D1033))</f>
        <v>27.615456610851183</v>
      </c>
      <c r="I1033" s="11">
        <f>G1033*SIN(RADIANS(D1033))</f>
        <v>10.051204212019652</v>
      </c>
      <c r="J1033" s="12">
        <v>0.23300000000000001</v>
      </c>
      <c r="K1033" s="11">
        <v>27</v>
      </c>
      <c r="L1033" s="12">
        <f>-(F1033*G1033*$U$3)/J1033</f>
        <v>-4.414469650521152</v>
      </c>
      <c r="M1033" s="11">
        <f>ABS(L1033/$U$6)</f>
        <v>1.2870173908224933E-2</v>
      </c>
      <c r="N1033" s="12">
        <f>L1033*SIN(RADIANS(K1033))</f>
        <v>-2.0041272827251602</v>
      </c>
      <c r="O1033" s="12">
        <f>L1033*COS(RADIANS(K1033))</f>
        <v>-3.9333212594458908</v>
      </c>
      <c r="P1033" s="5">
        <v>3.8866411512512018</v>
      </c>
      <c r="Q1033" s="5">
        <v>0.98672198436656244</v>
      </c>
      <c r="R1033" s="6">
        <f>P1033/Q1033</f>
        <v>3.9389424912289512</v>
      </c>
    </row>
    <row r="1034" spans="1:18" x14ac:dyDescent="0.35">
      <c r="A1034" s="9">
        <v>1034</v>
      </c>
      <c r="B1034" s="5">
        <v>0.25</v>
      </c>
      <c r="C1034" s="5">
        <v>2000000</v>
      </c>
      <c r="D1034" s="5">
        <v>5</v>
      </c>
      <c r="E1034" s="5">
        <v>0.125</v>
      </c>
      <c r="F1034" s="5">
        <v>2.5000000000000001E-2</v>
      </c>
      <c r="G1034" s="12">
        <f>(C1034*$U$4)/($U$5*$U$3)</f>
        <v>29.387755102040813</v>
      </c>
      <c r="H1034" s="11">
        <f>G1034*COS(RADIANS(D1034))</f>
        <v>29.275925821471702</v>
      </c>
      <c r="I1034" s="11">
        <f>G1034*SIN(RADIANS(D1034))</f>
        <v>2.5613116236046478</v>
      </c>
      <c r="J1034" s="11">
        <v>0.19020000000000001</v>
      </c>
      <c r="K1034" s="12">
        <v>46</v>
      </c>
      <c r="L1034" s="12">
        <f>-(F1034*G1034*$U$3)/J1034</f>
        <v>-3.8627438357046282</v>
      </c>
      <c r="M1034" s="11">
        <f>ABS(L1034/$U$6)</f>
        <v>1.1261643835873551E-2</v>
      </c>
      <c r="N1034" s="12">
        <f>L1034*SIN(RADIANS(K1034))</f>
        <v>-2.7786253795351223</v>
      </c>
      <c r="O1034" s="12">
        <f>L1034*COS(RADIANS(K1034))</f>
        <v>-2.6832873384111138</v>
      </c>
      <c r="P1034" s="5">
        <v>2.0502440723860134</v>
      </c>
      <c r="Q1034" s="5">
        <v>0.3322073214750686</v>
      </c>
      <c r="R1034" s="6">
        <f>P1034/Q1034</f>
        <v>6.171580034065804</v>
      </c>
    </row>
    <row r="1035" spans="1:18" x14ac:dyDescent="0.35">
      <c r="A1035" s="9">
        <v>1035</v>
      </c>
      <c r="B1035" s="5">
        <v>0.1</v>
      </c>
      <c r="C1035" s="5">
        <v>6000000</v>
      </c>
      <c r="D1035" s="5">
        <v>0</v>
      </c>
      <c r="E1035" s="5">
        <v>0</v>
      </c>
      <c r="F1035" s="5">
        <v>1.4999999999999999E-2</v>
      </c>
      <c r="G1035" s="12">
        <f>(C1035*$U$4)/($U$5*$U$3)</f>
        <v>88.16326530612244</v>
      </c>
      <c r="H1035" s="11">
        <f>G1035*COS(RADIANS(D1035))</f>
        <v>88.16326530612244</v>
      </c>
      <c r="I1035" s="11">
        <f>G1035*SIN(RADIANS(D1035))</f>
        <v>0</v>
      </c>
      <c r="J1035" s="11">
        <v>0.16569999999999999</v>
      </c>
      <c r="K1035" s="12">
        <v>0</v>
      </c>
      <c r="L1035" s="12">
        <f>-(F1035*G1035*$U$3)/J1035</f>
        <v>-7.980983582328526</v>
      </c>
      <c r="M1035" s="11">
        <f>ABS(L1035/$U$6)</f>
        <v>2.3268173709412612E-2</v>
      </c>
      <c r="N1035" s="12">
        <f>L1035*SIN(RADIANS(K1035))</f>
        <v>0</v>
      </c>
      <c r="O1035" s="12">
        <f>L1035*COS(RADIANS(K1035))</f>
        <v>-7.980983582328526</v>
      </c>
      <c r="P1035" s="5">
        <v>1.0738983117940095</v>
      </c>
      <c r="Q1035" s="5">
        <v>0.23048891077993813</v>
      </c>
      <c r="R1035" s="6">
        <f>P1035/Q1035</f>
        <v>4.6592189973917053</v>
      </c>
    </row>
    <row r="1036" spans="1:18" x14ac:dyDescent="0.35">
      <c r="A1036" s="9">
        <v>1036</v>
      </c>
      <c r="B1036" s="5">
        <v>1</v>
      </c>
      <c r="C1036" s="5">
        <v>6000000</v>
      </c>
      <c r="D1036" s="5">
        <v>20</v>
      </c>
      <c r="E1036" s="5">
        <v>0.375</v>
      </c>
      <c r="F1036" s="5">
        <v>3.5000000000000003E-2</v>
      </c>
      <c r="G1036" s="12">
        <f>(C1036*$U$4)/($U$5*$U$3)</f>
        <v>88.16326530612244</v>
      </c>
      <c r="H1036" s="11">
        <f>G1036*COS(RADIANS(D1036))</f>
        <v>82.846369832553549</v>
      </c>
      <c r="I1036" s="11">
        <f>G1036*SIN(RADIANS(D1036))</f>
        <v>30.153612636058952</v>
      </c>
      <c r="J1036" s="12">
        <v>0.33379999999999999</v>
      </c>
      <c r="K1036" s="11">
        <v>49</v>
      </c>
      <c r="L1036" s="12">
        <f>-(F1036*G1036*$U$3)/J1036</f>
        <v>-9.2442009757767707</v>
      </c>
      <c r="M1036" s="11">
        <f>ABS(L1036/$U$6)</f>
        <v>2.6951023252993502E-2</v>
      </c>
      <c r="N1036" s="12">
        <f>L1036*SIN(RADIANS(K1036))</f>
        <v>-6.9766870379234263</v>
      </c>
      <c r="O1036" s="12">
        <f>L1036*COS(RADIANS(K1036))</f>
        <v>-6.0647415159612077</v>
      </c>
      <c r="P1036" s="5">
        <v>5.0317415904040805</v>
      </c>
      <c r="Q1036" s="5">
        <v>0.79629150033348839</v>
      </c>
      <c r="R1036" s="6">
        <f>P1036/Q1036</f>
        <v>6.3189693576997588</v>
      </c>
    </row>
    <row r="1037" spans="1:18" x14ac:dyDescent="0.35">
      <c r="A1037" s="9">
        <v>1037</v>
      </c>
      <c r="B1037" s="5">
        <v>0.1</v>
      </c>
      <c r="C1037" s="5">
        <v>4000000</v>
      </c>
      <c r="D1037" s="5">
        <v>5</v>
      </c>
      <c r="E1037" s="5">
        <v>0.375</v>
      </c>
      <c r="F1037" s="5">
        <v>1.4999999999999999E-2</v>
      </c>
      <c r="G1037" s="12">
        <f>(C1037*$U$4)/($U$5*$U$3)</f>
        <v>58.775510204081627</v>
      </c>
      <c r="H1037" s="11">
        <f>G1037*COS(RADIANS(D1037))</f>
        <v>58.551851642943404</v>
      </c>
      <c r="I1037" s="11">
        <f>G1037*SIN(RADIANS(D1037))</f>
        <v>5.1226232472092956</v>
      </c>
      <c r="J1037" s="12">
        <v>0.16789999999999999</v>
      </c>
      <c r="K1037" s="11">
        <v>85</v>
      </c>
      <c r="L1037" s="12">
        <f>-(F1037*G1037*$U$3)/J1037</f>
        <v>-5.2509389699894244</v>
      </c>
      <c r="M1037" s="11">
        <f>ABS(L1037/$U$6)</f>
        <v>1.5308859970814648E-2</v>
      </c>
      <c r="N1037" s="12">
        <f>L1037*SIN(RADIANS(K1037))</f>
        <v>-5.2309575619067958</v>
      </c>
      <c r="O1037" s="12">
        <f>L1037*COS(RADIANS(K1037))</f>
        <v>-0.45764948605205125</v>
      </c>
      <c r="P1037" s="5">
        <v>1.5939940791136968</v>
      </c>
      <c r="Q1037" s="5">
        <v>0.33565332124529379</v>
      </c>
      <c r="R1037" s="6">
        <f>P1037/Q1037</f>
        <v>4.7489298577469272</v>
      </c>
    </row>
    <row r="1038" spans="1:18" x14ac:dyDescent="0.35">
      <c r="A1038" s="9">
        <v>1038</v>
      </c>
      <c r="B1038" s="5">
        <v>0.75</v>
      </c>
      <c r="C1038" s="5">
        <v>6000000</v>
      </c>
      <c r="D1038" s="5">
        <v>0</v>
      </c>
      <c r="E1038" s="5">
        <v>0.125</v>
      </c>
      <c r="F1038" s="5">
        <v>0</v>
      </c>
      <c r="G1038" s="12">
        <f>(C1038*$U$4)/($U$5*$U$3)</f>
        <v>88.16326530612244</v>
      </c>
      <c r="H1038" s="11">
        <f>G1038*COS(RADIANS(D1038))</f>
        <v>88.16326530612244</v>
      </c>
      <c r="I1038" s="11">
        <f>G1038*SIN(RADIANS(D1038))</f>
        <v>0</v>
      </c>
      <c r="J1038" s="12">
        <v>0.2802</v>
      </c>
      <c r="K1038" s="12">
        <v>19</v>
      </c>
      <c r="L1038" s="12">
        <f>-(F1038*G1038*$U$3)/J1038</f>
        <v>0</v>
      </c>
      <c r="M1038" s="11">
        <f>ABS(L1038/$U$6)</f>
        <v>0</v>
      </c>
      <c r="N1038" s="12">
        <f>L1038*SIN(RADIANS(K1038))</f>
        <v>0</v>
      </c>
      <c r="O1038" s="12">
        <f>L1038*COS(RADIANS(K1038))</f>
        <v>0</v>
      </c>
      <c r="P1038" s="5">
        <v>5.4055962790424212</v>
      </c>
      <c r="Q1038" s="5">
        <v>0.724614612694787</v>
      </c>
      <c r="R1038" s="6">
        <f>P1038/Q1038</f>
        <v>7.4599603490459803</v>
      </c>
    </row>
    <row r="1039" spans="1:18" x14ac:dyDescent="0.35">
      <c r="A1039" s="9">
        <v>1039</v>
      </c>
      <c r="B1039" s="5">
        <v>0.25</v>
      </c>
      <c r="C1039" s="5">
        <v>6000000</v>
      </c>
      <c r="D1039" s="5">
        <v>20</v>
      </c>
      <c r="E1039" s="5">
        <v>0</v>
      </c>
      <c r="F1039" s="5">
        <v>2.5000000000000001E-2</v>
      </c>
      <c r="G1039" s="12">
        <f>(C1039*$U$4)/($U$5*$U$3)</f>
        <v>88.16326530612244</v>
      </c>
      <c r="H1039" s="11">
        <f>G1039*COS(RADIANS(D1039))</f>
        <v>82.846369832553549</v>
      </c>
      <c r="I1039" s="11">
        <f>G1039*SIN(RADIANS(D1039))</f>
        <v>30.153612636058952</v>
      </c>
      <c r="J1039" s="12">
        <v>0.18990000000000001</v>
      </c>
      <c r="K1039" s="12">
        <v>0</v>
      </c>
      <c r="L1039" s="12">
        <f>-(F1039*G1039*$U$3)/J1039</f>
        <v>-11.606538349937129</v>
      </c>
      <c r="M1039" s="11">
        <f>ABS(L1039/$U$6)</f>
        <v>3.3838304227221949E-2</v>
      </c>
      <c r="N1039" s="12">
        <f>L1039*SIN(RADIANS(K1039))</f>
        <v>0</v>
      </c>
      <c r="O1039" s="12">
        <f>L1039*COS(RADIANS(K1039))</f>
        <v>-11.606538349937129</v>
      </c>
      <c r="P1039" s="5">
        <v>2.088302347389126</v>
      </c>
      <c r="Q1039" s="5">
        <v>0.65465770160939751</v>
      </c>
      <c r="R1039" s="6">
        <f>P1039/Q1039</f>
        <v>3.1899148856803867</v>
      </c>
    </row>
    <row r="1040" spans="1:18" x14ac:dyDescent="0.35">
      <c r="A1040" s="9">
        <v>1040</v>
      </c>
      <c r="B1040" s="5">
        <v>0.75</v>
      </c>
      <c r="C1040" s="5">
        <v>4000000</v>
      </c>
      <c r="D1040" s="5">
        <v>30</v>
      </c>
      <c r="E1040" s="5">
        <v>0.25</v>
      </c>
      <c r="F1040" s="5">
        <v>3.5000000000000003E-2</v>
      </c>
      <c r="G1040" s="12">
        <f>(C1040*$U$4)/($U$5*$U$3)</f>
        <v>58.775510204081627</v>
      </c>
      <c r="H1040" s="11">
        <f>G1040*COS(RADIANS(D1040))</f>
        <v>50.901084957126187</v>
      </c>
      <c r="I1040" s="11">
        <f>G1040*SIN(RADIANS(D1040))</f>
        <v>29.38775510204081</v>
      </c>
      <c r="J1040" s="12">
        <v>0.28370000000000001</v>
      </c>
      <c r="K1040" s="11">
        <v>38</v>
      </c>
      <c r="L1040" s="12">
        <f>-(F1040*G1040*$U$3)/J1040</f>
        <v>-7.2511203988116213</v>
      </c>
      <c r="M1040" s="11">
        <f>ABS(L1040/$U$6)</f>
        <v>2.11402927079056E-2</v>
      </c>
      <c r="N1040" s="12">
        <f>L1040*SIN(RADIANS(K1040))</f>
        <v>-4.4642354824963384</v>
      </c>
      <c r="O1040" s="12">
        <f>L1040*COS(RADIANS(K1040))</f>
        <v>-5.7139608499606194</v>
      </c>
      <c r="P1040" s="5">
        <v>2.9570908269013145</v>
      </c>
      <c r="Q1040" s="5">
        <v>1.4360570780885162</v>
      </c>
      <c r="R1040" s="6">
        <f>P1040/Q1040</f>
        <v>2.0591736025126464</v>
      </c>
    </row>
    <row r="1041" spans="1:18" x14ac:dyDescent="0.35">
      <c r="A1041" s="9">
        <v>324</v>
      </c>
      <c r="B1041" s="5">
        <v>0.25</v>
      </c>
      <c r="C1041" s="5">
        <v>4000000</v>
      </c>
      <c r="D1041" s="5">
        <v>10</v>
      </c>
      <c r="E1041" s="5">
        <v>0.125</v>
      </c>
      <c r="F1041" s="5">
        <v>0.15</v>
      </c>
      <c r="G1041" s="12">
        <f>(C1041*$U$4)/($U$5*$U$3)</f>
        <v>58.775510204081627</v>
      </c>
      <c r="H1041" s="11">
        <f>G1041*COS(RADIANS(D1041))</f>
        <v>57.882578136227728</v>
      </c>
      <c r="I1041" s="11">
        <f>G1041*SIN(RADIANS(D1041))</f>
        <v>10.206260238382843</v>
      </c>
      <c r="J1041" s="11">
        <v>0.19020000000000001</v>
      </c>
      <c r="K1041" s="19">
        <v>46</v>
      </c>
      <c r="L1041" s="12">
        <f>-(F1041*G1041*$U$3)/J1041</f>
        <v>-46.352926028455542</v>
      </c>
      <c r="M1041" s="11">
        <f>ABS(L1041/$U$6)</f>
        <v>0.13513972603048263</v>
      </c>
      <c r="N1041" s="12">
        <f>L1041*SIN(RADIANS(K1041))</f>
        <v>-33.343504554421472</v>
      </c>
      <c r="O1041" s="12">
        <f>L1041*COS(RADIANS(K1041))</f>
        <v>-32.199448060933364</v>
      </c>
      <c r="P1041" s="5">
        <v>2.6959015513072342</v>
      </c>
      <c r="Q1041" s="5">
        <v>0.34997767183059347</v>
      </c>
      <c r="R1041" s="6">
        <f>P1041/Q1041</f>
        <v>7.7030672762809393</v>
      </c>
    </row>
    <row r="1042" spans="1:18" x14ac:dyDescent="0.35">
      <c r="A1042" s="9">
        <v>1042</v>
      </c>
      <c r="B1042" s="5">
        <v>1</v>
      </c>
      <c r="C1042" s="5">
        <v>4000000</v>
      </c>
      <c r="D1042" s="5">
        <v>5</v>
      </c>
      <c r="E1042" s="5">
        <v>0.125</v>
      </c>
      <c r="F1042" s="5">
        <v>7.4999999999999997E-2</v>
      </c>
      <c r="G1042" s="12">
        <f>(C1042*$U$4)/($U$5*$U$3)</f>
        <v>58.775510204081627</v>
      </c>
      <c r="H1042" s="11">
        <f>G1042*COS(RADIANS(D1042))</f>
        <v>58.551851642943404</v>
      </c>
      <c r="I1042" s="11">
        <f>G1042*SIN(RADIANS(D1042))</f>
        <v>5.1226232472092956</v>
      </c>
      <c r="J1042" s="11">
        <v>0.33379999999999999</v>
      </c>
      <c r="K1042" s="12">
        <v>14</v>
      </c>
      <c r="L1042" s="12">
        <f>-(F1042*G1042*$U$3)/J1042</f>
        <v>-13.206001393966813</v>
      </c>
      <c r="M1042" s="11">
        <f>ABS(L1042/$U$6)</f>
        <v>3.8501461789990712E-2</v>
      </c>
      <c r="N1042" s="12">
        <f>L1042*SIN(RADIANS(K1042))</f>
        <v>-3.1948208905203059</v>
      </c>
      <c r="O1042" s="12">
        <f>L1042*COS(RADIANS(K1042))</f>
        <v>-12.81372671376085</v>
      </c>
      <c r="P1042" s="5">
        <v>3.0311254879445415</v>
      </c>
      <c r="Q1042" s="5">
        <v>0.71295954510969761</v>
      </c>
      <c r="R1042" s="6">
        <f>P1042/Q1042</f>
        <v>4.2514691173370371</v>
      </c>
    </row>
    <row r="1043" spans="1:18" x14ac:dyDescent="0.35">
      <c r="A1043" s="9">
        <v>618</v>
      </c>
      <c r="B1043" s="5">
        <v>0.25</v>
      </c>
      <c r="C1043" s="5">
        <v>4000000</v>
      </c>
      <c r="D1043" s="5">
        <v>20</v>
      </c>
      <c r="E1043" s="5">
        <v>0.125</v>
      </c>
      <c r="F1043" s="5">
        <v>0.15</v>
      </c>
      <c r="G1043" s="12">
        <f>(C1043*$U$4)/($U$5*$U$3)</f>
        <v>58.775510204081627</v>
      </c>
      <c r="H1043" s="11">
        <f>G1043*COS(RADIANS(D1043))</f>
        <v>55.230913221702366</v>
      </c>
      <c r="I1043" s="11">
        <f>G1043*SIN(RADIANS(D1043))</f>
        <v>20.102408424039304</v>
      </c>
      <c r="J1043" s="11">
        <v>0.19020000000000001</v>
      </c>
      <c r="K1043" s="12">
        <v>46</v>
      </c>
      <c r="L1043" s="12">
        <f>-(F1043*G1043*$U$3)/J1043</f>
        <v>-46.352926028455542</v>
      </c>
      <c r="M1043" s="11">
        <f>ABS(L1043/$U$6)</f>
        <v>0.13513972603048263</v>
      </c>
      <c r="N1043" s="12">
        <f>L1043*SIN(RADIANS(K1043))</f>
        <v>-33.343504554421472</v>
      </c>
      <c r="O1043" s="12">
        <f>L1043*COS(RADIANS(K1043))</f>
        <v>-32.199448060933364</v>
      </c>
      <c r="P1043" s="5">
        <v>2.7866884608904772</v>
      </c>
      <c r="Q1043" s="5">
        <v>0.66211752371243016</v>
      </c>
      <c r="R1043" s="6">
        <f>P1043/Q1043</f>
        <v>4.2087520131860874</v>
      </c>
    </row>
    <row r="1044" spans="1:18" x14ac:dyDescent="0.35">
      <c r="A1044" s="9">
        <v>1044</v>
      </c>
      <c r="B1044" s="5">
        <v>1</v>
      </c>
      <c r="C1044" s="5">
        <v>4000000</v>
      </c>
      <c r="D1044" s="5">
        <v>30</v>
      </c>
      <c r="E1044" s="5">
        <v>0.25</v>
      </c>
      <c r="F1044" s="5">
        <v>0.1</v>
      </c>
      <c r="G1044" s="12">
        <f>(C1044*$U$4)/($U$5*$U$3)</f>
        <v>58.775510204081627</v>
      </c>
      <c r="H1044" s="11">
        <f>G1044*COS(RADIANS(D1044))</f>
        <v>50.901084957126187</v>
      </c>
      <c r="I1044" s="11">
        <f>G1044*SIN(RADIANS(D1044))</f>
        <v>29.38775510204081</v>
      </c>
      <c r="J1044" s="13">
        <v>0.33379999999999999</v>
      </c>
      <c r="K1044" s="12">
        <v>30</v>
      </c>
      <c r="L1044" s="12">
        <f>-(F1044*G1044*$U$3)/J1044</f>
        <v>-17.608001858622419</v>
      </c>
      <c r="M1044" s="11">
        <f>ABS(L1044/$U$6)</f>
        <v>5.1335282386654281E-2</v>
      </c>
      <c r="N1044" s="12">
        <f>L1044*SIN(RADIANS(K1044))</f>
        <v>-8.8040009293112078</v>
      </c>
      <c r="O1044" s="12">
        <f>L1044*COS(RADIANS(K1044))</f>
        <v>-15.248976919450628</v>
      </c>
      <c r="P1044" s="5">
        <v>9.9327414959327385</v>
      </c>
      <c r="Q1044" s="5">
        <v>1.5579853521902534</v>
      </c>
      <c r="R1044" s="6">
        <f>P1044/Q1044</f>
        <v>6.3753754051468139</v>
      </c>
    </row>
    <row r="1045" spans="1:18" x14ac:dyDescent="0.35">
      <c r="A1045" s="9">
        <v>1045</v>
      </c>
      <c r="B1045" s="5">
        <v>0.75</v>
      </c>
      <c r="C1045" s="5">
        <v>6000000</v>
      </c>
      <c r="D1045" s="5">
        <v>5</v>
      </c>
      <c r="E1045" s="5">
        <v>0</v>
      </c>
      <c r="F1045" s="5">
        <v>0.1</v>
      </c>
      <c r="G1045" s="12">
        <f>(C1045*$U$4)/($U$5*$U$3)</f>
        <v>88.16326530612244</v>
      </c>
      <c r="H1045" s="11">
        <f>G1045*COS(RADIANS(D1045))</f>
        <v>87.827777464415107</v>
      </c>
      <c r="I1045" s="11">
        <f>G1045*SIN(RADIANS(D1045))</f>
        <v>7.6839348708139434</v>
      </c>
      <c r="J1045" s="11">
        <v>0.27929999999999999</v>
      </c>
      <c r="K1045" s="12">
        <v>0</v>
      </c>
      <c r="L1045" s="12">
        <f>-(F1045*G1045*$U$3)/J1045</f>
        <v>-31.565794953856944</v>
      </c>
      <c r="M1045" s="11">
        <f>ABS(L1045/$U$6)</f>
        <v>9.2028556716784088E-2</v>
      </c>
      <c r="N1045" s="12">
        <f>L1045*SIN(RADIANS(K1045))</f>
        <v>0</v>
      </c>
      <c r="O1045" s="12">
        <f>L1045*COS(RADIANS(K1045))</f>
        <v>-31.565794953856944</v>
      </c>
      <c r="P1045" s="5">
        <v>5.1622537748773123</v>
      </c>
      <c r="Q1045" s="5">
        <v>0.37288248792270084</v>
      </c>
      <c r="R1045" s="6">
        <f>P1045/Q1045</f>
        <v>13.844184004552812</v>
      </c>
    </row>
    <row r="1046" spans="1:18" x14ac:dyDescent="0.35">
      <c r="A1046" s="9">
        <v>923</v>
      </c>
      <c r="B1046" s="5">
        <v>0.25</v>
      </c>
      <c r="C1046" s="5">
        <v>6000000</v>
      </c>
      <c r="D1046" s="5">
        <v>30</v>
      </c>
      <c r="E1046" s="5">
        <v>0.125</v>
      </c>
      <c r="F1046" s="5">
        <v>0.1</v>
      </c>
      <c r="G1046" s="12">
        <f>(C1046*$U$4)/($U$5*$U$3)</f>
        <v>88.16326530612244</v>
      </c>
      <c r="H1046" s="11">
        <f>G1046*COS(RADIANS(D1046))</f>
        <v>76.351627435689281</v>
      </c>
      <c r="I1046" s="11">
        <f>G1046*SIN(RADIANS(D1046))</f>
        <v>44.081632653061213</v>
      </c>
      <c r="J1046" s="20">
        <v>0.19020000000000001</v>
      </c>
      <c r="K1046" s="19">
        <v>46</v>
      </c>
      <c r="L1046" s="12">
        <f>-(F1046*G1046*$U$3)/J1046</f>
        <v>-46.352926028455542</v>
      </c>
      <c r="M1046" s="11">
        <f>ABS(L1046/$U$6)</f>
        <v>0.13513972603048263</v>
      </c>
      <c r="N1046" s="12">
        <f>L1046*SIN(RADIANS(K1046))</f>
        <v>-33.343504554421472</v>
      </c>
      <c r="O1046" s="12">
        <f>L1046*COS(RADIANS(K1046))</f>
        <v>-32.199448060933364</v>
      </c>
      <c r="P1046" s="5">
        <v>2.7482728674169872</v>
      </c>
      <c r="Q1046" s="5">
        <v>0.99439544327902796</v>
      </c>
      <c r="R1046" s="6">
        <f>P1046/Q1046</f>
        <v>2.7637625312868819</v>
      </c>
    </row>
    <row r="1047" spans="1:18" x14ac:dyDescent="0.35">
      <c r="A1047" s="9">
        <v>1047</v>
      </c>
      <c r="B1047" s="5">
        <v>1</v>
      </c>
      <c r="C1047" s="5">
        <v>2000000</v>
      </c>
      <c r="D1047" s="5">
        <v>30</v>
      </c>
      <c r="E1047" s="5">
        <v>0.125</v>
      </c>
      <c r="F1047" s="5">
        <v>3.5000000000000003E-2</v>
      </c>
      <c r="G1047" s="12">
        <f>(C1047*$U$4)/($U$5*$U$3)</f>
        <v>29.387755102040813</v>
      </c>
      <c r="H1047" s="11">
        <f>G1047*COS(RADIANS(D1047))</f>
        <v>25.450542478563094</v>
      </c>
      <c r="I1047" s="11">
        <f>G1047*SIN(RADIANS(D1047))</f>
        <v>14.693877551020405</v>
      </c>
      <c r="J1047" s="11">
        <v>0.33379999999999999</v>
      </c>
      <c r="K1047" s="12">
        <v>14</v>
      </c>
      <c r="L1047" s="12">
        <f>-(F1047*G1047*$U$3)/J1047</f>
        <v>-3.0814003252589233</v>
      </c>
      <c r="M1047" s="11">
        <f>ABS(L1047/$U$6)</f>
        <v>8.983674417664499E-3</v>
      </c>
      <c r="N1047" s="12">
        <f>L1047*SIN(RADIANS(K1047))</f>
        <v>-0.74545820778807137</v>
      </c>
      <c r="O1047" s="12">
        <f>L1047*COS(RADIANS(K1047))</f>
        <v>-2.9898695665441988</v>
      </c>
      <c r="P1047" s="5">
        <v>3.8286556850742421</v>
      </c>
      <c r="Q1047" s="5">
        <v>1.2105837635336487</v>
      </c>
      <c r="R1047" s="6">
        <f>P1047/Q1047</f>
        <v>3.1626524329869907</v>
      </c>
    </row>
    <row r="1048" spans="1:18" x14ac:dyDescent="0.35">
      <c r="A1048" s="9">
        <v>1048</v>
      </c>
      <c r="B1048" s="5">
        <v>0.75</v>
      </c>
      <c r="C1048" s="5">
        <v>2000000</v>
      </c>
      <c r="D1048" s="5">
        <v>15</v>
      </c>
      <c r="E1048" s="5">
        <v>0.375</v>
      </c>
      <c r="F1048" s="5">
        <v>0.1</v>
      </c>
      <c r="G1048" s="12">
        <f>(C1048*$U$4)/($U$5*$U$3)</f>
        <v>29.387755102040813</v>
      </c>
      <c r="H1048" s="11">
        <f>G1048*COS(RADIANS(D1048))</f>
        <v>28.386391629719554</v>
      </c>
      <c r="I1048" s="11">
        <f>G1048*SIN(RADIANS(D1048))</f>
        <v>7.6061107132169354</v>
      </c>
      <c r="J1048" s="11">
        <v>0.29299999999999998</v>
      </c>
      <c r="K1048" s="12">
        <v>57</v>
      </c>
      <c r="L1048" s="12">
        <f>-(F1048*G1048*$U$3)/J1048</f>
        <v>-10.029950546771609</v>
      </c>
      <c r="M1048" s="11">
        <f>ABS(L1048/$U$6)</f>
        <v>2.92418383287802E-2</v>
      </c>
      <c r="N1048" s="12">
        <f>L1048*SIN(RADIANS(K1048))</f>
        <v>-8.4118243215254616</v>
      </c>
      <c r="O1048" s="12">
        <f>L1048*COS(RADIANS(K1048))</f>
        <v>-5.4627025870421324</v>
      </c>
      <c r="P1048" s="5">
        <v>5.5807655022195206</v>
      </c>
      <c r="Q1048" s="5">
        <v>0.30264348816294057</v>
      </c>
      <c r="R1048" s="6">
        <f>P1048/Q1048</f>
        <v>18.440064698219729</v>
      </c>
    </row>
    <row r="1049" spans="1:18" x14ac:dyDescent="0.35">
      <c r="A1049" s="9">
        <v>1049</v>
      </c>
      <c r="B1049" s="5">
        <v>0.25</v>
      </c>
      <c r="C1049" s="5">
        <v>2000000</v>
      </c>
      <c r="D1049" s="5">
        <v>30</v>
      </c>
      <c r="E1049" s="5">
        <v>0.125</v>
      </c>
      <c r="F1049" s="5">
        <v>0.05</v>
      </c>
      <c r="G1049" s="12">
        <f>(C1049*$U$4)/($U$5*$U$3)</f>
        <v>29.387755102040813</v>
      </c>
      <c r="H1049" s="11">
        <f>G1049*COS(RADIANS(D1049))</f>
        <v>25.450542478563094</v>
      </c>
      <c r="I1049" s="11">
        <f>G1049*SIN(RADIANS(D1049))</f>
        <v>14.693877551020405</v>
      </c>
      <c r="J1049" s="11">
        <v>0.19020000000000001</v>
      </c>
      <c r="K1049" s="12">
        <v>46</v>
      </c>
      <c r="L1049" s="12">
        <f>-(F1049*G1049*$U$3)/J1049</f>
        <v>-7.7254876714092564</v>
      </c>
      <c r="M1049" s="11">
        <f>ABS(L1049/$U$6)</f>
        <v>2.2523287671747102E-2</v>
      </c>
      <c r="N1049" s="12">
        <f>L1049*SIN(RADIANS(K1049))</f>
        <v>-5.5572507590702447</v>
      </c>
      <c r="O1049" s="12">
        <f>L1049*COS(RADIANS(K1049))</f>
        <v>-5.3665746768222276</v>
      </c>
      <c r="P1049" s="5">
        <v>2.3577301949848488</v>
      </c>
      <c r="Q1049" s="5">
        <v>0.94004680526123818</v>
      </c>
      <c r="R1049" s="6">
        <f>P1049/Q1049</f>
        <v>2.508098726349735</v>
      </c>
    </row>
    <row r="1050" spans="1:18" x14ac:dyDescent="0.35">
      <c r="A1050" s="9">
        <v>1050</v>
      </c>
      <c r="B1050" s="5">
        <v>0.1</v>
      </c>
      <c r="C1050" s="5">
        <v>6000000</v>
      </c>
      <c r="D1050" s="5">
        <v>30</v>
      </c>
      <c r="E1050" s="5">
        <v>0.125</v>
      </c>
      <c r="F1050" s="5">
        <v>2.5000000000000001E-2</v>
      </c>
      <c r="G1050" s="12">
        <f>(C1050*$U$4)/($U$5*$U$3)</f>
        <v>88.16326530612244</v>
      </c>
      <c r="H1050" s="11">
        <f>G1050*COS(RADIANS(D1050))</f>
        <v>76.351627435689281</v>
      </c>
      <c r="I1050" s="11">
        <f>G1050*SIN(RADIANS(D1050))</f>
        <v>44.081632653061213</v>
      </c>
      <c r="J1050" s="12">
        <v>0.1658</v>
      </c>
      <c r="K1050" s="12">
        <v>69</v>
      </c>
      <c r="L1050" s="12">
        <f>-(F1050*G1050*$U$3)/J1050</f>
        <v>-13.293616602250067</v>
      </c>
      <c r="M1050" s="11">
        <f>ABS(L1050/$U$6)</f>
        <v>3.8756899715014774E-2</v>
      </c>
      <c r="N1050" s="12">
        <f>L1050*SIN(RADIANS(K1050))</f>
        <v>-12.410660257218899</v>
      </c>
      <c r="O1050" s="12">
        <f>L1050*COS(RADIANS(K1050))</f>
        <v>-4.7640061237897191</v>
      </c>
      <c r="P1050" s="5">
        <v>1.0557507209680468</v>
      </c>
      <c r="Q1050" s="5">
        <v>0.88206245047535958</v>
      </c>
      <c r="R1050" s="6">
        <f>P1050/Q1050</f>
        <v>1.1969115343239964</v>
      </c>
    </row>
    <row r="1051" spans="1:18" x14ac:dyDescent="0.35">
      <c r="A1051" s="9">
        <v>1051</v>
      </c>
      <c r="B1051" s="5">
        <v>0.1</v>
      </c>
      <c r="C1051" s="5">
        <v>2000000</v>
      </c>
      <c r="D1051" s="5">
        <v>15</v>
      </c>
      <c r="E1051" s="5">
        <v>0.375</v>
      </c>
      <c r="F1051" s="5">
        <v>7.4999999999999997E-2</v>
      </c>
      <c r="G1051" s="12">
        <f>(C1051*$U$4)/($U$5*$U$3)</f>
        <v>29.387755102040813</v>
      </c>
      <c r="H1051" s="11">
        <f>G1051*COS(RADIANS(D1051))</f>
        <v>28.386391629719554</v>
      </c>
      <c r="I1051" s="11">
        <f>G1051*SIN(RADIANS(D1051))</f>
        <v>7.6061107132169354</v>
      </c>
      <c r="J1051" s="12">
        <v>0.16789999999999999</v>
      </c>
      <c r="K1051" s="11">
        <v>85</v>
      </c>
      <c r="L1051" s="12">
        <f>-(F1051*G1051*$U$3)/J1051</f>
        <v>-13.127347424973562</v>
      </c>
      <c r="M1051" s="11">
        <f>ABS(L1051/$U$6)</f>
        <v>3.8272149927036626E-2</v>
      </c>
      <c r="N1051" s="12">
        <f>L1051*SIN(RADIANS(K1051))</f>
        <v>-13.077393904766991</v>
      </c>
      <c r="O1051" s="12">
        <f>L1051*COS(RADIANS(K1051))</f>
        <v>-1.1441237151301282</v>
      </c>
      <c r="P1051" s="5">
        <v>1.9716335279600432</v>
      </c>
      <c r="Q1051" s="5">
        <v>0.70250501248633457</v>
      </c>
      <c r="R1051" s="6">
        <f>P1051/Q1051</f>
        <v>2.8065757438255949</v>
      </c>
    </row>
    <row r="1052" spans="1:18" x14ac:dyDescent="0.35">
      <c r="A1052" s="9">
        <v>1052</v>
      </c>
      <c r="B1052" s="5">
        <v>0.75</v>
      </c>
      <c r="C1052" s="5">
        <v>6000000</v>
      </c>
      <c r="D1052" s="5">
        <v>0</v>
      </c>
      <c r="E1052" s="5">
        <v>0</v>
      </c>
      <c r="F1052" s="5">
        <v>7.4999999999999997E-2</v>
      </c>
      <c r="G1052" s="12">
        <f>(C1052*$U$4)/($U$5*$U$3)</f>
        <v>88.16326530612244</v>
      </c>
      <c r="H1052" s="11">
        <f>G1052*COS(RADIANS(D1052))</f>
        <v>88.16326530612244</v>
      </c>
      <c r="I1052" s="11">
        <f>G1052*SIN(RADIANS(D1052))</f>
        <v>0</v>
      </c>
      <c r="J1052" s="11">
        <v>0.27929999999999999</v>
      </c>
      <c r="K1052" s="12">
        <v>0</v>
      </c>
      <c r="L1052" s="12">
        <f>-(F1052*G1052*$U$3)/J1052</f>
        <v>-23.674346215392706</v>
      </c>
      <c r="M1052" s="11">
        <f>ABS(L1052/$U$6)</f>
        <v>6.9021417537588059E-2</v>
      </c>
      <c r="N1052" s="12">
        <f>L1052*SIN(RADIANS(K1052))</f>
        <v>0</v>
      </c>
      <c r="O1052" s="12">
        <f>L1052*COS(RADIANS(K1052))</f>
        <v>-23.674346215392706</v>
      </c>
      <c r="P1052" s="5">
        <v>2.6893517631235384</v>
      </c>
      <c r="Q1052" s="5">
        <v>0.75239502943320613</v>
      </c>
      <c r="R1052" s="6">
        <f>P1052/Q1052</f>
        <v>3.5743879982161495</v>
      </c>
    </row>
    <row r="1053" spans="1:18" x14ac:dyDescent="0.35">
      <c r="A1053" s="9">
        <v>1053</v>
      </c>
      <c r="B1053" s="5">
        <v>0.25</v>
      </c>
      <c r="C1053" s="5">
        <v>6000000</v>
      </c>
      <c r="D1053" s="5">
        <v>10</v>
      </c>
      <c r="E1053" s="5">
        <v>0.25</v>
      </c>
      <c r="F1053" s="5">
        <v>3.5000000000000003E-2</v>
      </c>
      <c r="G1053" s="12">
        <f>(C1053*$U$4)/($U$5*$U$3)</f>
        <v>88.16326530612244</v>
      </c>
      <c r="H1053" s="11">
        <f>G1053*COS(RADIANS(D1053))</f>
        <v>86.823867204341596</v>
      </c>
      <c r="I1053" s="11">
        <f>G1053*SIN(RADIANS(D1053))</f>
        <v>15.309390357574264</v>
      </c>
      <c r="J1053" s="12">
        <v>0.1913</v>
      </c>
      <c r="K1053" s="11">
        <v>67</v>
      </c>
      <c r="L1053" s="12">
        <f>-(F1053*G1053*$U$3)/J1053</f>
        <v>-16.13023672615936</v>
      </c>
      <c r="M1053" s="11">
        <f>ABS(L1053/$U$6)</f>
        <v>4.702692923078531E-2</v>
      </c>
      <c r="N1053" s="12">
        <f>L1053*SIN(RADIANS(K1053))</f>
        <v>-14.847961193766494</v>
      </c>
      <c r="O1053" s="12">
        <f>L1053*COS(RADIANS(K1053))</f>
        <v>-6.3025855988113744</v>
      </c>
      <c r="P1053" s="5">
        <v>2.144945173058423</v>
      </c>
      <c r="Q1053" s="5">
        <v>0.39294253137928081</v>
      </c>
      <c r="R1053" s="6">
        <f>P1053/Q1053</f>
        <v>5.4586739835196223</v>
      </c>
    </row>
    <row r="1054" spans="1:18" x14ac:dyDescent="0.35">
      <c r="A1054" s="9">
        <v>1054</v>
      </c>
      <c r="B1054" s="5">
        <v>0.1</v>
      </c>
      <c r="C1054" s="5">
        <v>2000000</v>
      </c>
      <c r="D1054" s="5">
        <v>5</v>
      </c>
      <c r="E1054" s="5">
        <v>0</v>
      </c>
      <c r="F1054" s="5">
        <v>1.4999999999999999E-2</v>
      </c>
      <c r="G1054" s="12">
        <f>(C1054*$U$4)/($U$5*$U$3)</f>
        <v>29.387755102040813</v>
      </c>
      <c r="H1054" s="11">
        <f>G1054*COS(RADIANS(D1054))</f>
        <v>29.275925821471702</v>
      </c>
      <c r="I1054" s="11">
        <f>G1054*SIN(RADIANS(D1054))</f>
        <v>2.5613116236046478</v>
      </c>
      <c r="J1054" s="11">
        <v>0.16569999999999999</v>
      </c>
      <c r="K1054" s="12">
        <v>0</v>
      </c>
      <c r="L1054" s="12">
        <f>-(F1054*G1054*$U$3)/J1054</f>
        <v>-2.6603278607761753</v>
      </c>
      <c r="M1054" s="11">
        <f>ABS(L1054/$U$6)</f>
        <v>7.7560579031375372E-3</v>
      </c>
      <c r="N1054" s="12">
        <f>L1054*SIN(RADIANS(K1054))</f>
        <v>0</v>
      </c>
      <c r="O1054" s="12">
        <f>L1054*COS(RADIANS(K1054))</f>
        <v>-2.6603278607761753</v>
      </c>
      <c r="P1054" s="5">
        <v>1.1617127073310678</v>
      </c>
      <c r="Q1054" s="5">
        <v>0.3116186899431278</v>
      </c>
      <c r="R1054" s="6">
        <f>P1054/Q1054</f>
        <v>3.7279943239062043</v>
      </c>
    </row>
    <row r="1055" spans="1:18" x14ac:dyDescent="0.35">
      <c r="A1055" s="9">
        <v>1055</v>
      </c>
      <c r="B1055" s="5">
        <v>0.25</v>
      </c>
      <c r="C1055" s="5">
        <v>4000000</v>
      </c>
      <c r="D1055" s="5">
        <v>5</v>
      </c>
      <c r="E1055" s="5">
        <v>0.125</v>
      </c>
      <c r="F1055" s="5">
        <v>1.4999999999999999E-2</v>
      </c>
      <c r="G1055" s="12">
        <f>(C1055*$U$4)/($U$5*$U$3)</f>
        <v>58.775510204081627</v>
      </c>
      <c r="H1055" s="11">
        <f>G1055*COS(RADIANS(D1055))</f>
        <v>58.551851642943404</v>
      </c>
      <c r="I1055" s="11">
        <f>G1055*SIN(RADIANS(D1055))</f>
        <v>5.1226232472092956</v>
      </c>
      <c r="J1055" s="11">
        <v>0.19020000000000001</v>
      </c>
      <c r="K1055" s="12">
        <v>46</v>
      </c>
      <c r="L1055" s="12">
        <f>-(F1055*G1055*$U$3)/J1055</f>
        <v>-4.6352926028455537</v>
      </c>
      <c r="M1055" s="11">
        <f>ABS(L1055/$U$6)</f>
        <v>1.3513972603048261E-2</v>
      </c>
      <c r="N1055" s="12">
        <f>L1055*SIN(RADIANS(K1055))</f>
        <v>-3.3343504554421468</v>
      </c>
      <c r="O1055" s="12">
        <f>L1055*COS(RADIANS(K1055))</f>
        <v>-3.2199448060933364</v>
      </c>
      <c r="P1055" s="5">
        <v>2.1050503109163965</v>
      </c>
      <c r="Q1055" s="5">
        <v>0.34617668188784728</v>
      </c>
      <c r="R1055" s="6">
        <f>P1055/Q1055</f>
        <v>6.0808553003531909</v>
      </c>
    </row>
    <row r="1056" spans="1:18" x14ac:dyDescent="0.35">
      <c r="A1056" s="9">
        <v>1056</v>
      </c>
      <c r="B1056" s="5">
        <v>0.1</v>
      </c>
      <c r="C1056" s="5">
        <v>2000000</v>
      </c>
      <c r="D1056" s="5">
        <v>30</v>
      </c>
      <c r="E1056" s="5">
        <v>0</v>
      </c>
      <c r="F1056" s="5">
        <v>0.1</v>
      </c>
      <c r="G1056" s="12">
        <f>(C1056*$U$4)/($U$5*$U$3)</f>
        <v>29.387755102040813</v>
      </c>
      <c r="H1056" s="11">
        <f>G1056*COS(RADIANS(D1056))</f>
        <v>25.450542478563094</v>
      </c>
      <c r="I1056" s="11">
        <f>G1056*SIN(RADIANS(D1056))</f>
        <v>14.693877551020405</v>
      </c>
      <c r="J1056" s="11">
        <v>0.16569999999999999</v>
      </c>
      <c r="K1056" s="12">
        <v>0</v>
      </c>
      <c r="L1056" s="12">
        <f>-(F1056*G1056*$U$3)/J1056</f>
        <v>-17.735519071841168</v>
      </c>
      <c r="M1056" s="11">
        <f>ABS(L1056/$U$6)</f>
        <v>5.1707052687583577E-2</v>
      </c>
      <c r="N1056" s="12">
        <f>L1056*SIN(RADIANS(K1056))</f>
        <v>0</v>
      </c>
      <c r="O1056" s="12">
        <f>L1056*COS(RADIANS(K1056))</f>
        <v>-17.735519071841168</v>
      </c>
      <c r="P1056" s="5">
        <v>1.8921057682019908</v>
      </c>
      <c r="Q1056" s="5">
        <v>1.0760015361072663</v>
      </c>
      <c r="R1056" s="6">
        <f>P1056/Q1056</f>
        <v>1.7584600994597162</v>
      </c>
    </row>
    <row r="1057" spans="1:18" x14ac:dyDescent="0.35">
      <c r="A1057" s="9">
        <v>1057</v>
      </c>
      <c r="B1057" s="5">
        <v>0.5</v>
      </c>
      <c r="C1057" s="5">
        <v>2000000</v>
      </c>
      <c r="D1057" s="5">
        <v>0</v>
      </c>
      <c r="E1057" s="5">
        <v>0.125</v>
      </c>
      <c r="F1057" s="5">
        <v>0.1</v>
      </c>
      <c r="G1057" s="12">
        <f>(C1057*$U$4)/($U$5*$U$3)</f>
        <v>29.387755102040813</v>
      </c>
      <c r="H1057" s="11">
        <f>G1057*COS(RADIANS(D1057))</f>
        <v>29.387755102040813</v>
      </c>
      <c r="I1057" s="11">
        <f>G1057*SIN(RADIANS(D1057))</f>
        <v>0</v>
      </c>
      <c r="J1057" s="12">
        <v>0.23300000000000001</v>
      </c>
      <c r="K1057" s="11">
        <v>27</v>
      </c>
      <c r="L1057" s="12">
        <f>-(F1057*G1057*$U$3)/J1057</f>
        <v>-12.612770430060435</v>
      </c>
      <c r="M1057" s="11">
        <f>ABS(L1057/$U$6)</f>
        <v>3.6771925452071239E-2</v>
      </c>
      <c r="N1057" s="12">
        <f>L1057*SIN(RADIANS(K1057))</f>
        <v>-5.7260779506433144</v>
      </c>
      <c r="O1057" s="12">
        <f>L1057*COS(RADIANS(K1057))</f>
        <v>-11.238060741273975</v>
      </c>
      <c r="P1057" s="5">
        <v>4.0171398759389421</v>
      </c>
      <c r="Q1057" s="5">
        <v>-6.0471921924553765E-2</v>
      </c>
      <c r="R1057" s="6">
        <f>P1057/Q1057</f>
        <v>-66.429836328847344</v>
      </c>
    </row>
    <row r="1058" spans="1:18" x14ac:dyDescent="0.35">
      <c r="A1058" s="9">
        <v>1058</v>
      </c>
      <c r="B1058" s="5">
        <v>0.25</v>
      </c>
      <c r="C1058" s="5">
        <v>4000000</v>
      </c>
      <c r="D1058" s="5">
        <v>5</v>
      </c>
      <c r="E1058" s="5">
        <v>0.25</v>
      </c>
      <c r="F1058" s="5">
        <v>2.5000000000000001E-2</v>
      </c>
      <c r="G1058" s="12">
        <f>(C1058*$U$4)/($U$5*$U$3)</f>
        <v>58.775510204081627</v>
      </c>
      <c r="H1058" s="11">
        <f>G1058*COS(RADIANS(D1058))</f>
        <v>58.551851642943404</v>
      </c>
      <c r="I1058" s="11">
        <f>G1058*SIN(RADIANS(D1058))</f>
        <v>5.1226232472092956</v>
      </c>
      <c r="J1058" s="12">
        <v>0.1913</v>
      </c>
      <c r="K1058" s="11">
        <v>67</v>
      </c>
      <c r="L1058" s="12">
        <f>-(F1058*G1058*$U$3)/J1058</f>
        <v>-7.6810651076949332</v>
      </c>
      <c r="M1058" s="11">
        <f>ABS(L1058/$U$6)</f>
        <v>2.239377582418348E-2</v>
      </c>
      <c r="N1058" s="12">
        <f>L1058*SIN(RADIANS(K1058))</f>
        <v>-7.0704577113173777</v>
      </c>
      <c r="O1058" s="12">
        <f>L1058*COS(RADIANS(K1058))</f>
        <v>-3.0012312375292258</v>
      </c>
      <c r="P1058" s="5">
        <v>2.0636638281459079</v>
      </c>
      <c r="Q1058" s="5">
        <v>0.2704224024876965</v>
      </c>
      <c r="R1058" s="6">
        <f>P1058/Q1058</f>
        <v>7.631260609925981</v>
      </c>
    </row>
    <row r="1059" spans="1:18" x14ac:dyDescent="0.35">
      <c r="A1059" s="9">
        <v>1059</v>
      </c>
      <c r="B1059" s="5">
        <v>1</v>
      </c>
      <c r="C1059" s="5">
        <v>6000000</v>
      </c>
      <c r="D1059" s="5">
        <v>30</v>
      </c>
      <c r="E1059" s="5">
        <v>0.125</v>
      </c>
      <c r="F1059" s="5">
        <v>0</v>
      </c>
      <c r="G1059" s="12">
        <f>(C1059*$U$4)/($U$5*$U$3)</f>
        <v>88.16326530612244</v>
      </c>
      <c r="H1059" s="11">
        <f>G1059*COS(RADIANS(D1059))</f>
        <v>76.351627435689281</v>
      </c>
      <c r="I1059" s="11">
        <f>G1059*SIN(RADIANS(D1059))</f>
        <v>44.081632653061213</v>
      </c>
      <c r="J1059" s="11">
        <v>0.33379999999999999</v>
      </c>
      <c r="K1059" s="12">
        <v>14</v>
      </c>
      <c r="L1059" s="12">
        <f>-(F1059*G1059*$U$3)/J1059</f>
        <v>0</v>
      </c>
      <c r="M1059" s="11">
        <f>ABS(L1059/$U$6)</f>
        <v>0</v>
      </c>
      <c r="N1059" s="12">
        <f>L1059*SIN(RADIANS(K1059))</f>
        <v>0</v>
      </c>
      <c r="O1059" s="12">
        <f>L1059*COS(RADIANS(K1059))</f>
        <v>0</v>
      </c>
      <c r="P1059" s="5">
        <v>5.6397417327403039</v>
      </c>
      <c r="Q1059" s="5">
        <v>3.2009480555817471</v>
      </c>
      <c r="R1059" s="6">
        <f>P1059/Q1059</f>
        <v>1.7618972988036588</v>
      </c>
    </row>
    <row r="1060" spans="1:18" x14ac:dyDescent="0.35">
      <c r="A1060" s="9">
        <v>1060</v>
      </c>
      <c r="B1060" s="5">
        <v>0.5</v>
      </c>
      <c r="C1060" s="5">
        <v>6000000</v>
      </c>
      <c r="D1060" s="5">
        <v>0</v>
      </c>
      <c r="E1060" s="5">
        <v>0.375</v>
      </c>
      <c r="F1060" s="5">
        <v>1.4999999999999999E-2</v>
      </c>
      <c r="G1060" s="12">
        <f>(C1060*$U$4)/($U$5*$U$3)</f>
        <v>88.16326530612244</v>
      </c>
      <c r="H1060" s="11">
        <f>G1060*COS(RADIANS(D1060))</f>
        <v>88.16326530612244</v>
      </c>
      <c r="I1060" s="11">
        <f>G1060*SIN(RADIANS(D1060))</f>
        <v>0</v>
      </c>
      <c r="J1060" s="12">
        <v>0.24809999999999999</v>
      </c>
      <c r="K1060" s="12">
        <v>67</v>
      </c>
      <c r="L1060" s="12">
        <f>-(F1060*G1060*$U$3)/J1060</f>
        <v>-5.3303062458356978</v>
      </c>
      <c r="M1060" s="11">
        <f>ABS(L1060/$U$6)</f>
        <v>1.5540251445585124E-2</v>
      </c>
      <c r="N1060" s="12">
        <f>L1060*SIN(RADIANS(K1060))</f>
        <v>-4.9065727696796166</v>
      </c>
      <c r="O1060" s="12">
        <f>L1060*COS(RADIANS(K1060))</f>
        <v>-2.0827165746288063</v>
      </c>
      <c r="P1060" s="5">
        <v>2.9907491181374501</v>
      </c>
      <c r="Q1060" s="5">
        <v>-0.12632970107966615</v>
      </c>
      <c r="R1060" s="6">
        <f>P1060/Q1060</f>
        <v>-23.674156533081806</v>
      </c>
    </row>
    <row r="1061" spans="1:18" x14ac:dyDescent="0.35">
      <c r="A1061" s="9">
        <v>1061</v>
      </c>
      <c r="B1061" s="5">
        <v>0.75</v>
      </c>
      <c r="C1061" s="5">
        <v>6000000</v>
      </c>
      <c r="D1061" s="5">
        <v>10</v>
      </c>
      <c r="E1061" s="5">
        <v>0.125</v>
      </c>
      <c r="F1061" s="5">
        <v>3.5000000000000003E-2</v>
      </c>
      <c r="G1061" s="12">
        <f>(C1061*$U$4)/($U$5*$U$3)</f>
        <v>88.16326530612244</v>
      </c>
      <c r="H1061" s="11">
        <f>G1061*COS(RADIANS(D1061))</f>
        <v>86.823867204341596</v>
      </c>
      <c r="I1061" s="11">
        <f>G1061*SIN(RADIANS(D1061))</f>
        <v>15.309390357574264</v>
      </c>
      <c r="J1061" s="12">
        <v>0.2802</v>
      </c>
      <c r="K1061" s="12">
        <v>19</v>
      </c>
      <c r="L1061" s="12">
        <f>-(F1061*G1061*$U$3)/J1061</f>
        <v>-11.012542061792598</v>
      </c>
      <c r="M1061" s="11">
        <f>ABS(L1061/$U$6)</f>
        <v>3.2106536623302033E-2</v>
      </c>
      <c r="N1061" s="12">
        <f>L1061*SIN(RADIANS(K1061))</f>
        <v>-3.5853329949396273</v>
      </c>
      <c r="O1061" s="12">
        <f>L1061*COS(RADIANS(K1061))</f>
        <v>-10.412563083993701</v>
      </c>
      <c r="P1061" s="5">
        <v>2.8142991671171038</v>
      </c>
      <c r="Q1061" s="5">
        <v>0.9627907902366083</v>
      </c>
      <c r="R1061" s="6">
        <f>P1061/Q1061</f>
        <v>2.9230640712978597</v>
      </c>
    </row>
    <row r="1062" spans="1:18" x14ac:dyDescent="0.35">
      <c r="A1062" s="9">
        <v>1062</v>
      </c>
      <c r="B1062" s="5">
        <v>0.75</v>
      </c>
      <c r="C1062" s="5">
        <v>4000000</v>
      </c>
      <c r="D1062" s="5">
        <v>15</v>
      </c>
      <c r="E1062" s="5">
        <v>0.125</v>
      </c>
      <c r="F1062" s="5">
        <v>0.05</v>
      </c>
      <c r="G1062" s="12">
        <f>(C1062*$U$4)/($U$5*$U$3)</f>
        <v>58.775510204081627</v>
      </c>
      <c r="H1062" s="11">
        <f>G1062*COS(RADIANS(D1062))</f>
        <v>56.772783259439109</v>
      </c>
      <c r="I1062" s="11">
        <f>G1062*SIN(RADIANS(D1062))</f>
        <v>15.212221426433871</v>
      </c>
      <c r="J1062" s="12">
        <v>0.2802</v>
      </c>
      <c r="K1062" s="12">
        <v>19</v>
      </c>
      <c r="L1062" s="12">
        <f>-(F1062*G1062*$U$3)/J1062</f>
        <v>-10.488135296945329</v>
      </c>
      <c r="M1062" s="11">
        <f>ABS(L1062/$U$6)</f>
        <v>3.0577653926954312E-2</v>
      </c>
      <c r="N1062" s="12">
        <f>L1062*SIN(RADIANS(K1062))</f>
        <v>-3.414602852323454</v>
      </c>
      <c r="O1062" s="12">
        <f>L1062*COS(RADIANS(K1062))</f>
        <v>-9.9167267466606646</v>
      </c>
      <c r="P1062" s="5">
        <v>4.6211846759073252</v>
      </c>
      <c r="Q1062" s="5">
        <v>0.83592553694197191</v>
      </c>
      <c r="R1062" s="6">
        <f>P1062/Q1062</f>
        <v>5.5282252685003419</v>
      </c>
    </row>
    <row r="1063" spans="1:18" x14ac:dyDescent="0.35">
      <c r="A1063" s="9">
        <v>1063</v>
      </c>
      <c r="B1063" s="5">
        <v>0.25</v>
      </c>
      <c r="C1063" s="5">
        <v>6000000</v>
      </c>
      <c r="D1063" s="5">
        <v>10</v>
      </c>
      <c r="E1063" s="5">
        <v>0.25</v>
      </c>
      <c r="F1063" s="5">
        <v>0.05</v>
      </c>
      <c r="G1063" s="12">
        <f>(C1063*$U$4)/($U$5*$U$3)</f>
        <v>88.16326530612244</v>
      </c>
      <c r="H1063" s="11">
        <f>G1063*COS(RADIANS(D1063))</f>
        <v>86.823867204341596</v>
      </c>
      <c r="I1063" s="11">
        <f>G1063*SIN(RADIANS(D1063))</f>
        <v>15.309390357574264</v>
      </c>
      <c r="J1063" s="12">
        <v>0.1913</v>
      </c>
      <c r="K1063" s="11">
        <v>67</v>
      </c>
      <c r="L1063" s="12">
        <f>-(F1063*G1063*$U$3)/J1063</f>
        <v>-23.043195323084799</v>
      </c>
      <c r="M1063" s="11">
        <f>ABS(L1063/$U$6)</f>
        <v>6.7181327472550428E-2</v>
      </c>
      <c r="N1063" s="12">
        <f>L1063*SIN(RADIANS(K1063))</f>
        <v>-21.211373133952133</v>
      </c>
      <c r="O1063" s="12">
        <f>L1063*COS(RADIANS(K1063))</f>
        <v>-9.0036937125876779</v>
      </c>
      <c r="P1063" s="5">
        <v>2.134011025704909</v>
      </c>
      <c r="Q1063" s="5">
        <v>0.38541796595067496</v>
      </c>
      <c r="R1063" s="6">
        <f>P1063/Q1063</f>
        <v>5.5368748066560434</v>
      </c>
    </row>
    <row r="1064" spans="1:18" x14ac:dyDescent="0.35">
      <c r="A1064" s="9">
        <v>1064</v>
      </c>
      <c r="B1064" s="5">
        <v>1</v>
      </c>
      <c r="C1064" s="5">
        <v>6000000</v>
      </c>
      <c r="D1064" s="5">
        <v>10</v>
      </c>
      <c r="E1064" s="5">
        <v>0.125</v>
      </c>
      <c r="F1064" s="5">
        <v>1.4999999999999999E-2</v>
      </c>
      <c r="G1064" s="12">
        <f>(C1064*$U$4)/($U$5*$U$3)</f>
        <v>88.16326530612244</v>
      </c>
      <c r="H1064" s="11">
        <f>G1064*COS(RADIANS(D1064))</f>
        <v>86.823867204341596</v>
      </c>
      <c r="I1064" s="11">
        <f>G1064*SIN(RADIANS(D1064))</f>
        <v>15.309390357574264</v>
      </c>
      <c r="J1064" s="11">
        <v>0.33379999999999999</v>
      </c>
      <c r="K1064" s="12">
        <v>14</v>
      </c>
      <c r="L1064" s="12">
        <f>-(F1064*G1064*$U$3)/J1064</f>
        <v>-3.9618004181900441</v>
      </c>
      <c r="M1064" s="11">
        <f>ABS(L1064/$U$6)</f>
        <v>1.1550438536997214E-2</v>
      </c>
      <c r="N1064" s="12">
        <f>L1064*SIN(RADIANS(K1064))</f>
        <v>-0.95844626715609182</v>
      </c>
      <c r="O1064" s="12">
        <f>L1064*COS(RADIANS(K1064))</f>
        <v>-3.8441180141282554</v>
      </c>
      <c r="P1064" s="5">
        <v>1.9834753020381137</v>
      </c>
      <c r="Q1064" s="5">
        <v>1.7304539143871838</v>
      </c>
      <c r="R1064" s="6">
        <f>P1064/Q1064</f>
        <v>1.1462167732681479</v>
      </c>
    </row>
    <row r="1065" spans="1:18" x14ac:dyDescent="0.35">
      <c r="A1065" s="9">
        <v>1065</v>
      </c>
      <c r="B1065" s="5">
        <v>0.25</v>
      </c>
      <c r="C1065" s="5">
        <v>4000000</v>
      </c>
      <c r="D1065" s="5">
        <v>15</v>
      </c>
      <c r="E1065" s="5">
        <v>0</v>
      </c>
      <c r="F1065" s="5">
        <v>3.5000000000000003E-2</v>
      </c>
      <c r="G1065" s="12">
        <f>(C1065*$U$4)/($U$5*$U$3)</f>
        <v>58.775510204081627</v>
      </c>
      <c r="H1065" s="11">
        <f>G1065*COS(RADIANS(D1065))</f>
        <v>56.772783259439109</v>
      </c>
      <c r="I1065" s="11">
        <f>G1065*SIN(RADIANS(D1065))</f>
        <v>15.212221426433871</v>
      </c>
      <c r="J1065" s="12">
        <v>0.18990000000000001</v>
      </c>
      <c r="K1065" s="12">
        <v>0</v>
      </c>
      <c r="L1065" s="12">
        <f>-(F1065*G1065*$U$3)/J1065</f>
        <v>-10.832769126607987</v>
      </c>
      <c r="M1065" s="11">
        <f>ABS(L1065/$U$6)</f>
        <v>3.1582417278740491E-2</v>
      </c>
      <c r="N1065" s="12">
        <f>L1065*SIN(RADIANS(K1065))</f>
        <v>0</v>
      </c>
      <c r="O1065" s="12">
        <f>L1065*COS(RADIANS(K1065))</f>
        <v>-10.832769126607987</v>
      </c>
      <c r="P1065" s="5">
        <v>2.1654836573342595</v>
      </c>
      <c r="Q1065" s="5">
        <v>0.5395119909136783</v>
      </c>
      <c r="R1065" s="6">
        <f>P1065/Q1065</f>
        <v>4.0137822584201581</v>
      </c>
    </row>
    <row r="1066" spans="1:18" x14ac:dyDescent="0.35">
      <c r="A1066" s="9">
        <v>1066</v>
      </c>
      <c r="B1066" s="5">
        <v>0.1</v>
      </c>
      <c r="C1066" s="5">
        <v>2000000</v>
      </c>
      <c r="D1066" s="5">
        <v>5</v>
      </c>
      <c r="E1066" s="5">
        <v>0.125</v>
      </c>
      <c r="F1066" s="5">
        <v>2.5000000000000001E-2</v>
      </c>
      <c r="G1066" s="12">
        <f>(C1066*$U$4)/($U$5*$U$3)</f>
        <v>29.387755102040813</v>
      </c>
      <c r="H1066" s="11">
        <f>G1066*COS(RADIANS(D1066))</f>
        <v>29.275925821471702</v>
      </c>
      <c r="I1066" s="11">
        <f>G1066*SIN(RADIANS(D1066))</f>
        <v>2.5613116236046478</v>
      </c>
      <c r="J1066" s="12">
        <v>0.1658</v>
      </c>
      <c r="K1066" s="12">
        <v>69</v>
      </c>
      <c r="L1066" s="12">
        <f>-(F1066*G1066*$U$3)/J1066</f>
        <v>-4.4312055340833556</v>
      </c>
      <c r="M1066" s="11">
        <f>ABS(L1066/$U$6)</f>
        <v>1.2918966571671591E-2</v>
      </c>
      <c r="N1066" s="12">
        <f>L1066*SIN(RADIANS(K1066))</f>
        <v>-4.1368867524062995</v>
      </c>
      <c r="O1066" s="12">
        <f>L1066*COS(RADIANS(K1066))</f>
        <v>-1.5880020412632398</v>
      </c>
      <c r="P1066" s="5">
        <v>1.3408949803905676</v>
      </c>
      <c r="Q1066" s="5">
        <v>0.33326357298096976</v>
      </c>
      <c r="R1066" s="6">
        <f>P1066/Q1066</f>
        <v>4.0235269891532264</v>
      </c>
    </row>
    <row r="1067" spans="1:18" x14ac:dyDescent="0.35">
      <c r="A1067" s="9">
        <v>1067</v>
      </c>
      <c r="B1067" s="5">
        <v>0.1</v>
      </c>
      <c r="C1067" s="5">
        <v>2000000</v>
      </c>
      <c r="D1067" s="5">
        <v>20</v>
      </c>
      <c r="E1067" s="5">
        <v>0</v>
      </c>
      <c r="F1067" s="5">
        <v>7.4999999999999997E-2</v>
      </c>
      <c r="G1067" s="12">
        <f>(C1067*$U$4)/($U$5*$U$3)</f>
        <v>29.387755102040813</v>
      </c>
      <c r="H1067" s="11">
        <f>G1067*COS(RADIANS(D1067))</f>
        <v>27.615456610851183</v>
      </c>
      <c r="I1067" s="11">
        <f>G1067*SIN(RADIANS(D1067))</f>
        <v>10.051204212019652</v>
      </c>
      <c r="J1067" s="11">
        <v>0.16569999999999999</v>
      </c>
      <c r="K1067" s="12">
        <v>0</v>
      </c>
      <c r="L1067" s="12">
        <f>-(F1067*G1067*$U$3)/J1067</f>
        <v>-13.301639303880876</v>
      </c>
      <c r="M1067" s="11">
        <f>ABS(L1067/$U$6)</f>
        <v>3.8780289515687683E-2</v>
      </c>
      <c r="N1067" s="12">
        <f>L1067*SIN(RADIANS(K1067))</f>
        <v>0</v>
      </c>
      <c r="O1067" s="12">
        <f>L1067*COS(RADIANS(K1067))</f>
        <v>-13.301639303880876</v>
      </c>
      <c r="P1067" s="5">
        <v>1.6804484753186628</v>
      </c>
      <c r="Q1067" s="5">
        <v>0.6993221865628434</v>
      </c>
      <c r="R1067" s="6">
        <f>P1067/Q1067</f>
        <v>2.4029674842407593</v>
      </c>
    </row>
    <row r="1068" spans="1:18" x14ac:dyDescent="0.35">
      <c r="A1068" s="9">
        <v>1068</v>
      </c>
      <c r="B1068" s="5">
        <v>0.25</v>
      </c>
      <c r="C1068" s="5">
        <v>4000000</v>
      </c>
      <c r="D1068" s="5">
        <v>15</v>
      </c>
      <c r="E1068" s="5">
        <v>0.375</v>
      </c>
      <c r="F1068" s="5">
        <v>3.5000000000000003E-2</v>
      </c>
      <c r="G1068" s="12">
        <f>(C1068*$U$4)/($U$5*$U$3)</f>
        <v>58.775510204081627</v>
      </c>
      <c r="H1068" s="11">
        <f>G1068*COS(RADIANS(D1068))</f>
        <v>56.772783259439109</v>
      </c>
      <c r="I1068" s="11">
        <f>G1068*SIN(RADIANS(D1068))</f>
        <v>15.212221426433871</v>
      </c>
      <c r="J1068" s="11">
        <v>0.1976</v>
      </c>
      <c r="K1068" s="12">
        <v>78</v>
      </c>
      <c r="L1068" s="12">
        <f>-(F1068*G1068*$U$3)/J1068</f>
        <v>-10.410641989589356</v>
      </c>
      <c r="M1068" s="11">
        <f>ABS(L1068/$U$6)</f>
        <v>3.0351725917170135E-2</v>
      </c>
      <c r="N1068" s="12">
        <f>L1068*SIN(RADIANS(K1068))</f>
        <v>-10.183144484215441</v>
      </c>
      <c r="O1068" s="12">
        <f>L1068*COS(RADIANS(K1068))</f>
        <v>-2.1644941785538863</v>
      </c>
      <c r="P1068" s="5">
        <v>2.3506320227818862</v>
      </c>
      <c r="Q1068" s="5">
        <v>0.45365684518495519</v>
      </c>
      <c r="R1068" s="6">
        <f>P1068/Q1068</f>
        <v>5.1815200139293331</v>
      </c>
    </row>
    <row r="1069" spans="1:18" x14ac:dyDescent="0.35">
      <c r="A1069" s="9">
        <v>1069</v>
      </c>
      <c r="B1069" s="5">
        <v>0.75</v>
      </c>
      <c r="C1069" s="5">
        <v>4000000</v>
      </c>
      <c r="D1069" s="5">
        <v>30</v>
      </c>
      <c r="E1069" s="5">
        <v>0</v>
      </c>
      <c r="F1069" s="5">
        <v>3.5000000000000003E-2</v>
      </c>
      <c r="G1069" s="12">
        <f>(C1069*$U$4)/($U$5*$U$3)</f>
        <v>58.775510204081627</v>
      </c>
      <c r="H1069" s="11">
        <f>G1069*COS(RADIANS(D1069))</f>
        <v>50.901084957126187</v>
      </c>
      <c r="I1069" s="11">
        <f>G1069*SIN(RADIANS(D1069))</f>
        <v>29.38775510204081</v>
      </c>
      <c r="J1069" s="11">
        <v>0.27929999999999999</v>
      </c>
      <c r="K1069" s="12">
        <v>0</v>
      </c>
      <c r="L1069" s="12">
        <f>-(F1069*G1069*$U$3)/J1069</f>
        <v>-7.3653521558999531</v>
      </c>
      <c r="M1069" s="11">
        <f>ABS(L1069/$U$6)</f>
        <v>2.1473329900582955E-2</v>
      </c>
      <c r="N1069" s="12">
        <f>L1069*SIN(RADIANS(K1069))</f>
        <v>0</v>
      </c>
      <c r="O1069" s="12">
        <f>L1069*COS(RADIANS(K1069))</f>
        <v>-7.3653521558999531</v>
      </c>
      <c r="P1069" s="5">
        <v>3.8152677507910888</v>
      </c>
      <c r="Q1069" s="5">
        <v>1.5348163444366205</v>
      </c>
      <c r="R1069" s="6">
        <f>P1069/Q1069</f>
        <v>2.4858138660176605</v>
      </c>
    </row>
    <row r="1070" spans="1:18" x14ac:dyDescent="0.35">
      <c r="A1070" s="9">
        <v>1020</v>
      </c>
      <c r="B1070" s="5">
        <v>0.25</v>
      </c>
      <c r="C1070" s="5">
        <v>4000000</v>
      </c>
      <c r="D1070" s="5">
        <v>5</v>
      </c>
      <c r="E1070" s="5">
        <v>0.125</v>
      </c>
      <c r="F1070" s="5">
        <v>0.15</v>
      </c>
      <c r="G1070" s="12">
        <f>(C1070*$U$4)/($U$5*$U$3)</f>
        <v>58.775510204081627</v>
      </c>
      <c r="H1070" s="11">
        <f>G1070*COS(RADIANS(D1070))</f>
        <v>58.551851642943404</v>
      </c>
      <c r="I1070" s="11">
        <f>G1070*SIN(RADIANS(D1070))</f>
        <v>5.1226232472092956</v>
      </c>
      <c r="J1070" s="20">
        <v>0.19020000000000001</v>
      </c>
      <c r="K1070" s="19">
        <v>46</v>
      </c>
      <c r="L1070" s="12">
        <f>-(F1070*G1070*$U$3)/J1070</f>
        <v>-46.352926028455542</v>
      </c>
      <c r="M1070" s="11">
        <f>ABS(L1070/$U$6)</f>
        <v>0.13513972603048263</v>
      </c>
      <c r="N1070" s="12">
        <f>L1070*SIN(RADIANS(K1070))</f>
        <v>-33.343504554421472</v>
      </c>
      <c r="O1070" s="12">
        <f>L1070*COS(RADIANS(K1070))</f>
        <v>-32.199448060933364</v>
      </c>
      <c r="P1070" s="5">
        <v>2.6208581023697564</v>
      </c>
      <c r="Q1070" s="5">
        <v>0.19543374801934371</v>
      </c>
      <c r="R1070" s="6">
        <f>P1070/Q1070</f>
        <v>13.410468401344625</v>
      </c>
    </row>
    <row r="1071" spans="1:18" x14ac:dyDescent="0.35">
      <c r="A1071" s="9">
        <v>1501</v>
      </c>
      <c r="B1071" s="5">
        <v>0.25</v>
      </c>
      <c r="C1071" s="5">
        <v>6000000</v>
      </c>
      <c r="D1071" s="5">
        <v>5</v>
      </c>
      <c r="E1071" s="5">
        <v>0.125</v>
      </c>
      <c r="F1071" s="5">
        <v>0.1</v>
      </c>
      <c r="G1071" s="12">
        <f>(C1071*$U$4)/($U$5*$U$3)</f>
        <v>88.16326530612244</v>
      </c>
      <c r="H1071" s="11">
        <f>G1071*COS(RADIANS(D1071))</f>
        <v>87.827777464415107</v>
      </c>
      <c r="I1071" s="11">
        <f>G1071*SIN(RADIANS(D1071))</f>
        <v>7.6839348708139434</v>
      </c>
      <c r="J1071" s="20">
        <v>0.19020000000000001</v>
      </c>
      <c r="K1071" s="19">
        <v>46</v>
      </c>
      <c r="L1071" s="12">
        <f>-(F1071*G1071*$U$3)/J1071</f>
        <v>-46.352926028455542</v>
      </c>
      <c r="M1071" s="11">
        <f>ABS(L1071/$U$6)</f>
        <v>0.13513972603048263</v>
      </c>
      <c r="N1071" s="12">
        <f>L1071*SIN(RADIANS(K1071))</f>
        <v>-33.343504554421472</v>
      </c>
      <c r="O1071" s="12">
        <f>L1071*COS(RADIANS(K1071))</f>
        <v>-32.199448060933364</v>
      </c>
      <c r="P1071" s="5">
        <v>2.4416758316435172</v>
      </c>
      <c r="Q1071" s="5">
        <v>0.25153103392093529</v>
      </c>
      <c r="R1071" s="6">
        <f>P1071/Q1071</f>
        <v>9.7072547811774932</v>
      </c>
    </row>
    <row r="1072" spans="1:18" x14ac:dyDescent="0.35">
      <c r="A1072" s="9">
        <v>1072</v>
      </c>
      <c r="B1072" s="5">
        <v>1</v>
      </c>
      <c r="C1072" s="5">
        <v>2000000</v>
      </c>
      <c r="D1072" s="5">
        <v>15</v>
      </c>
      <c r="E1072" s="5">
        <v>0.125</v>
      </c>
      <c r="F1072" s="5">
        <v>0.1</v>
      </c>
      <c r="G1072" s="12">
        <f>(C1072*$U$4)/($U$5*$U$3)</f>
        <v>29.387755102040813</v>
      </c>
      <c r="H1072" s="11">
        <f>G1072*COS(RADIANS(D1072))</f>
        <v>28.386391629719554</v>
      </c>
      <c r="I1072" s="11">
        <f>G1072*SIN(RADIANS(D1072))</f>
        <v>7.6061107132169354</v>
      </c>
      <c r="J1072" s="11">
        <v>0.33379999999999999</v>
      </c>
      <c r="K1072" s="12">
        <v>14</v>
      </c>
      <c r="L1072" s="12">
        <f>-(F1072*G1072*$U$3)/J1072</f>
        <v>-8.8040009293112096</v>
      </c>
      <c r="M1072" s="11">
        <f>ABS(L1072/$U$6)</f>
        <v>2.566764119332714E-2</v>
      </c>
      <c r="N1072" s="12">
        <f>L1072*SIN(RADIANS(K1072))</f>
        <v>-2.1298805936802041</v>
      </c>
      <c r="O1072" s="12">
        <f>L1072*COS(RADIANS(K1072))</f>
        <v>-8.5424844758405687</v>
      </c>
      <c r="P1072" s="5">
        <v>3.0007807784158231</v>
      </c>
      <c r="Q1072" s="5">
        <v>0.94930234260998125</v>
      </c>
      <c r="R1072" s="6">
        <f>P1072/Q1072</f>
        <v>3.1610379999332703</v>
      </c>
    </row>
    <row r="1073" spans="1:18" x14ac:dyDescent="0.35">
      <c r="A1073" s="9">
        <v>1073</v>
      </c>
      <c r="B1073" s="5">
        <v>1</v>
      </c>
      <c r="C1073" s="5">
        <v>4000000</v>
      </c>
      <c r="D1073" s="5">
        <v>15</v>
      </c>
      <c r="E1073" s="5">
        <v>0.375</v>
      </c>
      <c r="F1073" s="5">
        <v>1.4999999999999999E-2</v>
      </c>
      <c r="G1073" s="12">
        <f>(C1073*$U$4)/($U$5*$U$3)</f>
        <v>58.775510204081627</v>
      </c>
      <c r="H1073" s="11">
        <f>G1073*COS(RADIANS(D1073))</f>
        <v>56.772783259439109</v>
      </c>
      <c r="I1073" s="11">
        <f>G1073*SIN(RADIANS(D1073))</f>
        <v>15.212221426433871</v>
      </c>
      <c r="J1073" s="12">
        <v>0.33379999999999999</v>
      </c>
      <c r="K1073" s="11">
        <v>49</v>
      </c>
      <c r="L1073" s="12">
        <f>-(F1073*G1073*$U$3)/J1073</f>
        <v>-2.6412002787933626</v>
      </c>
      <c r="M1073" s="11">
        <f>ABS(L1073/$U$6)</f>
        <v>7.7002923579981416E-3</v>
      </c>
      <c r="N1073" s="12">
        <f>L1073*SIN(RADIANS(K1073))</f>
        <v>-1.9933391536924072</v>
      </c>
      <c r="O1073" s="12">
        <f>L1073*COS(RADIANS(K1073))</f>
        <v>-1.7327832902746305</v>
      </c>
      <c r="P1073" s="5">
        <v>5.2357725181684511</v>
      </c>
      <c r="Q1073" s="5">
        <v>0.39544375393910974</v>
      </c>
      <c r="R1073" s="6">
        <f>P1073/Q1073</f>
        <v>13.240245840308944</v>
      </c>
    </row>
    <row r="1074" spans="1:18" x14ac:dyDescent="0.35">
      <c r="A1074" s="9">
        <v>1074</v>
      </c>
      <c r="B1074" s="5">
        <v>0.1</v>
      </c>
      <c r="C1074" s="5">
        <v>4000000</v>
      </c>
      <c r="D1074" s="5">
        <v>20</v>
      </c>
      <c r="E1074" s="5">
        <v>0</v>
      </c>
      <c r="F1074" s="5">
        <v>2.5000000000000001E-2</v>
      </c>
      <c r="G1074" s="12">
        <f>(C1074*$U$4)/($U$5*$U$3)</f>
        <v>58.775510204081627</v>
      </c>
      <c r="H1074" s="11">
        <f>G1074*COS(RADIANS(D1074))</f>
        <v>55.230913221702366</v>
      </c>
      <c r="I1074" s="11">
        <f>G1074*SIN(RADIANS(D1074))</f>
        <v>20.102408424039304</v>
      </c>
      <c r="J1074" s="11">
        <v>0.16569999999999999</v>
      </c>
      <c r="K1074" s="12">
        <v>0</v>
      </c>
      <c r="L1074" s="12">
        <f>-(F1074*G1074*$U$3)/J1074</f>
        <v>-8.8677595359205839</v>
      </c>
      <c r="M1074" s="11">
        <f>ABS(L1074/$U$6)</f>
        <v>2.5853526343791788E-2</v>
      </c>
      <c r="N1074" s="12">
        <f>L1074*SIN(RADIANS(K1074))</f>
        <v>0</v>
      </c>
      <c r="O1074" s="12">
        <f>L1074*COS(RADIANS(K1074))</f>
        <v>-8.8677595359205839</v>
      </c>
      <c r="P1074" s="5">
        <v>1.3024979989983161</v>
      </c>
      <c r="Q1074" s="5">
        <v>0.61631316441597661</v>
      </c>
      <c r="R1074" s="6">
        <f>P1074/Q1074</f>
        <v>2.1133704003103255</v>
      </c>
    </row>
    <row r="1075" spans="1:18" x14ac:dyDescent="0.35">
      <c r="A1075" s="9">
        <v>1075</v>
      </c>
      <c r="B1075" s="5">
        <v>1</v>
      </c>
      <c r="C1075" s="5">
        <v>2000000</v>
      </c>
      <c r="D1075" s="5">
        <v>30</v>
      </c>
      <c r="E1075" s="5">
        <v>0.125</v>
      </c>
      <c r="F1075" s="5">
        <v>1.4999999999999999E-2</v>
      </c>
      <c r="G1075" s="12">
        <f>(C1075*$U$4)/($U$5*$U$3)</f>
        <v>29.387755102040813</v>
      </c>
      <c r="H1075" s="11">
        <f>G1075*COS(RADIANS(D1075))</f>
        <v>25.450542478563094</v>
      </c>
      <c r="I1075" s="11">
        <f>G1075*SIN(RADIANS(D1075))</f>
        <v>14.693877551020405</v>
      </c>
      <c r="J1075" s="11">
        <v>0.33379999999999999</v>
      </c>
      <c r="K1075" s="12">
        <v>14</v>
      </c>
      <c r="L1075" s="12">
        <f>-(F1075*G1075*$U$3)/J1075</f>
        <v>-1.3206001393966813</v>
      </c>
      <c r="M1075" s="11">
        <f>ABS(L1075/$U$6)</f>
        <v>3.8501461789990708E-3</v>
      </c>
      <c r="N1075" s="12">
        <f>L1075*SIN(RADIANS(K1075))</f>
        <v>-0.31948208905203057</v>
      </c>
      <c r="O1075" s="12">
        <f>L1075*COS(RADIANS(K1075))</f>
        <v>-1.2813726713760851</v>
      </c>
      <c r="P1075" s="5">
        <v>1.3114094454005678</v>
      </c>
      <c r="Q1075" s="5">
        <v>1.8829041917072951</v>
      </c>
      <c r="R1075" s="6">
        <f>P1075/Q1075</f>
        <v>0.69648230174232451</v>
      </c>
    </row>
    <row r="1076" spans="1:18" x14ac:dyDescent="0.35">
      <c r="A1076" s="9">
        <v>1076</v>
      </c>
      <c r="B1076" s="5">
        <v>0.5</v>
      </c>
      <c r="C1076" s="5">
        <v>2000000</v>
      </c>
      <c r="D1076" s="5">
        <v>15</v>
      </c>
      <c r="E1076" s="5">
        <v>0</v>
      </c>
      <c r="F1076" s="5">
        <v>0.15</v>
      </c>
      <c r="G1076" s="12">
        <f>(C1076*$U$4)/($U$5*$U$3)</f>
        <v>29.387755102040813</v>
      </c>
      <c r="H1076" s="11">
        <f>G1076*COS(RADIANS(D1076))</f>
        <v>28.386391629719554</v>
      </c>
      <c r="I1076" s="11">
        <f>G1076*SIN(RADIANS(D1076))</f>
        <v>7.6061107132169354</v>
      </c>
      <c r="J1076" s="12">
        <v>0.23230000000000001</v>
      </c>
      <c r="K1076" s="12">
        <v>0</v>
      </c>
      <c r="L1076" s="12">
        <f>-(F1076*G1076*$U$3)/J1076</f>
        <v>-18.976165584615249</v>
      </c>
      <c r="M1076" s="11">
        <f>ABS(L1076/$U$6)</f>
        <v>5.532409791433017E-2</v>
      </c>
      <c r="N1076" s="12">
        <f>L1076*SIN(RADIANS(K1076))</f>
        <v>0</v>
      </c>
      <c r="O1076" s="12">
        <f>L1076*COS(RADIANS(K1076))</f>
        <v>-18.976165584615249</v>
      </c>
      <c r="P1076" s="5">
        <v>4.5928930290521608</v>
      </c>
      <c r="Q1076" s="5">
        <v>0.64650281131993892</v>
      </c>
      <c r="R1076" s="6">
        <f>P1076/Q1076</f>
        <v>7.1042119982046712</v>
      </c>
    </row>
    <row r="1077" spans="1:18" x14ac:dyDescent="0.35">
      <c r="A1077" s="9">
        <v>1077</v>
      </c>
      <c r="B1077" s="5">
        <v>0.1</v>
      </c>
      <c r="C1077" s="5">
        <v>4000000</v>
      </c>
      <c r="D1077" s="5">
        <v>0</v>
      </c>
      <c r="E1077" s="5">
        <v>0.25</v>
      </c>
      <c r="F1077" s="5">
        <v>2.5000000000000001E-2</v>
      </c>
      <c r="G1077" s="12">
        <f>(C1077*$U$4)/($U$5*$U$3)</f>
        <v>58.775510204081627</v>
      </c>
      <c r="H1077" s="11">
        <f>G1077*COS(RADIANS(D1077))</f>
        <v>58.775510204081627</v>
      </c>
      <c r="I1077" s="11">
        <f>G1077*SIN(RADIANS(D1077))</f>
        <v>0</v>
      </c>
      <c r="J1077" s="11">
        <v>0.1661</v>
      </c>
      <c r="K1077" s="12">
        <v>80</v>
      </c>
      <c r="L1077" s="12">
        <f>-(F1077*G1077*$U$3)/J1077</f>
        <v>-8.8464043052500951</v>
      </c>
      <c r="M1077" s="11">
        <f>ABS(L1077/$U$6)</f>
        <v>2.5791266196064418E-2</v>
      </c>
      <c r="N1077" s="12">
        <f>L1077*SIN(RADIANS(K1077))</f>
        <v>-8.7120075460908701</v>
      </c>
      <c r="O1077" s="12">
        <f>L1077*COS(RADIANS(K1077))</f>
        <v>-1.5361619865115665</v>
      </c>
      <c r="P1077" s="5">
        <v>1.3899142307130368</v>
      </c>
      <c r="Q1077" s="5">
        <v>0.23590091916686726</v>
      </c>
      <c r="R1077" s="6">
        <f>P1077/Q1077</f>
        <v>5.8919407165593309</v>
      </c>
    </row>
    <row r="1078" spans="1:18" x14ac:dyDescent="0.35">
      <c r="A1078" s="9">
        <v>1078</v>
      </c>
      <c r="B1078" s="5">
        <v>0.5</v>
      </c>
      <c r="C1078" s="5">
        <v>6000000</v>
      </c>
      <c r="D1078" s="5">
        <v>20</v>
      </c>
      <c r="E1078" s="5">
        <v>0.25</v>
      </c>
      <c r="F1078" s="5">
        <v>0</v>
      </c>
      <c r="G1078" s="12">
        <f>(C1078*$U$4)/($U$5*$U$3)</f>
        <v>88.16326530612244</v>
      </c>
      <c r="H1078" s="11">
        <f>G1078*COS(RADIANS(D1078))</f>
        <v>82.846369832553549</v>
      </c>
      <c r="I1078" s="11">
        <f>G1078*SIN(RADIANS(D1078))</f>
        <v>30.153612636058952</v>
      </c>
      <c r="J1078" s="11">
        <v>0.23580000000000001</v>
      </c>
      <c r="K1078" s="11">
        <v>49</v>
      </c>
      <c r="L1078" s="12">
        <f>-(F1078*G1078*$U$3)/J1078</f>
        <v>0</v>
      </c>
      <c r="M1078" s="11">
        <f>ABS(L1078/$U$6)</f>
        <v>0</v>
      </c>
      <c r="N1078" s="12">
        <f>L1078*SIN(RADIANS(K1078))</f>
        <v>0</v>
      </c>
      <c r="O1078" s="12">
        <f>L1078*COS(RADIANS(K1078))</f>
        <v>0</v>
      </c>
      <c r="P1078" s="5">
        <v>3.945852424147394</v>
      </c>
      <c r="Q1078" s="5">
        <v>1.3656478412474122</v>
      </c>
      <c r="R1078" s="6">
        <f>P1078/Q1078</f>
        <v>2.8893630590322372</v>
      </c>
    </row>
    <row r="1079" spans="1:18" x14ac:dyDescent="0.35">
      <c r="A1079" s="9">
        <v>1079</v>
      </c>
      <c r="B1079" s="5">
        <v>0.75</v>
      </c>
      <c r="C1079" s="5">
        <v>4000000</v>
      </c>
      <c r="D1079" s="5">
        <v>30</v>
      </c>
      <c r="E1079" s="5">
        <v>0.375</v>
      </c>
      <c r="F1079" s="5">
        <v>0.15</v>
      </c>
      <c r="G1079" s="12">
        <f>(C1079*$U$4)/($U$5*$U$3)</f>
        <v>58.775510204081627</v>
      </c>
      <c r="H1079" s="11">
        <f>G1079*COS(RADIANS(D1079))</f>
        <v>50.901084957126187</v>
      </c>
      <c r="I1079" s="11">
        <f>G1079*SIN(RADIANS(D1079))</f>
        <v>29.38775510204081</v>
      </c>
      <c r="J1079" s="11">
        <v>0.29299999999999998</v>
      </c>
      <c r="K1079" s="12">
        <v>57</v>
      </c>
      <c r="L1079" s="12">
        <f>-(F1079*G1079*$U$3)/J1079</f>
        <v>-30.089851640314826</v>
      </c>
      <c r="M1079" s="11">
        <f>ABS(L1079/$U$6)</f>
        <v>8.7725514986340597E-2</v>
      </c>
      <c r="N1079" s="12">
        <f>L1079*SIN(RADIANS(K1079))</f>
        <v>-25.235472964576385</v>
      </c>
      <c r="O1079" s="12">
        <f>L1079*COS(RADIANS(K1079))</f>
        <v>-16.388107761126395</v>
      </c>
      <c r="P1079" s="5">
        <v>6.8836248262065842</v>
      </c>
      <c r="Q1079" s="5">
        <v>1.503933915652482</v>
      </c>
      <c r="R1079" s="6">
        <f>P1079/Q1079</f>
        <v>4.577079321480773</v>
      </c>
    </row>
    <row r="1080" spans="1:18" x14ac:dyDescent="0.35">
      <c r="A1080" s="9">
        <v>1080</v>
      </c>
      <c r="B1080" s="5">
        <v>0.5</v>
      </c>
      <c r="C1080" s="5">
        <v>6000000</v>
      </c>
      <c r="D1080" s="5">
        <v>15</v>
      </c>
      <c r="E1080" s="5">
        <v>0.25</v>
      </c>
      <c r="F1080" s="5">
        <v>1.4999999999999999E-2</v>
      </c>
      <c r="G1080" s="12">
        <f>(C1080*$U$4)/($U$5*$U$3)</f>
        <v>88.16326530612244</v>
      </c>
      <c r="H1080" s="11">
        <f>G1080*COS(RADIANS(D1080))</f>
        <v>85.159174889158663</v>
      </c>
      <c r="I1080" s="11">
        <f>G1080*SIN(RADIANS(D1080))</f>
        <v>22.818332139650806</v>
      </c>
      <c r="J1080" s="11">
        <v>0.23580000000000001</v>
      </c>
      <c r="K1080" s="11">
        <v>49</v>
      </c>
      <c r="L1080" s="12">
        <f>-(F1080*G1080*$U$3)/J1080</f>
        <v>-5.608350210313132</v>
      </c>
      <c r="M1080" s="11">
        <f>ABS(L1080/$U$6)</f>
        <v>1.6350875248726332E-2</v>
      </c>
      <c r="N1080" s="12">
        <f>L1080*SIN(RADIANS(K1080))</f>
        <v>-4.2326756329677186</v>
      </c>
      <c r="O1080" s="12">
        <f>L1080*COS(RADIANS(K1080))</f>
        <v>-3.6794087932167407</v>
      </c>
      <c r="P1080" s="5">
        <v>3.6032130788975407</v>
      </c>
      <c r="Q1080" s="5">
        <v>0.66828240496933344</v>
      </c>
      <c r="R1080" s="6">
        <f>P1080/Q1080</f>
        <v>5.3917521276994975</v>
      </c>
    </row>
    <row r="1081" spans="1:18" x14ac:dyDescent="0.35">
      <c r="A1081" s="9">
        <v>1081</v>
      </c>
      <c r="B1081" s="5">
        <v>0.1</v>
      </c>
      <c r="C1081" s="5">
        <v>2000000</v>
      </c>
      <c r="D1081" s="5">
        <v>0</v>
      </c>
      <c r="E1081" s="5">
        <v>0.375</v>
      </c>
      <c r="F1081" s="5">
        <v>7.4999999999999997E-2</v>
      </c>
      <c r="G1081" s="12">
        <f>(C1081*$U$4)/($U$5*$U$3)</f>
        <v>29.387755102040813</v>
      </c>
      <c r="H1081" s="11">
        <f>G1081*COS(RADIANS(D1081))</f>
        <v>29.387755102040813</v>
      </c>
      <c r="I1081" s="11">
        <f>G1081*SIN(RADIANS(D1081))</f>
        <v>0</v>
      </c>
      <c r="J1081" s="12">
        <v>0.16789999999999999</v>
      </c>
      <c r="K1081" s="11">
        <v>85</v>
      </c>
      <c r="L1081" s="12">
        <f>-(F1081*G1081*$U$3)/J1081</f>
        <v>-13.127347424973562</v>
      </c>
      <c r="M1081" s="11">
        <f>ABS(L1081/$U$6)</f>
        <v>3.8272149927036626E-2</v>
      </c>
      <c r="N1081" s="12">
        <f>L1081*SIN(RADIANS(K1081))</f>
        <v>-13.077393904766991</v>
      </c>
      <c r="O1081" s="12">
        <f>L1081*COS(RADIANS(K1081))</f>
        <v>-1.1441237151301282</v>
      </c>
      <c r="P1081" s="5">
        <v>1.7335214607745881</v>
      </c>
      <c r="Q1081" s="5">
        <v>0.19097426531132769</v>
      </c>
      <c r="R1081" s="6">
        <f>P1081/Q1081</f>
        <v>9.0772516283730074</v>
      </c>
    </row>
    <row r="1082" spans="1:18" x14ac:dyDescent="0.35">
      <c r="A1082" s="9">
        <v>1082</v>
      </c>
      <c r="B1082" s="5">
        <v>0.1</v>
      </c>
      <c r="C1082" s="5">
        <v>2000000</v>
      </c>
      <c r="D1082" s="5">
        <v>30</v>
      </c>
      <c r="E1082" s="5">
        <v>0.125</v>
      </c>
      <c r="F1082" s="5">
        <v>0.1</v>
      </c>
      <c r="G1082" s="12">
        <f>(C1082*$U$4)/($U$5*$U$3)</f>
        <v>29.387755102040813</v>
      </c>
      <c r="H1082" s="11">
        <f>G1082*COS(RADIANS(D1082))</f>
        <v>25.450542478563094</v>
      </c>
      <c r="I1082" s="11">
        <f>G1082*SIN(RADIANS(D1082))</f>
        <v>14.693877551020405</v>
      </c>
      <c r="J1082" s="12">
        <v>0.1658</v>
      </c>
      <c r="K1082" s="12">
        <v>69</v>
      </c>
      <c r="L1082" s="12">
        <f>-(F1082*G1082*$U$3)/J1082</f>
        <v>-17.724822136333422</v>
      </c>
      <c r="M1082" s="11">
        <f>ABS(L1082/$U$6)</f>
        <v>5.1675866286686363E-2</v>
      </c>
      <c r="N1082" s="12">
        <f>L1082*SIN(RADIANS(K1082))</f>
        <v>-16.547547009625198</v>
      </c>
      <c r="O1082" s="12">
        <f>L1082*COS(RADIANS(K1082))</f>
        <v>-6.3520081650529594</v>
      </c>
      <c r="P1082" s="5">
        <v>1.4273232931352473</v>
      </c>
      <c r="Q1082" s="5">
        <v>1.0332737119313644</v>
      </c>
      <c r="R1082" s="6">
        <f>P1082/Q1082</f>
        <v>1.3813603081678496</v>
      </c>
    </row>
    <row r="1083" spans="1:18" x14ac:dyDescent="0.35">
      <c r="A1083" s="9">
        <v>1083</v>
      </c>
      <c r="B1083" s="5">
        <v>0.25</v>
      </c>
      <c r="C1083" s="5">
        <v>6000000</v>
      </c>
      <c r="D1083" s="5">
        <v>5</v>
      </c>
      <c r="E1083" s="5">
        <v>0.375</v>
      </c>
      <c r="F1083" s="5">
        <v>0</v>
      </c>
      <c r="G1083" s="12">
        <f>(C1083*$U$4)/($U$5*$U$3)</f>
        <v>88.16326530612244</v>
      </c>
      <c r="H1083" s="11">
        <f>G1083*COS(RADIANS(D1083))</f>
        <v>87.827777464415107</v>
      </c>
      <c r="I1083" s="11">
        <f>G1083*SIN(RADIANS(D1083))</f>
        <v>7.6839348708139434</v>
      </c>
      <c r="J1083" s="11">
        <v>0.1976</v>
      </c>
      <c r="K1083" s="12">
        <v>78</v>
      </c>
      <c r="L1083" s="12">
        <f>-(F1083*G1083*$U$3)/J1083</f>
        <v>0</v>
      </c>
      <c r="M1083" s="11">
        <f>ABS(L1083/$U$6)</f>
        <v>0</v>
      </c>
      <c r="N1083" s="12">
        <f>L1083*SIN(RADIANS(K1083))</f>
        <v>0</v>
      </c>
      <c r="O1083" s="12">
        <f>L1083*COS(RADIANS(K1083))</f>
        <v>0</v>
      </c>
      <c r="P1083" s="5">
        <v>2.776701244963327</v>
      </c>
      <c r="Q1083" s="5">
        <v>0.47427362967728559</v>
      </c>
      <c r="R1083" s="6">
        <f>P1083/Q1083</f>
        <v>5.8546397505859717</v>
      </c>
    </row>
    <row r="1084" spans="1:18" x14ac:dyDescent="0.35">
      <c r="A1084" s="9">
        <v>1084</v>
      </c>
      <c r="B1084" s="5">
        <v>0.5</v>
      </c>
      <c r="C1084" s="5">
        <v>2000000</v>
      </c>
      <c r="D1084" s="5">
        <v>0</v>
      </c>
      <c r="E1084" s="5">
        <v>0</v>
      </c>
      <c r="F1084" s="5">
        <v>0.1</v>
      </c>
      <c r="G1084" s="12">
        <f>(C1084*$U$4)/($U$5*$U$3)</f>
        <v>29.387755102040813</v>
      </c>
      <c r="H1084" s="11">
        <f>G1084*COS(RADIANS(D1084))</f>
        <v>29.387755102040813</v>
      </c>
      <c r="I1084" s="11">
        <f>G1084*SIN(RADIANS(D1084))</f>
        <v>0</v>
      </c>
      <c r="J1084" s="12">
        <v>0.23230000000000001</v>
      </c>
      <c r="K1084" s="12">
        <v>0</v>
      </c>
      <c r="L1084" s="12">
        <f>-(F1084*G1084*$U$3)/J1084</f>
        <v>-12.650777056410165</v>
      </c>
      <c r="M1084" s="11">
        <f>ABS(L1084/$U$6)</f>
        <v>3.6882731942886778E-2</v>
      </c>
      <c r="N1084" s="12">
        <f>L1084*SIN(RADIANS(K1084))</f>
        <v>0</v>
      </c>
      <c r="O1084" s="12">
        <f>L1084*COS(RADIANS(K1084))</f>
        <v>-12.650777056410165</v>
      </c>
      <c r="P1084" s="5">
        <v>4.560165304052159</v>
      </c>
      <c r="Q1084" s="5">
        <v>3.4095703319780464E-2</v>
      </c>
      <c r="R1084" s="6">
        <f>P1084/Q1084</f>
        <v>133.74604011780571</v>
      </c>
    </row>
    <row r="1085" spans="1:18" x14ac:dyDescent="0.35">
      <c r="A1085" s="9">
        <v>1085</v>
      </c>
      <c r="B1085" s="5">
        <v>0.75</v>
      </c>
      <c r="C1085" s="5">
        <v>6000000</v>
      </c>
      <c r="D1085" s="5">
        <v>10</v>
      </c>
      <c r="E1085" s="5">
        <v>0.25</v>
      </c>
      <c r="F1085" s="5">
        <v>0.1</v>
      </c>
      <c r="G1085" s="12">
        <f>(C1085*$U$4)/($U$5*$U$3)</f>
        <v>88.16326530612244</v>
      </c>
      <c r="H1085" s="11">
        <f>G1085*COS(RADIANS(D1085))</f>
        <v>86.823867204341596</v>
      </c>
      <c r="I1085" s="11">
        <f>G1085*SIN(RADIANS(D1085))</f>
        <v>15.309390357574264</v>
      </c>
      <c r="J1085" s="12">
        <v>0.28370000000000001</v>
      </c>
      <c r="K1085" s="11">
        <v>38</v>
      </c>
      <c r="L1085" s="12">
        <f>-(F1085*G1085*$U$3)/J1085</f>
        <v>-31.076230280621232</v>
      </c>
      <c r="M1085" s="11">
        <f>ABS(L1085/$U$6)</f>
        <v>9.0601254462452568E-2</v>
      </c>
      <c r="N1085" s="12">
        <f>L1085*SIN(RADIANS(K1085))</f>
        <v>-19.132437782127163</v>
      </c>
      <c r="O1085" s="12">
        <f>L1085*COS(RADIANS(K1085))</f>
        <v>-24.488403642688368</v>
      </c>
      <c r="P1085" s="5">
        <v>4.5965198518455352</v>
      </c>
      <c r="Q1085" s="5">
        <v>0.15369892542965963</v>
      </c>
      <c r="R1085" s="6">
        <f>P1085/Q1085</f>
        <v>29.905998620329552</v>
      </c>
    </row>
    <row r="1086" spans="1:18" x14ac:dyDescent="0.35">
      <c r="A1086" s="9">
        <v>1086</v>
      </c>
      <c r="B1086" s="5">
        <v>0.1</v>
      </c>
      <c r="C1086" s="5">
        <v>6000000</v>
      </c>
      <c r="D1086" s="5">
        <v>20</v>
      </c>
      <c r="E1086" s="5">
        <v>0.125</v>
      </c>
      <c r="F1086" s="5">
        <v>2.5000000000000001E-2</v>
      </c>
      <c r="G1086" s="12">
        <f>(C1086*$U$4)/($U$5*$U$3)</f>
        <v>88.16326530612244</v>
      </c>
      <c r="H1086" s="11">
        <f>G1086*COS(RADIANS(D1086))</f>
        <v>82.846369832553549</v>
      </c>
      <c r="I1086" s="11">
        <f>G1086*SIN(RADIANS(D1086))</f>
        <v>30.153612636058952</v>
      </c>
      <c r="J1086" s="12">
        <v>0.1658</v>
      </c>
      <c r="K1086" s="12">
        <v>69</v>
      </c>
      <c r="L1086" s="12">
        <f>-(F1086*G1086*$U$3)/J1086</f>
        <v>-13.293616602250067</v>
      </c>
      <c r="M1086" s="11">
        <f>ABS(L1086/$U$6)</f>
        <v>3.8756899715014774E-2</v>
      </c>
      <c r="N1086" s="12">
        <f>L1086*SIN(RADIANS(K1086))</f>
        <v>-12.410660257218899</v>
      </c>
      <c r="O1086" s="12">
        <f>L1086*COS(RADIANS(K1086))</f>
        <v>-4.7640061237897191</v>
      </c>
      <c r="P1086" s="5">
        <v>1.3200245011219389</v>
      </c>
      <c r="Q1086" s="5">
        <v>0.68975916554303973</v>
      </c>
      <c r="R1086" s="6">
        <f>P1086/Q1086</f>
        <v>1.9137469526522324</v>
      </c>
    </row>
    <row r="1087" spans="1:18" x14ac:dyDescent="0.35">
      <c r="A1087" s="9">
        <v>1087</v>
      </c>
      <c r="B1087" s="5">
        <v>0.5</v>
      </c>
      <c r="C1087" s="5">
        <v>4000000</v>
      </c>
      <c r="D1087" s="5">
        <v>20</v>
      </c>
      <c r="E1087" s="5">
        <v>0.375</v>
      </c>
      <c r="F1087" s="5">
        <v>0.05</v>
      </c>
      <c r="G1087" s="12">
        <f>(C1087*$U$4)/($U$5*$U$3)</f>
        <v>58.775510204081627</v>
      </c>
      <c r="H1087" s="11">
        <f>G1087*COS(RADIANS(D1087))</f>
        <v>55.230913221702366</v>
      </c>
      <c r="I1087" s="11">
        <f>G1087*SIN(RADIANS(D1087))</f>
        <v>20.102408424039304</v>
      </c>
      <c r="J1087" s="12">
        <v>0.24809999999999999</v>
      </c>
      <c r="K1087" s="12">
        <v>67</v>
      </c>
      <c r="L1087" s="12">
        <f>-(F1087*G1087*$U$3)/J1087</f>
        <v>-11.845124990745996</v>
      </c>
      <c r="M1087" s="11">
        <f>ABS(L1087/$U$6)</f>
        <v>3.4533892101300277E-2</v>
      </c>
      <c r="N1087" s="12">
        <f>L1087*SIN(RADIANS(K1087))</f>
        <v>-10.903495043732482</v>
      </c>
      <c r="O1087" s="12">
        <f>L1087*COS(RADIANS(K1087))</f>
        <v>-4.6282590547306803</v>
      </c>
      <c r="P1087" s="5">
        <v>3.6909789647860398</v>
      </c>
      <c r="Q1087" s="5">
        <v>0.65468627999108042</v>
      </c>
      <c r="R1087" s="6">
        <f>P1087/Q1087</f>
        <v>5.6377826717803323</v>
      </c>
    </row>
    <row r="1088" spans="1:18" x14ac:dyDescent="0.35">
      <c r="A1088" s="9">
        <v>1088</v>
      </c>
      <c r="B1088" s="5">
        <v>0.5</v>
      </c>
      <c r="C1088" s="5">
        <v>4000000</v>
      </c>
      <c r="D1088" s="5">
        <v>0</v>
      </c>
      <c r="E1088" s="5">
        <v>0</v>
      </c>
      <c r="F1088" s="5">
        <v>7.4999999999999997E-2</v>
      </c>
      <c r="G1088" s="12">
        <f>(C1088*$U$4)/($U$5*$U$3)</f>
        <v>58.775510204081627</v>
      </c>
      <c r="H1088" s="11">
        <f>G1088*COS(RADIANS(D1088))</f>
        <v>58.775510204081627</v>
      </c>
      <c r="I1088" s="11">
        <f>G1088*SIN(RADIANS(D1088))</f>
        <v>0</v>
      </c>
      <c r="J1088" s="12">
        <v>0.23230000000000001</v>
      </c>
      <c r="K1088" s="12">
        <v>0</v>
      </c>
      <c r="L1088" s="12">
        <f>-(F1088*G1088*$U$3)/J1088</f>
        <v>-18.976165584615249</v>
      </c>
      <c r="M1088" s="11">
        <f>ABS(L1088/$U$6)</f>
        <v>5.532409791433017E-2</v>
      </c>
      <c r="N1088" s="12">
        <f>L1088*SIN(RADIANS(K1088))</f>
        <v>0</v>
      </c>
      <c r="O1088" s="12">
        <f>L1088*COS(RADIANS(K1088))</f>
        <v>-18.976165584615249</v>
      </c>
      <c r="P1088" s="5">
        <v>4.7540900550383309</v>
      </c>
      <c r="Q1088" s="5">
        <v>9.2740516582365679E-2</v>
      </c>
      <c r="R1088" s="6">
        <f>P1088/Q1088</f>
        <v>51.262277052512196</v>
      </c>
    </row>
    <row r="1089" spans="1:18" x14ac:dyDescent="0.35">
      <c r="A1089" s="9">
        <v>1089</v>
      </c>
      <c r="B1089" s="5">
        <v>0.75</v>
      </c>
      <c r="C1089" s="5">
        <v>4000000</v>
      </c>
      <c r="D1089" s="5">
        <v>30</v>
      </c>
      <c r="E1089" s="5">
        <v>0.125</v>
      </c>
      <c r="F1089" s="5">
        <v>0</v>
      </c>
      <c r="G1089" s="12">
        <f>(C1089*$U$4)/($U$5*$U$3)</f>
        <v>58.775510204081627</v>
      </c>
      <c r="H1089" s="11">
        <f>G1089*COS(RADIANS(D1089))</f>
        <v>50.901084957126187</v>
      </c>
      <c r="I1089" s="11">
        <f>G1089*SIN(RADIANS(D1089))</f>
        <v>29.38775510204081</v>
      </c>
      <c r="J1089" s="12">
        <v>0.2802</v>
      </c>
      <c r="K1089" s="12">
        <v>19</v>
      </c>
      <c r="L1089" s="12">
        <f>-(F1089*G1089*$U$3)/J1089</f>
        <v>0</v>
      </c>
      <c r="M1089" s="11">
        <f>ABS(L1089/$U$6)</f>
        <v>0</v>
      </c>
      <c r="N1089" s="12">
        <f>L1089*SIN(RADIANS(K1089))</f>
        <v>0</v>
      </c>
      <c r="O1089" s="12">
        <f>L1089*COS(RADIANS(K1089))</f>
        <v>0</v>
      </c>
      <c r="P1089" s="5">
        <v>4.4373351901502174</v>
      </c>
      <c r="Q1089" s="5">
        <v>2.4272574282830854</v>
      </c>
      <c r="R1089" s="6">
        <f>P1089/Q1089</f>
        <v>1.8281271440124731</v>
      </c>
    </row>
    <row r="1090" spans="1:18" x14ac:dyDescent="0.35">
      <c r="A1090" s="9">
        <v>1550</v>
      </c>
      <c r="B1090" s="5">
        <v>0.25</v>
      </c>
      <c r="C1090" s="5">
        <v>6000000</v>
      </c>
      <c r="D1090" s="5">
        <v>10</v>
      </c>
      <c r="E1090" s="5">
        <v>0.125</v>
      </c>
      <c r="F1090" s="5">
        <v>0.1</v>
      </c>
      <c r="G1090" s="12">
        <f>(C1090*$U$4)/($U$5*$U$3)</f>
        <v>88.16326530612244</v>
      </c>
      <c r="H1090" s="11">
        <f>G1090*COS(RADIANS(D1090))</f>
        <v>86.823867204341596</v>
      </c>
      <c r="I1090" s="11">
        <f>G1090*SIN(RADIANS(D1090))</f>
        <v>15.309390357574264</v>
      </c>
      <c r="J1090" s="11">
        <v>0.19020000000000001</v>
      </c>
      <c r="K1090" s="12">
        <v>46</v>
      </c>
      <c r="L1090" s="12">
        <f>-(F1090*G1090*$U$3)/J1090</f>
        <v>-46.352926028455542</v>
      </c>
      <c r="M1090" s="11">
        <f>ABS(L1090/$U$6)</f>
        <v>0.13513972603048263</v>
      </c>
      <c r="N1090" s="12">
        <f>L1090*SIN(RADIANS(K1090))</f>
        <v>-33.343504554421472</v>
      </c>
      <c r="O1090" s="12">
        <f>L1090*COS(RADIANS(K1090))</f>
        <v>-32.199448060933364</v>
      </c>
      <c r="P1090" s="5">
        <v>2.5144873722268177</v>
      </c>
      <c r="Q1090" s="5">
        <v>0.39625061009512674</v>
      </c>
      <c r="R1090" s="6">
        <f>P1090/Q1090</f>
        <v>6.345699686426153</v>
      </c>
    </row>
    <row r="1091" spans="1:18" x14ac:dyDescent="0.35">
      <c r="A1091" s="9">
        <v>1091</v>
      </c>
      <c r="B1091" s="5">
        <v>0.75</v>
      </c>
      <c r="C1091" s="5">
        <v>4000000</v>
      </c>
      <c r="D1091" s="5">
        <v>10</v>
      </c>
      <c r="E1091" s="5">
        <v>0.125</v>
      </c>
      <c r="F1091" s="5">
        <v>3.5000000000000003E-2</v>
      </c>
      <c r="G1091" s="12">
        <f>(C1091*$U$4)/($U$5*$U$3)</f>
        <v>58.775510204081627</v>
      </c>
      <c r="H1091" s="11">
        <f>G1091*COS(RADIANS(D1091))</f>
        <v>57.882578136227728</v>
      </c>
      <c r="I1091" s="11">
        <f>G1091*SIN(RADIANS(D1091))</f>
        <v>10.206260238382843</v>
      </c>
      <c r="J1091" s="12">
        <v>0.2802</v>
      </c>
      <c r="K1091" s="12">
        <v>19</v>
      </c>
      <c r="L1091" s="12">
        <f>-(F1091*G1091*$U$3)/J1091</f>
        <v>-7.3416947078617305</v>
      </c>
      <c r="M1091" s="11">
        <f>ABS(L1091/$U$6)</f>
        <v>2.1404357748868019E-2</v>
      </c>
      <c r="N1091" s="12">
        <f>L1091*SIN(RADIANS(K1091))</f>
        <v>-2.3902219966264178</v>
      </c>
      <c r="O1091" s="12">
        <f>L1091*COS(RADIANS(K1091))</f>
        <v>-6.9417087226624661</v>
      </c>
      <c r="P1091" s="5">
        <v>2.4584731741333887</v>
      </c>
      <c r="Q1091" s="5">
        <v>0.97847510942524996</v>
      </c>
      <c r="R1091" s="6">
        <f>P1091/Q1091</f>
        <v>2.5125556597729708</v>
      </c>
    </row>
    <row r="1092" spans="1:18" x14ac:dyDescent="0.35">
      <c r="A1092" s="9">
        <v>1092</v>
      </c>
      <c r="B1092" s="5">
        <v>0.1</v>
      </c>
      <c r="C1092" s="5">
        <v>4000000</v>
      </c>
      <c r="D1092" s="5">
        <v>10</v>
      </c>
      <c r="E1092" s="5">
        <v>0</v>
      </c>
      <c r="F1092" s="5">
        <v>0.05</v>
      </c>
      <c r="G1092" s="12">
        <f>(C1092*$U$4)/($U$5*$U$3)</f>
        <v>58.775510204081627</v>
      </c>
      <c r="H1092" s="11">
        <f>G1092*COS(RADIANS(D1092))</f>
        <v>57.882578136227728</v>
      </c>
      <c r="I1092" s="11">
        <f>G1092*SIN(RADIANS(D1092))</f>
        <v>10.206260238382843</v>
      </c>
      <c r="J1092" s="11">
        <v>0.16569999999999999</v>
      </c>
      <c r="K1092" s="12">
        <v>0</v>
      </c>
      <c r="L1092" s="12">
        <f>-(F1092*G1092*$U$3)/J1092</f>
        <v>-17.735519071841168</v>
      </c>
      <c r="M1092" s="11">
        <f>ABS(L1092/$U$6)</f>
        <v>5.1707052687583577E-2</v>
      </c>
      <c r="N1092" s="12">
        <f>L1092*SIN(RADIANS(K1092))</f>
        <v>0</v>
      </c>
      <c r="O1092" s="12">
        <f>L1092*COS(RADIANS(K1092))</f>
        <v>-17.735519071841168</v>
      </c>
      <c r="P1092" s="5">
        <v>1.4336982498216326</v>
      </c>
      <c r="Q1092" s="5">
        <v>0.42066931477052888</v>
      </c>
      <c r="R1092" s="6">
        <f>P1092/Q1092</f>
        <v>3.4081360334154667</v>
      </c>
    </row>
    <row r="1093" spans="1:18" x14ac:dyDescent="0.35">
      <c r="A1093" s="9">
        <v>1093</v>
      </c>
      <c r="B1093" s="5">
        <v>0.25</v>
      </c>
      <c r="C1093" s="5">
        <v>4000000</v>
      </c>
      <c r="D1093" s="5">
        <v>10</v>
      </c>
      <c r="E1093" s="5">
        <v>0</v>
      </c>
      <c r="F1093" s="5">
        <v>1.4999999999999999E-2</v>
      </c>
      <c r="G1093" s="12">
        <f>(C1093*$U$4)/($U$5*$U$3)</f>
        <v>58.775510204081627</v>
      </c>
      <c r="H1093" s="11">
        <f>G1093*COS(RADIANS(D1093))</f>
        <v>57.882578136227728</v>
      </c>
      <c r="I1093" s="11">
        <f>G1093*SIN(RADIANS(D1093))</f>
        <v>10.206260238382843</v>
      </c>
      <c r="J1093" s="12">
        <v>0.18990000000000001</v>
      </c>
      <c r="K1093" s="12">
        <v>0</v>
      </c>
      <c r="L1093" s="12">
        <f>-(F1093*G1093*$U$3)/J1093</f>
        <v>-4.642615339974852</v>
      </c>
      <c r="M1093" s="11">
        <f>ABS(L1093/$U$6)</f>
        <v>1.3535321690888781E-2</v>
      </c>
      <c r="N1093" s="12">
        <f>L1093*SIN(RADIANS(K1093))</f>
        <v>0</v>
      </c>
      <c r="O1093" s="12">
        <f>L1093*COS(RADIANS(K1093))</f>
        <v>-4.642615339974852</v>
      </c>
      <c r="P1093" s="5">
        <v>2.046660229871585</v>
      </c>
      <c r="Q1093" s="5">
        <v>0.45034532763523927</v>
      </c>
      <c r="R1093" s="6">
        <f>P1093/Q1093</f>
        <v>4.5446463064657205</v>
      </c>
    </row>
    <row r="1094" spans="1:18" x14ac:dyDescent="0.35">
      <c r="A1094" s="9">
        <v>1094</v>
      </c>
      <c r="B1094" s="5">
        <v>0.1</v>
      </c>
      <c r="C1094" s="5">
        <v>4000000</v>
      </c>
      <c r="D1094" s="5">
        <v>15</v>
      </c>
      <c r="E1094" s="5">
        <v>0.25</v>
      </c>
      <c r="F1094" s="5">
        <v>2.5000000000000001E-2</v>
      </c>
      <c r="G1094" s="12">
        <f>(C1094*$U$4)/($U$5*$U$3)</f>
        <v>58.775510204081627</v>
      </c>
      <c r="H1094" s="11">
        <f>G1094*COS(RADIANS(D1094))</f>
        <v>56.772783259439109</v>
      </c>
      <c r="I1094" s="11">
        <f>G1094*SIN(RADIANS(D1094))</f>
        <v>15.212221426433871</v>
      </c>
      <c r="J1094" s="11">
        <v>0.1661</v>
      </c>
      <c r="K1094" s="12">
        <v>80</v>
      </c>
      <c r="L1094" s="12">
        <f>-(F1094*G1094*$U$3)/J1094</f>
        <v>-8.8464043052500951</v>
      </c>
      <c r="M1094" s="11">
        <f>ABS(L1094/$U$6)</f>
        <v>2.5791266196064418E-2</v>
      </c>
      <c r="N1094" s="12">
        <f>L1094*SIN(RADIANS(K1094))</f>
        <v>-8.7120075460908701</v>
      </c>
      <c r="O1094" s="12">
        <f>L1094*COS(RADIANS(K1094))</f>
        <v>-1.5361619865115665</v>
      </c>
      <c r="P1094" s="5">
        <v>1.5590355923053105</v>
      </c>
      <c r="Q1094" s="5">
        <v>0.62458714693304118</v>
      </c>
      <c r="R1094" s="6">
        <f>P1094/Q1094</f>
        <v>2.4961057875762642</v>
      </c>
    </row>
    <row r="1095" spans="1:18" x14ac:dyDescent="0.35">
      <c r="A1095" s="9">
        <v>1095</v>
      </c>
      <c r="B1095" s="5">
        <v>0.1</v>
      </c>
      <c r="C1095" s="5">
        <v>6000000</v>
      </c>
      <c r="D1095" s="5">
        <v>30</v>
      </c>
      <c r="E1095" s="5">
        <v>0.375</v>
      </c>
      <c r="F1095" s="5">
        <v>3.5000000000000003E-2</v>
      </c>
      <c r="G1095" s="12">
        <f>(C1095*$U$4)/($U$5*$U$3)</f>
        <v>88.16326530612244</v>
      </c>
      <c r="H1095" s="11">
        <f>G1095*COS(RADIANS(D1095))</f>
        <v>76.351627435689281</v>
      </c>
      <c r="I1095" s="11">
        <f>G1095*SIN(RADIANS(D1095))</f>
        <v>44.081632653061213</v>
      </c>
      <c r="J1095" s="12">
        <v>0.16789999999999999</v>
      </c>
      <c r="K1095" s="11">
        <v>85</v>
      </c>
      <c r="L1095" s="12">
        <f>-(F1095*G1095*$U$3)/J1095</f>
        <v>-18.378286394962991</v>
      </c>
      <c r="M1095" s="11">
        <f>ABS(L1095/$U$6)</f>
        <v>5.3581009897851285E-2</v>
      </c>
      <c r="N1095" s="12">
        <f>L1095*SIN(RADIANS(K1095))</f>
        <v>-18.308351466673791</v>
      </c>
      <c r="O1095" s="12">
        <f>L1095*COS(RADIANS(K1095))</f>
        <v>-1.6017732011821799</v>
      </c>
      <c r="P1095" s="5">
        <v>1.5092953574203247</v>
      </c>
      <c r="Q1095" s="5">
        <v>1.1215220281040366</v>
      </c>
      <c r="R1095" s="6">
        <f>P1095/Q1095</f>
        <v>1.3457563200714207</v>
      </c>
    </row>
    <row r="1096" spans="1:18" x14ac:dyDescent="0.35">
      <c r="A1096" s="9">
        <v>1096</v>
      </c>
      <c r="B1096" s="5">
        <v>0.1</v>
      </c>
      <c r="C1096" s="5">
        <v>2000000</v>
      </c>
      <c r="D1096" s="5">
        <v>5</v>
      </c>
      <c r="E1096" s="5">
        <v>0.25</v>
      </c>
      <c r="F1096" s="5">
        <v>3.5000000000000003E-2</v>
      </c>
      <c r="G1096" s="12">
        <f>(C1096*$U$4)/($U$5*$U$3)</f>
        <v>29.387755102040813</v>
      </c>
      <c r="H1096" s="11">
        <f>G1096*COS(RADIANS(D1096))</f>
        <v>29.275925821471702</v>
      </c>
      <c r="I1096" s="11">
        <f>G1096*SIN(RADIANS(D1096))</f>
        <v>2.5613116236046478</v>
      </c>
      <c r="J1096" s="11">
        <v>0.1661</v>
      </c>
      <c r="K1096" s="12">
        <v>80</v>
      </c>
      <c r="L1096" s="12">
        <f>-(F1096*G1096*$U$3)/J1096</f>
        <v>-6.1924830136750657</v>
      </c>
      <c r="M1096" s="11">
        <f>ABS(L1096/$U$6)</f>
        <v>1.8053886337245091E-2</v>
      </c>
      <c r="N1096" s="12">
        <f>L1096*SIN(RADIANS(K1096))</f>
        <v>-6.0984052822636077</v>
      </c>
      <c r="O1096" s="12">
        <f>L1096*COS(RADIANS(K1096))</f>
        <v>-1.0753133905580965</v>
      </c>
      <c r="P1096" s="5">
        <v>1.5667053365544019</v>
      </c>
      <c r="Q1096" s="5">
        <v>0.3451175534882891</v>
      </c>
      <c r="R1096" s="6">
        <f>P1096/Q1096</f>
        <v>4.5396280795307771</v>
      </c>
    </row>
    <row r="1097" spans="1:18" x14ac:dyDescent="0.35">
      <c r="A1097" s="9">
        <v>1097</v>
      </c>
      <c r="B1097" s="5">
        <v>0.75</v>
      </c>
      <c r="C1097" s="5">
        <v>6000000</v>
      </c>
      <c r="D1097" s="5">
        <v>30</v>
      </c>
      <c r="E1097" s="5">
        <v>0.25</v>
      </c>
      <c r="F1097" s="5">
        <v>0</v>
      </c>
      <c r="G1097" s="12">
        <f>(C1097*$U$4)/($U$5*$U$3)</f>
        <v>88.16326530612244</v>
      </c>
      <c r="H1097" s="11">
        <f>G1097*COS(RADIANS(D1097))</f>
        <v>76.351627435689281</v>
      </c>
      <c r="I1097" s="11">
        <f>G1097*SIN(RADIANS(D1097))</f>
        <v>44.081632653061213</v>
      </c>
      <c r="J1097" s="12">
        <v>0.28370000000000001</v>
      </c>
      <c r="K1097" s="11">
        <v>38</v>
      </c>
      <c r="L1097" s="12">
        <f>-(F1097*G1097*$U$3)/J1097</f>
        <v>0</v>
      </c>
      <c r="M1097" s="11">
        <f>ABS(L1097/$U$6)</f>
        <v>0</v>
      </c>
      <c r="N1097" s="12">
        <f>L1097*SIN(RADIANS(K1097))</f>
        <v>0</v>
      </c>
      <c r="O1097" s="12">
        <f>L1097*COS(RADIANS(K1097))</f>
        <v>0</v>
      </c>
      <c r="P1097" s="5">
        <v>5.0717114645561727</v>
      </c>
      <c r="Q1097" s="5">
        <v>2.5257499003974724</v>
      </c>
      <c r="R1097" s="6">
        <f>P1097/Q1097</f>
        <v>2.0080022427232591</v>
      </c>
    </row>
    <row r="1098" spans="1:18" x14ac:dyDescent="0.35">
      <c r="A1098" s="9">
        <v>1098</v>
      </c>
      <c r="B1098" s="5">
        <v>0.5</v>
      </c>
      <c r="C1098" s="5">
        <v>4000000</v>
      </c>
      <c r="D1098" s="5">
        <v>30</v>
      </c>
      <c r="E1098" s="5">
        <v>0.125</v>
      </c>
      <c r="F1098" s="5">
        <v>2.5000000000000001E-2</v>
      </c>
      <c r="G1098" s="12">
        <f>(C1098*$U$4)/($U$5*$U$3)</f>
        <v>58.775510204081627</v>
      </c>
      <c r="H1098" s="11">
        <f>G1098*COS(RADIANS(D1098))</f>
        <v>50.901084957126187</v>
      </c>
      <c r="I1098" s="11">
        <f>G1098*SIN(RADIANS(D1098))</f>
        <v>29.38775510204081</v>
      </c>
      <c r="J1098" s="12">
        <v>0.23300000000000001</v>
      </c>
      <c r="K1098" s="11">
        <v>27</v>
      </c>
      <c r="L1098" s="12">
        <f>-(F1098*G1098*$U$3)/J1098</f>
        <v>-6.3063852150302173</v>
      </c>
      <c r="M1098" s="11">
        <f>ABS(L1098/$U$6)</f>
        <v>1.8385962726035619E-2</v>
      </c>
      <c r="N1098" s="12">
        <f>L1098*SIN(RADIANS(K1098))</f>
        <v>-2.8630389753216572</v>
      </c>
      <c r="O1098" s="12">
        <f>L1098*COS(RADIANS(K1098))</f>
        <v>-5.6190303706369873</v>
      </c>
      <c r="P1098" s="5">
        <v>3.2062317987652662</v>
      </c>
      <c r="Q1098" s="5">
        <v>1.2398167709165908</v>
      </c>
      <c r="R1098" s="6">
        <f>P1098/Q1098</f>
        <v>2.5860529345759002</v>
      </c>
    </row>
    <row r="1099" spans="1:18" x14ac:dyDescent="0.35">
      <c r="A1099" s="9">
        <v>1676</v>
      </c>
      <c r="B1099" s="5">
        <v>0.25</v>
      </c>
      <c r="C1099" s="5">
        <v>4000000</v>
      </c>
      <c r="D1099" s="5">
        <v>15</v>
      </c>
      <c r="E1099" s="5">
        <v>0.125</v>
      </c>
      <c r="F1099" s="5">
        <v>0.15</v>
      </c>
      <c r="G1099" s="12">
        <f>(C1099*$U$4)/($U$5*$U$3)</f>
        <v>58.775510204081627</v>
      </c>
      <c r="H1099" s="11">
        <f>G1099*COS(RADIANS(D1099))</f>
        <v>56.772783259439109</v>
      </c>
      <c r="I1099" s="11">
        <f>G1099*SIN(RADIANS(D1099))</f>
        <v>15.212221426433871</v>
      </c>
      <c r="J1099" s="20">
        <v>0.19020000000000001</v>
      </c>
      <c r="K1099" s="19">
        <v>46</v>
      </c>
      <c r="L1099" s="12">
        <f>-(F1099*G1099*$U$3)/J1099</f>
        <v>-46.352926028455542</v>
      </c>
      <c r="M1099" s="11">
        <f>ABS(L1099/$U$6)</f>
        <v>0.13513972603048263</v>
      </c>
      <c r="N1099" s="12">
        <f>L1099*SIN(RADIANS(K1099))</f>
        <v>-33.343504554421472</v>
      </c>
      <c r="O1099" s="12">
        <f>L1099*COS(RADIANS(K1099))</f>
        <v>-32.199448060933364</v>
      </c>
      <c r="P1099" s="5">
        <v>2.7476393161064685</v>
      </c>
      <c r="Q1099" s="5">
        <v>0.50525533003793877</v>
      </c>
      <c r="R1099" s="6">
        <f>P1099/Q1099</f>
        <v>5.4381203972655827</v>
      </c>
    </row>
    <row r="1100" spans="1:18" x14ac:dyDescent="0.35">
      <c r="A1100" s="9">
        <v>1100</v>
      </c>
      <c r="B1100" s="5">
        <v>0.25</v>
      </c>
      <c r="C1100" s="5">
        <v>6000000</v>
      </c>
      <c r="D1100" s="5">
        <v>30</v>
      </c>
      <c r="E1100" s="5">
        <v>0.125</v>
      </c>
      <c r="F1100" s="5">
        <v>3.5000000000000003E-2</v>
      </c>
      <c r="G1100" s="12">
        <f>(C1100*$U$4)/($U$5*$U$3)</f>
        <v>88.16326530612244</v>
      </c>
      <c r="H1100" s="11">
        <f>G1100*COS(RADIANS(D1100))</f>
        <v>76.351627435689281</v>
      </c>
      <c r="I1100" s="11">
        <f>G1100*SIN(RADIANS(D1100))</f>
        <v>44.081632653061213</v>
      </c>
      <c r="J1100" s="11">
        <v>0.19020000000000001</v>
      </c>
      <c r="K1100" s="12">
        <v>46</v>
      </c>
      <c r="L1100" s="12">
        <f>-(F1100*G1100*$U$3)/J1100</f>
        <v>-16.223524109959442</v>
      </c>
      <c r="M1100" s="11">
        <f>ABS(L1100/$U$6)</f>
        <v>4.7298904110668928E-2</v>
      </c>
      <c r="N1100" s="12">
        <f>L1100*SIN(RADIANS(K1100))</f>
        <v>-11.670226594047516</v>
      </c>
      <c r="O1100" s="12">
        <f>L1100*COS(RADIANS(K1100))</f>
        <v>-11.26980682132668</v>
      </c>
      <c r="P1100" s="5">
        <v>2.2748213458068731</v>
      </c>
      <c r="Q1100" s="5">
        <v>0.937784893184756</v>
      </c>
      <c r="R1100" s="6">
        <f>P1100/Q1100</f>
        <v>2.4257389539316274</v>
      </c>
    </row>
    <row r="1101" spans="1:18" x14ac:dyDescent="0.35">
      <c r="A1101" s="9">
        <v>1695</v>
      </c>
      <c r="B1101" s="5">
        <v>0.25</v>
      </c>
      <c r="C1101" s="5">
        <v>4000000</v>
      </c>
      <c r="D1101" s="5">
        <v>0</v>
      </c>
      <c r="E1101" s="5">
        <v>0.125</v>
      </c>
      <c r="F1101" s="5">
        <v>0.15</v>
      </c>
      <c r="G1101" s="12">
        <f>(C1101*$U$4)/($U$5*$U$3)</f>
        <v>58.775510204081627</v>
      </c>
      <c r="H1101" s="11">
        <f>G1101*COS(RADIANS(D1101))</f>
        <v>58.775510204081627</v>
      </c>
      <c r="I1101" s="11">
        <f>G1101*SIN(RADIANS(D1101))</f>
        <v>0</v>
      </c>
      <c r="J1101" s="11">
        <v>0.19020000000000001</v>
      </c>
      <c r="K1101" s="12">
        <v>46</v>
      </c>
      <c r="L1101" s="12">
        <f>-(F1101*G1101*$U$3)/J1101</f>
        <v>-46.352926028455542</v>
      </c>
      <c r="M1101" s="11">
        <f>ABS(L1101/$U$6)</f>
        <v>0.13513972603048263</v>
      </c>
      <c r="N1101" s="12">
        <f>L1101*SIN(RADIANS(K1101))</f>
        <v>-33.343504554421472</v>
      </c>
      <c r="O1101" s="12">
        <f>L1101*COS(RADIANS(K1101))</f>
        <v>-32.199448060933364</v>
      </c>
      <c r="P1101" s="5">
        <v>2.517805229979734</v>
      </c>
      <c r="Q1101" s="5">
        <v>4.9248263997894899E-2</v>
      </c>
      <c r="R1101" s="6">
        <f>P1101/Q1101</f>
        <v>51.124750916851745</v>
      </c>
    </row>
    <row r="1102" spans="1:18" x14ac:dyDescent="0.35">
      <c r="A1102" s="9">
        <v>1716</v>
      </c>
      <c r="B1102" s="5">
        <v>0.25</v>
      </c>
      <c r="C1102" s="5">
        <v>4000000</v>
      </c>
      <c r="D1102" s="5">
        <v>30</v>
      </c>
      <c r="E1102" s="5">
        <v>0.125</v>
      </c>
      <c r="F1102" s="5">
        <v>0.15</v>
      </c>
      <c r="G1102" s="12">
        <f>(C1102*$U$4)/($U$5*$U$3)</f>
        <v>58.775510204081627</v>
      </c>
      <c r="H1102" s="11">
        <f>G1102*COS(RADIANS(D1102))</f>
        <v>50.901084957126187</v>
      </c>
      <c r="I1102" s="11">
        <f>G1102*SIN(RADIANS(D1102))</f>
        <v>29.38775510204081</v>
      </c>
      <c r="J1102" s="20">
        <v>0.19020000000000001</v>
      </c>
      <c r="K1102" s="12">
        <v>46</v>
      </c>
      <c r="L1102" s="12">
        <f>-(F1102*G1102*$U$3)/J1102</f>
        <v>-46.352926028455542</v>
      </c>
      <c r="M1102" s="11">
        <f>ABS(L1102/$U$6)</f>
        <v>0.13513972603048263</v>
      </c>
      <c r="N1102" s="12">
        <f>L1102*SIN(RADIANS(K1102))</f>
        <v>-33.343504554421472</v>
      </c>
      <c r="O1102" s="12">
        <f>L1102*COS(RADIANS(K1102))</f>
        <v>-32.199448060933364</v>
      </c>
      <c r="P1102" s="5">
        <v>2.9245397501513932</v>
      </c>
      <c r="Q1102" s="5">
        <v>0.98955856906680384</v>
      </c>
      <c r="R1102" s="6">
        <f>P1102/Q1102</f>
        <v>2.9553983377753572</v>
      </c>
    </row>
    <row r="1103" spans="1:18" x14ac:dyDescent="0.35">
      <c r="A1103" s="9">
        <v>2143</v>
      </c>
      <c r="B1103" s="5">
        <v>0.25</v>
      </c>
      <c r="C1103" s="5">
        <v>6000000</v>
      </c>
      <c r="D1103" s="5">
        <v>0</v>
      </c>
      <c r="E1103" s="5">
        <v>0.125</v>
      </c>
      <c r="F1103" s="5">
        <v>0.1</v>
      </c>
      <c r="G1103" s="12">
        <f>(C1103*$U$4)/($U$5*$U$3)</f>
        <v>88.16326530612244</v>
      </c>
      <c r="H1103" s="11">
        <f>G1103*COS(RADIANS(D1103))</f>
        <v>88.16326530612244</v>
      </c>
      <c r="I1103" s="11">
        <f>G1103*SIN(RADIANS(D1103))</f>
        <v>0</v>
      </c>
      <c r="J1103" s="20">
        <v>0.19020000000000001</v>
      </c>
      <c r="K1103" s="19">
        <v>46</v>
      </c>
      <c r="L1103" s="12">
        <f>-(F1103*G1103*$U$3)/J1103</f>
        <v>-46.352926028455542</v>
      </c>
      <c r="M1103" s="11">
        <f>ABS(L1103/$U$6)</f>
        <v>0.13513972603048263</v>
      </c>
      <c r="N1103" s="12">
        <f>L1103*SIN(RADIANS(K1103))</f>
        <v>-33.343504554421472</v>
      </c>
      <c r="O1103" s="12">
        <f>L1103*COS(RADIANS(K1103))</f>
        <v>-32.199448060933364</v>
      </c>
      <c r="P1103" s="5">
        <v>2.1295065452621067</v>
      </c>
      <c r="Q1103" s="5">
        <v>0.17890116336062434</v>
      </c>
      <c r="R1103" s="6">
        <f>P1103/Q1103</f>
        <v>11.903257112808722</v>
      </c>
    </row>
    <row r="1104" spans="1:18" x14ac:dyDescent="0.35">
      <c r="A1104" s="9">
        <v>1104</v>
      </c>
      <c r="B1104" s="5">
        <v>0.5</v>
      </c>
      <c r="C1104" s="5">
        <v>4000000</v>
      </c>
      <c r="D1104" s="5">
        <v>30</v>
      </c>
      <c r="E1104" s="5">
        <v>0.125</v>
      </c>
      <c r="F1104" s="5">
        <v>0.1</v>
      </c>
      <c r="G1104" s="12">
        <f>(C1104*$U$4)/($U$5*$U$3)</f>
        <v>58.775510204081627</v>
      </c>
      <c r="H1104" s="11">
        <f>G1104*COS(RADIANS(D1104))</f>
        <v>50.901084957126187</v>
      </c>
      <c r="I1104" s="11">
        <f>G1104*SIN(RADIANS(D1104))</f>
        <v>29.38775510204081</v>
      </c>
      <c r="J1104" s="12">
        <v>0.23300000000000001</v>
      </c>
      <c r="K1104" s="11">
        <v>27</v>
      </c>
      <c r="L1104" s="12">
        <f>-(F1104*G1104*$U$3)/J1104</f>
        <v>-25.225540860120869</v>
      </c>
      <c r="M1104" s="11">
        <f>ABS(L1104/$U$6)</f>
        <v>7.3543850904142477E-2</v>
      </c>
      <c r="N1104" s="12">
        <f>L1104*SIN(RADIANS(K1104))</f>
        <v>-11.452155901286629</v>
      </c>
      <c r="O1104" s="12">
        <f>L1104*COS(RADIANS(K1104))</f>
        <v>-22.476121482547949</v>
      </c>
      <c r="P1104" s="5">
        <v>3.3923131928865113</v>
      </c>
      <c r="Q1104" s="5">
        <v>1.118157659075383</v>
      </c>
      <c r="R1104" s="6">
        <f>P1104/Q1104</f>
        <v>3.0338415744445668</v>
      </c>
    </row>
    <row r="1105" spans="1:18" x14ac:dyDescent="0.35">
      <c r="A1105" s="9">
        <v>1105</v>
      </c>
      <c r="B1105" s="5">
        <v>0.5</v>
      </c>
      <c r="C1105" s="5">
        <v>2000000</v>
      </c>
      <c r="D1105" s="5">
        <v>20</v>
      </c>
      <c r="E1105" s="5">
        <v>0.375</v>
      </c>
      <c r="F1105" s="5">
        <v>0.15</v>
      </c>
      <c r="G1105" s="12">
        <f>(C1105*$U$4)/($U$5*$U$3)</f>
        <v>29.387755102040813</v>
      </c>
      <c r="H1105" s="11">
        <f>G1105*COS(RADIANS(D1105))</f>
        <v>27.615456610851183</v>
      </c>
      <c r="I1105" s="11">
        <f>G1105*SIN(RADIANS(D1105))</f>
        <v>10.051204212019652</v>
      </c>
      <c r="J1105" s="12">
        <v>0.24809999999999999</v>
      </c>
      <c r="K1105" s="12">
        <v>67</v>
      </c>
      <c r="L1105" s="12">
        <f>-(F1105*G1105*$U$3)/J1105</f>
        <v>-17.767687486118994</v>
      </c>
      <c r="M1105" s="11">
        <f>ABS(L1105/$U$6)</f>
        <v>5.1800838151950419E-2</v>
      </c>
      <c r="N1105" s="12">
        <f>L1105*SIN(RADIANS(K1105))</f>
        <v>-16.355242565598722</v>
      </c>
      <c r="O1105" s="12">
        <f>L1105*COS(RADIANS(K1105))</f>
        <v>-6.9423885820960214</v>
      </c>
      <c r="P1105" s="5">
        <v>5.1152519545305317</v>
      </c>
      <c r="Q1105" s="5">
        <v>0.60676841482471788</v>
      </c>
      <c r="R1105" s="6">
        <f>P1105/Q1105</f>
        <v>8.4303200851484927</v>
      </c>
    </row>
    <row r="1106" spans="1:18" x14ac:dyDescent="0.35">
      <c r="A1106" s="9">
        <v>1106</v>
      </c>
      <c r="B1106" s="5">
        <v>1</v>
      </c>
      <c r="C1106" s="5">
        <v>4000000</v>
      </c>
      <c r="D1106" s="5">
        <v>30</v>
      </c>
      <c r="E1106" s="5">
        <v>0.25</v>
      </c>
      <c r="F1106" s="5">
        <v>2.5000000000000001E-2</v>
      </c>
      <c r="G1106" s="12">
        <f>(C1106*$U$4)/($U$5*$U$3)</f>
        <v>58.775510204081627</v>
      </c>
      <c r="H1106" s="11">
        <f>G1106*COS(RADIANS(D1106))</f>
        <v>50.901084957126187</v>
      </c>
      <c r="I1106" s="11">
        <f>G1106*SIN(RADIANS(D1106))</f>
        <v>29.38775510204081</v>
      </c>
      <c r="J1106" s="13">
        <v>0.33379999999999999</v>
      </c>
      <c r="K1106" s="12">
        <v>30</v>
      </c>
      <c r="L1106" s="12">
        <f>-(F1106*G1106*$U$3)/J1106</f>
        <v>-4.4020004646556048</v>
      </c>
      <c r="M1106" s="11">
        <f>ABS(L1106/$U$6)</f>
        <v>1.283382059666357E-2</v>
      </c>
      <c r="N1106" s="12">
        <f>L1106*SIN(RADIANS(K1106))</f>
        <v>-2.201000232327802</v>
      </c>
      <c r="O1106" s="12">
        <f>L1106*COS(RADIANS(K1106))</f>
        <v>-3.8122442298626571</v>
      </c>
      <c r="P1106" s="5">
        <v>4.3556552421214327</v>
      </c>
      <c r="Q1106" s="5">
        <v>1.3631089939673833</v>
      </c>
      <c r="R1106" s="6">
        <f>P1106/Q1106</f>
        <v>3.1953829527924422</v>
      </c>
    </row>
    <row r="1107" spans="1:18" x14ac:dyDescent="0.35">
      <c r="A1107" s="9">
        <v>1107</v>
      </c>
      <c r="B1107" s="5">
        <v>0.5</v>
      </c>
      <c r="C1107" s="5">
        <v>4000000</v>
      </c>
      <c r="D1107" s="5">
        <v>30</v>
      </c>
      <c r="E1107" s="5">
        <v>0.125</v>
      </c>
      <c r="F1107" s="5">
        <v>3.5000000000000003E-2</v>
      </c>
      <c r="G1107" s="12">
        <f>(C1107*$U$4)/($U$5*$U$3)</f>
        <v>58.775510204081627</v>
      </c>
      <c r="H1107" s="11">
        <f>G1107*COS(RADIANS(D1107))</f>
        <v>50.901084957126187</v>
      </c>
      <c r="I1107" s="11">
        <f>G1107*SIN(RADIANS(D1107))</f>
        <v>29.38775510204081</v>
      </c>
      <c r="J1107" s="12">
        <v>0.23300000000000001</v>
      </c>
      <c r="K1107" s="11">
        <v>27</v>
      </c>
      <c r="L1107" s="12">
        <f>-(F1107*G1107*$U$3)/J1107</f>
        <v>-8.8289393010423041</v>
      </c>
      <c r="M1107" s="11">
        <f>ABS(L1107/$U$6)</f>
        <v>2.5740347816449866E-2</v>
      </c>
      <c r="N1107" s="12">
        <f>L1107*SIN(RADIANS(K1107))</f>
        <v>-4.0082545654503203</v>
      </c>
      <c r="O1107" s="12">
        <f>L1107*COS(RADIANS(K1107))</f>
        <v>-7.8666425188917817</v>
      </c>
      <c r="P1107" s="5">
        <v>3.6806196363135086</v>
      </c>
      <c r="Q1107" s="5">
        <v>1.3051646711839471</v>
      </c>
      <c r="R1107" s="6">
        <f>P1107/Q1107</f>
        <v>2.820042342223934</v>
      </c>
    </row>
    <row r="1108" spans="1:18" x14ac:dyDescent="0.35">
      <c r="A1108" s="9">
        <v>81</v>
      </c>
      <c r="B1108" s="5">
        <v>0.25</v>
      </c>
      <c r="C1108" s="5">
        <v>6000000</v>
      </c>
      <c r="D1108" s="5">
        <v>15</v>
      </c>
      <c r="E1108" s="5">
        <v>0.25</v>
      </c>
      <c r="F1108" s="5">
        <v>0.1</v>
      </c>
      <c r="G1108" s="12">
        <f>(C1108*$U$4)/($U$5*$U$3)</f>
        <v>88.16326530612244</v>
      </c>
      <c r="H1108" s="11">
        <f>G1108*COS(RADIANS(D1108))</f>
        <v>85.159174889158663</v>
      </c>
      <c r="I1108" s="11">
        <f>G1108*SIN(RADIANS(D1108))</f>
        <v>22.818332139650806</v>
      </c>
      <c r="J1108" s="12">
        <v>0.1913</v>
      </c>
      <c r="K1108" s="20">
        <v>67</v>
      </c>
      <c r="L1108" s="12">
        <f>-(F1108*G1108*$U$3)/J1108</f>
        <v>-46.086390646169598</v>
      </c>
      <c r="M1108" s="11">
        <f>ABS(L1108/$U$6)</f>
        <v>0.13436265494510086</v>
      </c>
      <c r="N1108" s="12">
        <f>L1108*SIN(RADIANS(K1108))</f>
        <v>-42.422746267904266</v>
      </c>
      <c r="O1108" s="12">
        <f>L1108*COS(RADIANS(K1108))</f>
        <v>-18.007387425175356</v>
      </c>
      <c r="P1108" s="5">
        <v>2.4939473592147561</v>
      </c>
      <c r="Q1108" s="5">
        <v>0.52333816269657962</v>
      </c>
      <c r="R1108" s="6">
        <f>P1108/Q1108</f>
        <v>4.7654605319900849</v>
      </c>
    </row>
    <row r="1109" spans="1:18" x14ac:dyDescent="0.35">
      <c r="A1109" s="9">
        <v>116</v>
      </c>
      <c r="B1109" s="5">
        <v>0.25</v>
      </c>
      <c r="C1109" s="5">
        <v>4000000</v>
      </c>
      <c r="D1109" s="5">
        <v>30</v>
      </c>
      <c r="E1109" s="5">
        <v>0.25</v>
      </c>
      <c r="F1109" s="5">
        <v>0.15</v>
      </c>
      <c r="G1109" s="12">
        <f>(C1109*$U$4)/($U$5*$U$3)</f>
        <v>58.775510204081627</v>
      </c>
      <c r="H1109" s="11">
        <f>G1109*COS(RADIANS(D1109))</f>
        <v>50.901084957126187</v>
      </c>
      <c r="I1109" s="11">
        <f>G1109*SIN(RADIANS(D1109))</f>
        <v>29.38775510204081</v>
      </c>
      <c r="J1109" s="12">
        <v>0.1913</v>
      </c>
      <c r="K1109" s="20">
        <v>67</v>
      </c>
      <c r="L1109" s="12">
        <f>-(F1109*G1109*$U$3)/J1109</f>
        <v>-46.086390646169598</v>
      </c>
      <c r="M1109" s="11">
        <f>ABS(L1109/$U$6)</f>
        <v>0.13436265494510086</v>
      </c>
      <c r="N1109" s="12">
        <f>L1109*SIN(RADIANS(K1109))</f>
        <v>-42.422746267904266</v>
      </c>
      <c r="O1109" s="12">
        <f>L1109*COS(RADIANS(K1109))</f>
        <v>-18.007387425175356</v>
      </c>
      <c r="P1109" s="5">
        <v>3.1634219226808753</v>
      </c>
      <c r="Q1109" s="5">
        <v>1.0748942949141178</v>
      </c>
      <c r="R1109" s="6">
        <f>P1109/Q1109</f>
        <v>2.9430074544526512</v>
      </c>
    </row>
    <row r="1110" spans="1:18" x14ac:dyDescent="0.35">
      <c r="A1110" s="9">
        <v>1110</v>
      </c>
      <c r="B1110" s="5">
        <v>0.75</v>
      </c>
      <c r="C1110" s="5">
        <v>2000000</v>
      </c>
      <c r="D1110" s="5">
        <v>30</v>
      </c>
      <c r="E1110" s="5">
        <v>0.25</v>
      </c>
      <c r="F1110" s="5">
        <v>0.15</v>
      </c>
      <c r="G1110" s="12">
        <f>(C1110*$U$4)/($U$5*$U$3)</f>
        <v>29.387755102040813</v>
      </c>
      <c r="H1110" s="11">
        <f>G1110*COS(RADIANS(D1110))</f>
        <v>25.450542478563094</v>
      </c>
      <c r="I1110" s="11">
        <f>G1110*SIN(RADIANS(D1110))</f>
        <v>14.693877551020405</v>
      </c>
      <c r="J1110" s="12">
        <v>0.28370000000000001</v>
      </c>
      <c r="K1110" s="11">
        <v>38</v>
      </c>
      <c r="L1110" s="12">
        <f>-(F1110*G1110*$U$3)/J1110</f>
        <v>-15.538115140310616</v>
      </c>
      <c r="M1110" s="11">
        <f>ABS(L1110/$U$6)</f>
        <v>4.5300627231226284E-2</v>
      </c>
      <c r="N1110" s="12">
        <f>L1110*SIN(RADIANS(K1110))</f>
        <v>-9.5662188910635813</v>
      </c>
      <c r="O1110" s="12">
        <f>L1110*COS(RADIANS(K1110))</f>
        <v>-12.244201821344184</v>
      </c>
      <c r="P1110" s="5">
        <v>5.1412671769895715</v>
      </c>
      <c r="Q1110" s="5">
        <v>1.2028355449236436</v>
      </c>
      <c r="R1110" s="6">
        <f>P1110/Q1110</f>
        <v>4.2742893645664095</v>
      </c>
    </row>
    <row r="1111" spans="1:18" x14ac:dyDescent="0.35">
      <c r="A1111" s="9">
        <v>1111</v>
      </c>
      <c r="B1111" s="5">
        <v>0.5</v>
      </c>
      <c r="C1111" s="5">
        <v>2000000</v>
      </c>
      <c r="D1111" s="5">
        <v>15</v>
      </c>
      <c r="E1111" s="5">
        <v>0.125</v>
      </c>
      <c r="F1111" s="5">
        <v>0</v>
      </c>
      <c r="G1111" s="12">
        <f>(C1111*$U$4)/($U$5*$U$3)</f>
        <v>29.387755102040813</v>
      </c>
      <c r="H1111" s="11">
        <f>G1111*COS(RADIANS(D1111))</f>
        <v>28.386391629719554</v>
      </c>
      <c r="I1111" s="11">
        <f>G1111*SIN(RADIANS(D1111))</f>
        <v>7.6061107132169354</v>
      </c>
      <c r="J1111" s="12">
        <v>0.23300000000000001</v>
      </c>
      <c r="K1111" s="11">
        <v>27</v>
      </c>
      <c r="L1111" s="12">
        <f>-(F1111*G1111*$U$3)/J1111</f>
        <v>0</v>
      </c>
      <c r="M1111" s="11">
        <f>ABS(L1111/$U$6)</f>
        <v>0</v>
      </c>
      <c r="N1111" s="12">
        <f>L1111*SIN(RADIANS(K1111))</f>
        <v>0</v>
      </c>
      <c r="O1111" s="12">
        <f>L1111*COS(RADIANS(K1111))</f>
        <v>0</v>
      </c>
      <c r="P1111" s="5">
        <v>3.9408026896491344</v>
      </c>
      <c r="Q1111" s="5">
        <v>1.1438384975611202</v>
      </c>
      <c r="R1111" s="6">
        <f>P1111/Q1111</f>
        <v>3.4452439728612654</v>
      </c>
    </row>
    <row r="1112" spans="1:18" x14ac:dyDescent="0.35">
      <c r="A1112" s="9">
        <v>1112</v>
      </c>
      <c r="B1112" s="5">
        <v>0.75</v>
      </c>
      <c r="C1112" s="5">
        <v>6000000</v>
      </c>
      <c r="D1112" s="5">
        <v>20</v>
      </c>
      <c r="E1112" s="5">
        <v>0.25</v>
      </c>
      <c r="F1112" s="5">
        <v>3.5000000000000003E-2</v>
      </c>
      <c r="G1112" s="12">
        <f>(C1112*$U$4)/($U$5*$U$3)</f>
        <v>88.16326530612244</v>
      </c>
      <c r="H1112" s="11">
        <f>G1112*COS(RADIANS(D1112))</f>
        <v>82.846369832553549</v>
      </c>
      <c r="I1112" s="11">
        <f>G1112*SIN(RADIANS(D1112))</f>
        <v>30.153612636058952</v>
      </c>
      <c r="J1112" s="12">
        <v>0.28370000000000001</v>
      </c>
      <c r="K1112" s="11">
        <v>38</v>
      </c>
      <c r="L1112" s="12">
        <f>-(F1112*G1112*$U$3)/J1112</f>
        <v>-10.876680598217433</v>
      </c>
      <c r="M1112" s="11">
        <f>ABS(L1112/$U$6)</f>
        <v>3.1710439061858407E-2</v>
      </c>
      <c r="N1112" s="12">
        <f>L1112*SIN(RADIANS(K1112))</f>
        <v>-6.6963532237445085</v>
      </c>
      <c r="O1112" s="12">
        <f>L1112*COS(RADIANS(K1112))</f>
        <v>-8.5709412749409299</v>
      </c>
      <c r="P1112" s="5">
        <v>3.5737856520547502</v>
      </c>
      <c r="Q1112" s="5">
        <v>0.75217497951018275</v>
      </c>
      <c r="R1112" s="6">
        <f>P1112/Q1112</f>
        <v>4.7512689858176405</v>
      </c>
    </row>
    <row r="1113" spans="1:18" x14ac:dyDescent="0.35">
      <c r="A1113" s="9">
        <v>1113</v>
      </c>
      <c r="B1113" s="5">
        <v>0.75</v>
      </c>
      <c r="C1113" s="5">
        <v>2000000</v>
      </c>
      <c r="D1113" s="5">
        <v>10</v>
      </c>
      <c r="E1113" s="5">
        <v>0.375</v>
      </c>
      <c r="F1113" s="5">
        <v>0.1</v>
      </c>
      <c r="G1113" s="12">
        <f>(C1113*$U$4)/($U$5*$U$3)</f>
        <v>29.387755102040813</v>
      </c>
      <c r="H1113" s="11">
        <f>G1113*COS(RADIANS(D1113))</f>
        <v>28.941289068113864</v>
      </c>
      <c r="I1113" s="11">
        <f>G1113*SIN(RADIANS(D1113))</f>
        <v>5.1031301191914213</v>
      </c>
      <c r="J1113" s="11">
        <v>0.29299999999999998</v>
      </c>
      <c r="K1113" s="12">
        <v>57</v>
      </c>
      <c r="L1113" s="12">
        <f>-(F1113*G1113*$U$3)/J1113</f>
        <v>-10.029950546771609</v>
      </c>
      <c r="M1113" s="11">
        <f>ABS(L1113/$U$6)</f>
        <v>2.92418383287802E-2</v>
      </c>
      <c r="N1113" s="12">
        <f>L1113*SIN(RADIANS(K1113))</f>
        <v>-8.4118243215254616</v>
      </c>
      <c r="O1113" s="12">
        <f>L1113*COS(RADIANS(K1113))</f>
        <v>-5.4627025870421324</v>
      </c>
      <c r="P1113" s="5">
        <v>5.3455463859162915</v>
      </c>
      <c r="Q1113" s="5">
        <v>-3.946492235723606E-2</v>
      </c>
      <c r="R1113" s="6">
        <f>P1113/Q1113</f>
        <v>-135.45057399400059</v>
      </c>
    </row>
    <row r="1114" spans="1:18" x14ac:dyDescent="0.35">
      <c r="A1114" s="9">
        <v>1114</v>
      </c>
      <c r="B1114" s="5">
        <v>0.75</v>
      </c>
      <c r="C1114" s="5">
        <v>4000000</v>
      </c>
      <c r="D1114" s="5">
        <v>0</v>
      </c>
      <c r="E1114" s="5">
        <v>0.125</v>
      </c>
      <c r="F1114" s="5">
        <v>7.4999999999999997E-2</v>
      </c>
      <c r="G1114" s="12">
        <f>(C1114*$U$4)/($U$5*$U$3)</f>
        <v>58.775510204081627</v>
      </c>
      <c r="H1114" s="11">
        <f>G1114*COS(RADIANS(D1114))</f>
        <v>58.775510204081627</v>
      </c>
      <c r="I1114" s="11">
        <f>G1114*SIN(RADIANS(D1114))</f>
        <v>0</v>
      </c>
      <c r="J1114" s="12">
        <v>0.2802</v>
      </c>
      <c r="K1114" s="12">
        <v>19</v>
      </c>
      <c r="L1114" s="12">
        <f>-(F1114*G1114*$U$3)/J1114</f>
        <v>-15.732202945417994</v>
      </c>
      <c r="M1114" s="11">
        <f>ABS(L1114/$U$6)</f>
        <v>4.5866480890431466E-2</v>
      </c>
      <c r="N1114" s="12">
        <f>L1114*SIN(RADIANS(K1114))</f>
        <v>-5.1219042784851814</v>
      </c>
      <c r="O1114" s="12">
        <f>L1114*COS(RADIANS(K1114))</f>
        <v>-14.875090119990999</v>
      </c>
      <c r="P1114" s="5">
        <v>6.3509981410353911</v>
      </c>
      <c r="Q1114" s="5">
        <v>-0.33944378692059951</v>
      </c>
      <c r="R1114" s="6">
        <f>P1114/Q1114</f>
        <v>-18.710014399294266</v>
      </c>
    </row>
    <row r="1115" spans="1:18" x14ac:dyDescent="0.35">
      <c r="A1115" s="9">
        <v>1115</v>
      </c>
      <c r="B1115" s="5">
        <v>0.1</v>
      </c>
      <c r="C1115" s="5">
        <v>2000000</v>
      </c>
      <c r="D1115" s="5">
        <v>15</v>
      </c>
      <c r="E1115" s="5">
        <v>0.25</v>
      </c>
      <c r="F1115" s="5">
        <v>0.1</v>
      </c>
      <c r="G1115" s="12">
        <f>(C1115*$U$4)/($U$5*$U$3)</f>
        <v>29.387755102040813</v>
      </c>
      <c r="H1115" s="11">
        <f>G1115*COS(RADIANS(D1115))</f>
        <v>28.386391629719554</v>
      </c>
      <c r="I1115" s="11">
        <f>G1115*SIN(RADIANS(D1115))</f>
        <v>7.6061107132169354</v>
      </c>
      <c r="J1115" s="11">
        <v>0.1661</v>
      </c>
      <c r="K1115" s="12">
        <v>80</v>
      </c>
      <c r="L1115" s="12">
        <f>-(F1115*G1115*$U$3)/J1115</f>
        <v>-17.69280861050019</v>
      </c>
      <c r="M1115" s="11">
        <f>ABS(L1115/$U$6)</f>
        <v>5.1582532392128837E-2</v>
      </c>
      <c r="N1115" s="12">
        <f>L1115*SIN(RADIANS(K1115))</f>
        <v>-17.42401509218174</v>
      </c>
      <c r="O1115" s="12">
        <f>L1115*COS(RADIANS(K1115))</f>
        <v>-3.0723239730231331</v>
      </c>
      <c r="P1115" s="5">
        <v>1.9143482191150742</v>
      </c>
      <c r="Q1115" s="5">
        <v>0.66939184855946432</v>
      </c>
      <c r="R1115" s="6">
        <f>P1115/Q1115</f>
        <v>2.8598319851590128</v>
      </c>
    </row>
    <row r="1116" spans="1:18" x14ac:dyDescent="0.35">
      <c r="A1116" s="9">
        <v>1116</v>
      </c>
      <c r="B1116" s="5">
        <v>1</v>
      </c>
      <c r="C1116" s="5">
        <v>4000000</v>
      </c>
      <c r="D1116" s="5">
        <v>5</v>
      </c>
      <c r="E1116" s="5">
        <v>0.25</v>
      </c>
      <c r="F1116" s="5">
        <v>0</v>
      </c>
      <c r="G1116" s="12">
        <f>(C1116*$U$4)/($U$5*$U$3)</f>
        <v>58.775510204081627</v>
      </c>
      <c r="H1116" s="11">
        <f>G1116*COS(RADIANS(D1116))</f>
        <v>58.551851642943404</v>
      </c>
      <c r="I1116" s="11">
        <f>G1116*SIN(RADIANS(D1116))</f>
        <v>5.1226232472092956</v>
      </c>
      <c r="J1116" s="13">
        <v>0.33379999999999999</v>
      </c>
      <c r="K1116" s="12">
        <v>30</v>
      </c>
      <c r="L1116" s="12">
        <f>-(F1116*G1116*$U$3)/J1116</f>
        <v>0</v>
      </c>
      <c r="M1116" s="11">
        <f>ABS(L1116/$U$6)</f>
        <v>0</v>
      </c>
      <c r="N1116" s="12">
        <f>L1116*SIN(RADIANS(K1116))</f>
        <v>0</v>
      </c>
      <c r="O1116" s="12">
        <f>L1116*COS(RADIANS(K1116))</f>
        <v>0</v>
      </c>
      <c r="P1116" s="5">
        <v>6.5714566171882334</v>
      </c>
      <c r="Q1116" s="5">
        <v>1.1510505044866886</v>
      </c>
      <c r="R1116" s="6">
        <f>P1116/Q1116</f>
        <v>5.7090949455069975</v>
      </c>
    </row>
    <row r="1117" spans="1:18" x14ac:dyDescent="0.35">
      <c r="A1117" s="9">
        <v>1117</v>
      </c>
      <c r="B1117" s="5">
        <v>0.25</v>
      </c>
      <c r="C1117" s="5">
        <v>6000000</v>
      </c>
      <c r="D1117" s="5">
        <v>15</v>
      </c>
      <c r="E1117" s="5">
        <v>0.25</v>
      </c>
      <c r="F1117" s="5">
        <v>0.05</v>
      </c>
      <c r="G1117" s="12">
        <f>(C1117*$U$4)/($U$5*$U$3)</f>
        <v>88.16326530612244</v>
      </c>
      <c r="H1117" s="11">
        <f>G1117*COS(RADIANS(D1117))</f>
        <v>85.159174889158663</v>
      </c>
      <c r="I1117" s="11">
        <f>G1117*SIN(RADIANS(D1117))</f>
        <v>22.818332139650806</v>
      </c>
      <c r="J1117" s="12">
        <v>0.1913</v>
      </c>
      <c r="K1117" s="11">
        <v>67</v>
      </c>
      <c r="L1117" s="12">
        <f>-(F1117*G1117*$U$3)/J1117</f>
        <v>-23.043195323084799</v>
      </c>
      <c r="M1117" s="11">
        <f>ABS(L1117/$U$6)</f>
        <v>6.7181327472550428E-2</v>
      </c>
      <c r="N1117" s="12">
        <f>L1117*SIN(RADIANS(K1117))</f>
        <v>-21.211373133952133</v>
      </c>
      <c r="O1117" s="12">
        <f>L1117*COS(RADIANS(K1117))</f>
        <v>-9.0036937125876779</v>
      </c>
      <c r="P1117" s="5">
        <v>2.1728631915806704</v>
      </c>
      <c r="Q1117" s="5">
        <v>0.51028605796020654</v>
      </c>
      <c r="R1117" s="6">
        <f>P1117/Q1117</f>
        <v>4.2581276867848823</v>
      </c>
    </row>
    <row r="1118" spans="1:18" x14ac:dyDescent="0.35">
      <c r="A1118" s="9">
        <v>1118</v>
      </c>
      <c r="B1118" s="5">
        <v>1</v>
      </c>
      <c r="C1118" s="5">
        <v>2000000</v>
      </c>
      <c r="D1118" s="5">
        <v>10</v>
      </c>
      <c r="E1118" s="5">
        <v>0</v>
      </c>
      <c r="F1118" s="5">
        <v>0.15</v>
      </c>
      <c r="G1118" s="12">
        <f>(C1118*$U$4)/($U$5*$U$3)</f>
        <v>29.387755102040813</v>
      </c>
      <c r="H1118" s="11">
        <f>G1118*COS(RADIANS(D1118))</f>
        <v>28.941289068113864</v>
      </c>
      <c r="I1118" s="11">
        <f>G1118*SIN(RADIANS(D1118))</f>
        <v>5.1031301191914213</v>
      </c>
      <c r="J1118" s="11">
        <v>0.33379999999999999</v>
      </c>
      <c r="K1118" s="12">
        <v>0</v>
      </c>
      <c r="L1118" s="12">
        <f>-(F1118*G1118*$U$3)/J1118</f>
        <v>-13.206001393966813</v>
      </c>
      <c r="M1118" s="11">
        <f>ABS(L1118/$U$6)</f>
        <v>3.8501461789990712E-2</v>
      </c>
      <c r="N1118" s="12">
        <f>L1118*SIN(RADIANS(K1118))</f>
        <v>0</v>
      </c>
      <c r="O1118" s="12">
        <f>L1118*COS(RADIANS(K1118))</f>
        <v>-13.206001393966813</v>
      </c>
      <c r="P1118" s="5">
        <v>1.9573014268821376</v>
      </c>
      <c r="Q1118" s="5">
        <v>1.4135547196484779</v>
      </c>
      <c r="R1118" s="6">
        <f>P1118/Q1118</f>
        <v>1.3846661892005698</v>
      </c>
    </row>
    <row r="1119" spans="1:18" x14ac:dyDescent="0.35">
      <c r="A1119" s="9">
        <v>1119</v>
      </c>
      <c r="B1119" s="5">
        <v>0.75</v>
      </c>
      <c r="C1119" s="5">
        <v>2000000</v>
      </c>
      <c r="D1119" s="5">
        <v>30</v>
      </c>
      <c r="E1119" s="5">
        <v>0.25</v>
      </c>
      <c r="F1119" s="5">
        <v>3.5000000000000003E-2</v>
      </c>
      <c r="G1119" s="12">
        <f>(C1119*$U$4)/($U$5*$U$3)</f>
        <v>29.387755102040813</v>
      </c>
      <c r="H1119" s="11">
        <f>G1119*COS(RADIANS(D1119))</f>
        <v>25.450542478563094</v>
      </c>
      <c r="I1119" s="11">
        <f>G1119*SIN(RADIANS(D1119))</f>
        <v>14.693877551020405</v>
      </c>
      <c r="J1119" s="12">
        <v>0.28370000000000001</v>
      </c>
      <c r="K1119" s="11">
        <v>38</v>
      </c>
      <c r="L1119" s="12">
        <f>-(F1119*G1119*$U$3)/J1119</f>
        <v>-3.6255601994058106</v>
      </c>
      <c r="M1119" s="11">
        <f>ABS(L1119/$U$6)</f>
        <v>1.05701463539528E-2</v>
      </c>
      <c r="N1119" s="12">
        <f>L1119*SIN(RADIANS(K1119))</f>
        <v>-2.2321177412481692</v>
      </c>
      <c r="O1119" s="12">
        <f>L1119*COS(RADIANS(K1119))</f>
        <v>-2.8569804249803097</v>
      </c>
      <c r="P1119" s="5">
        <v>2.9784039522092889</v>
      </c>
      <c r="Q1119" s="5">
        <v>1.3909992883006892</v>
      </c>
      <c r="R1119" s="6">
        <f>P1119/Q1119</f>
        <v>2.1411973228597758</v>
      </c>
    </row>
    <row r="1120" spans="1:18" x14ac:dyDescent="0.35">
      <c r="A1120" s="9">
        <v>1120</v>
      </c>
      <c r="B1120" s="5">
        <v>0.75</v>
      </c>
      <c r="C1120" s="5">
        <v>6000000</v>
      </c>
      <c r="D1120" s="5">
        <v>15</v>
      </c>
      <c r="E1120" s="5">
        <v>0</v>
      </c>
      <c r="F1120" s="5">
        <v>0.1</v>
      </c>
      <c r="G1120" s="12">
        <f>(C1120*$U$4)/($U$5*$U$3)</f>
        <v>88.16326530612244</v>
      </c>
      <c r="H1120" s="11">
        <f>G1120*COS(RADIANS(D1120))</f>
        <v>85.159174889158663</v>
      </c>
      <c r="I1120" s="11">
        <f>G1120*SIN(RADIANS(D1120))</f>
        <v>22.818332139650806</v>
      </c>
      <c r="J1120" s="11">
        <v>0.27929999999999999</v>
      </c>
      <c r="K1120" s="12">
        <v>0</v>
      </c>
      <c r="L1120" s="12">
        <f>-(F1120*G1120*$U$3)/J1120</f>
        <v>-31.565794953856944</v>
      </c>
      <c r="M1120" s="11">
        <f>ABS(L1120/$U$6)</f>
        <v>9.2028556716784088E-2</v>
      </c>
      <c r="N1120" s="12">
        <f>L1120*SIN(RADIANS(K1120))</f>
        <v>0</v>
      </c>
      <c r="O1120" s="12">
        <f>L1120*COS(RADIANS(K1120))</f>
        <v>-31.565794953856944</v>
      </c>
      <c r="P1120" s="5">
        <v>3.7503855926893888</v>
      </c>
      <c r="Q1120" s="5">
        <v>0.95759933978765099</v>
      </c>
      <c r="R1120" s="6">
        <f>P1120/Q1120</f>
        <v>3.9164454661393586</v>
      </c>
    </row>
    <row r="1121" spans="1:18" x14ac:dyDescent="0.35">
      <c r="A1121" s="9">
        <v>1121</v>
      </c>
      <c r="B1121" s="5">
        <v>1</v>
      </c>
      <c r="C1121" s="5">
        <v>6000000</v>
      </c>
      <c r="D1121" s="5">
        <v>0</v>
      </c>
      <c r="E1121" s="5">
        <v>0.375</v>
      </c>
      <c r="F1121" s="5">
        <v>0.05</v>
      </c>
      <c r="G1121" s="12">
        <f>(C1121*$U$4)/($U$5*$U$3)</f>
        <v>88.16326530612244</v>
      </c>
      <c r="H1121" s="11">
        <f>G1121*COS(RADIANS(D1121))</f>
        <v>88.16326530612244</v>
      </c>
      <c r="I1121" s="11">
        <f>G1121*SIN(RADIANS(D1121))</f>
        <v>0</v>
      </c>
      <c r="J1121" s="12">
        <v>0.33379999999999999</v>
      </c>
      <c r="K1121" s="11">
        <v>49</v>
      </c>
      <c r="L1121" s="12">
        <f>-(F1121*G1121*$U$3)/J1121</f>
        <v>-13.206001393966813</v>
      </c>
      <c r="M1121" s="11">
        <f>ABS(L1121/$U$6)</f>
        <v>3.8501461789990712E-2</v>
      </c>
      <c r="N1121" s="12">
        <f>L1121*SIN(RADIANS(K1121))</f>
        <v>-9.9666957684620368</v>
      </c>
      <c r="O1121" s="12">
        <f>L1121*COS(RADIANS(K1121))</f>
        <v>-8.6639164513731526</v>
      </c>
      <c r="P1121" s="5">
        <v>4.8578939540318382</v>
      </c>
      <c r="Q1121" s="5">
        <v>-0.6002583710296826</v>
      </c>
      <c r="R1121" s="6">
        <f>P1121/Q1121</f>
        <v>-8.0930049266928368</v>
      </c>
    </row>
    <row r="1122" spans="1:18" x14ac:dyDescent="0.35">
      <c r="A1122" s="9">
        <v>1122</v>
      </c>
      <c r="B1122" s="5">
        <v>0.1</v>
      </c>
      <c r="C1122" s="5">
        <v>2000000</v>
      </c>
      <c r="D1122" s="5">
        <v>30</v>
      </c>
      <c r="E1122" s="5">
        <v>0</v>
      </c>
      <c r="F1122" s="5">
        <v>3.5000000000000003E-2</v>
      </c>
      <c r="G1122" s="12">
        <f>(C1122*$U$4)/($U$5*$U$3)</f>
        <v>29.387755102040813</v>
      </c>
      <c r="H1122" s="11">
        <f>G1122*COS(RADIANS(D1122))</f>
        <v>25.450542478563094</v>
      </c>
      <c r="I1122" s="11">
        <f>G1122*SIN(RADIANS(D1122))</f>
        <v>14.693877551020405</v>
      </c>
      <c r="J1122" s="11">
        <v>0.16569999999999999</v>
      </c>
      <c r="K1122" s="12">
        <v>0</v>
      </c>
      <c r="L1122" s="12">
        <f>-(F1122*G1122*$U$3)/J1122</f>
        <v>-6.2074316751444085</v>
      </c>
      <c r="M1122" s="11">
        <f>ABS(L1122/$U$6)</f>
        <v>1.8097468440654251E-2</v>
      </c>
      <c r="N1122" s="12">
        <f>L1122*SIN(RADIANS(K1122))</f>
        <v>0</v>
      </c>
      <c r="O1122" s="12">
        <f>L1122*COS(RADIANS(K1122))</f>
        <v>-6.2074316751444085</v>
      </c>
      <c r="P1122" s="5">
        <v>1.1280199173131678</v>
      </c>
      <c r="Q1122" s="5">
        <v>0.83771439950233761</v>
      </c>
      <c r="R1122" s="6">
        <f>P1122/Q1122</f>
        <v>1.3465447388552618</v>
      </c>
    </row>
    <row r="1123" spans="1:18" x14ac:dyDescent="0.35">
      <c r="A1123" s="9">
        <v>1123</v>
      </c>
      <c r="B1123" s="5">
        <v>1</v>
      </c>
      <c r="C1123" s="5">
        <v>4000000</v>
      </c>
      <c r="D1123" s="5">
        <v>20</v>
      </c>
      <c r="E1123" s="5">
        <v>0</v>
      </c>
      <c r="F1123" s="5">
        <v>0.05</v>
      </c>
      <c r="G1123" s="12">
        <f>(C1123*$U$4)/($U$5*$U$3)</f>
        <v>58.775510204081627</v>
      </c>
      <c r="H1123" s="11">
        <f>G1123*COS(RADIANS(D1123))</f>
        <v>55.230913221702366</v>
      </c>
      <c r="I1123" s="11">
        <f>G1123*SIN(RADIANS(D1123))</f>
        <v>20.102408424039304</v>
      </c>
      <c r="J1123" s="11">
        <v>0.33379999999999999</v>
      </c>
      <c r="K1123" s="12">
        <v>0</v>
      </c>
      <c r="L1123" s="12">
        <f>-(F1123*G1123*$U$3)/J1123</f>
        <v>-8.8040009293112096</v>
      </c>
      <c r="M1123" s="11">
        <f>ABS(L1123/$U$6)</f>
        <v>2.566764119332714E-2</v>
      </c>
      <c r="N1123" s="12">
        <f>L1123*SIN(RADIANS(K1123))</f>
        <v>0</v>
      </c>
      <c r="O1123" s="12">
        <f>L1123*COS(RADIANS(K1123))</f>
        <v>-8.8040009293112096</v>
      </c>
      <c r="P1123" s="5">
        <v>1.0969587984573441</v>
      </c>
      <c r="Q1123" s="5">
        <v>1.8879105012038462</v>
      </c>
      <c r="R1123" s="6">
        <f>P1123/Q1123</f>
        <v>0.58104385655880231</v>
      </c>
    </row>
    <row r="1124" spans="1:18" x14ac:dyDescent="0.35">
      <c r="A1124" s="9">
        <v>1124</v>
      </c>
      <c r="B1124" s="5">
        <v>1</v>
      </c>
      <c r="C1124" s="5">
        <v>2000000</v>
      </c>
      <c r="D1124" s="5">
        <v>0</v>
      </c>
      <c r="E1124" s="5">
        <v>0.25</v>
      </c>
      <c r="F1124" s="5">
        <v>7.4999999999999997E-2</v>
      </c>
      <c r="G1124" s="12">
        <f>(C1124*$U$4)/($U$5*$U$3)</f>
        <v>29.387755102040813</v>
      </c>
      <c r="H1124" s="11">
        <f>G1124*COS(RADIANS(D1124))</f>
        <v>29.387755102040813</v>
      </c>
      <c r="I1124" s="11">
        <f>G1124*SIN(RADIANS(D1124))</f>
        <v>0</v>
      </c>
      <c r="J1124" s="13">
        <v>0.33379999999999999</v>
      </c>
      <c r="K1124" s="12">
        <v>30</v>
      </c>
      <c r="L1124" s="12">
        <f>-(F1124*G1124*$U$3)/J1124</f>
        <v>-6.6030006969834067</v>
      </c>
      <c r="M1124" s="11">
        <f>ABS(L1124/$U$6)</f>
        <v>1.9250730894995356E-2</v>
      </c>
      <c r="N1124" s="12">
        <f>L1124*SIN(RADIANS(K1124))</f>
        <v>-3.3015003484917029</v>
      </c>
      <c r="O1124" s="12">
        <f>L1124*COS(RADIANS(K1124))</f>
        <v>-5.718366344793985</v>
      </c>
      <c r="P1124" s="5">
        <v>4.5718240617077708</v>
      </c>
      <c r="Q1124" s="5">
        <v>-0.51481161254365493</v>
      </c>
      <c r="R1124" s="6">
        <f>P1124/Q1124</f>
        <v>-8.8805767980225774</v>
      </c>
    </row>
    <row r="1125" spans="1:18" x14ac:dyDescent="0.35">
      <c r="A1125" s="9">
        <v>1125</v>
      </c>
      <c r="B1125" s="5">
        <v>1</v>
      </c>
      <c r="C1125" s="5">
        <v>6000000</v>
      </c>
      <c r="D1125" s="5">
        <v>10</v>
      </c>
      <c r="E1125" s="5">
        <v>0.25</v>
      </c>
      <c r="F1125" s="5">
        <v>3.5000000000000003E-2</v>
      </c>
      <c r="G1125" s="12">
        <f>(C1125*$U$4)/($U$5*$U$3)</f>
        <v>88.16326530612244</v>
      </c>
      <c r="H1125" s="11">
        <f>G1125*COS(RADIANS(D1125))</f>
        <v>86.823867204341596</v>
      </c>
      <c r="I1125" s="11">
        <f>G1125*SIN(RADIANS(D1125))</f>
        <v>15.309390357574264</v>
      </c>
      <c r="J1125" s="13">
        <v>0.33379999999999999</v>
      </c>
      <c r="K1125" s="12">
        <v>30</v>
      </c>
      <c r="L1125" s="12">
        <f>-(F1125*G1125*$U$3)/J1125</f>
        <v>-9.2442009757767707</v>
      </c>
      <c r="M1125" s="11">
        <f>ABS(L1125/$U$6)</f>
        <v>2.6951023252993502E-2</v>
      </c>
      <c r="N1125" s="12">
        <f>L1125*SIN(RADIANS(K1125))</f>
        <v>-4.6221004878883845</v>
      </c>
      <c r="O1125" s="12">
        <f>L1125*COS(RADIANS(K1125))</f>
        <v>-8.0057128827115793</v>
      </c>
      <c r="P1125" s="5">
        <v>3.6702513489615236</v>
      </c>
      <c r="Q1125" s="5">
        <v>0.76643312781944517</v>
      </c>
      <c r="R1125" s="6">
        <f>P1125/Q1125</f>
        <v>4.7887430954395729</v>
      </c>
    </row>
    <row r="1126" spans="1:18" x14ac:dyDescent="0.35">
      <c r="A1126" s="9">
        <v>1126</v>
      </c>
      <c r="B1126" s="5">
        <v>0.5</v>
      </c>
      <c r="C1126" s="5">
        <v>4000000</v>
      </c>
      <c r="D1126" s="5">
        <v>5</v>
      </c>
      <c r="E1126" s="5">
        <v>0</v>
      </c>
      <c r="F1126" s="5">
        <v>0.1</v>
      </c>
      <c r="G1126" s="12">
        <f>(C1126*$U$4)/($U$5*$U$3)</f>
        <v>58.775510204081627</v>
      </c>
      <c r="H1126" s="11">
        <f>G1126*COS(RADIANS(D1126))</f>
        <v>58.551851642943404</v>
      </c>
      <c r="I1126" s="11">
        <f>G1126*SIN(RADIANS(D1126))</f>
        <v>5.1226232472092956</v>
      </c>
      <c r="J1126" s="12">
        <v>0.23230000000000001</v>
      </c>
      <c r="K1126" s="12">
        <v>0</v>
      </c>
      <c r="L1126" s="12">
        <f>-(F1126*G1126*$U$3)/J1126</f>
        <v>-25.30155411282033</v>
      </c>
      <c r="M1126" s="11">
        <f>ABS(L1126/$U$6)</f>
        <v>7.3765463885773555E-2</v>
      </c>
      <c r="N1126" s="12">
        <f>L1126*SIN(RADIANS(K1126))</f>
        <v>0</v>
      </c>
      <c r="O1126" s="12">
        <f>L1126*COS(RADIANS(K1126))</f>
        <v>-25.30155411282033</v>
      </c>
      <c r="P1126" s="5">
        <v>4.4925793851040963</v>
      </c>
      <c r="Q1126" s="5">
        <v>0.3007964922915411</v>
      </c>
      <c r="R1126" s="6">
        <f>P1126/Q1126</f>
        <v>14.935610953700058</v>
      </c>
    </row>
    <row r="1127" spans="1:18" x14ac:dyDescent="0.35">
      <c r="A1127" s="9">
        <v>1127</v>
      </c>
      <c r="B1127" s="5">
        <v>0.1</v>
      </c>
      <c r="C1127" s="5">
        <v>2000000</v>
      </c>
      <c r="D1127" s="5">
        <v>15</v>
      </c>
      <c r="E1127" s="5">
        <v>0.25</v>
      </c>
      <c r="F1127" s="5">
        <v>3.5000000000000003E-2</v>
      </c>
      <c r="G1127" s="12">
        <f>(C1127*$U$4)/($U$5*$U$3)</f>
        <v>29.387755102040813</v>
      </c>
      <c r="H1127" s="11">
        <f>G1127*COS(RADIANS(D1127))</f>
        <v>28.386391629719554</v>
      </c>
      <c r="I1127" s="11">
        <f>G1127*SIN(RADIANS(D1127))</f>
        <v>7.6061107132169354</v>
      </c>
      <c r="J1127" s="11">
        <v>0.1661</v>
      </c>
      <c r="K1127" s="12">
        <v>80</v>
      </c>
      <c r="L1127" s="12">
        <f>-(F1127*G1127*$U$3)/J1127</f>
        <v>-6.1924830136750657</v>
      </c>
      <c r="M1127" s="11">
        <f>ABS(L1127/$U$6)</f>
        <v>1.8053886337245091E-2</v>
      </c>
      <c r="N1127" s="12">
        <f>L1127*SIN(RADIANS(K1127))</f>
        <v>-6.0984052822636077</v>
      </c>
      <c r="O1127" s="12">
        <f>L1127*COS(RADIANS(K1127))</f>
        <v>-1.0753133905580965</v>
      </c>
      <c r="P1127" s="5">
        <v>1.6083979991840478</v>
      </c>
      <c r="Q1127" s="5">
        <v>0.62852510475595458</v>
      </c>
      <c r="R1127" s="6">
        <f>P1127/Q1127</f>
        <v>2.5590035895361107</v>
      </c>
    </row>
    <row r="1128" spans="1:18" x14ac:dyDescent="0.35">
      <c r="A1128" s="9">
        <v>1128</v>
      </c>
      <c r="B1128" s="5">
        <v>0.25</v>
      </c>
      <c r="C1128" s="5">
        <v>2000000</v>
      </c>
      <c r="D1128" s="5">
        <v>10</v>
      </c>
      <c r="E1128" s="5">
        <v>0</v>
      </c>
      <c r="F1128" s="5">
        <v>0.1</v>
      </c>
      <c r="G1128" s="12">
        <f>(C1128*$U$4)/($U$5*$U$3)</f>
        <v>29.387755102040813</v>
      </c>
      <c r="H1128" s="11">
        <f>G1128*COS(RADIANS(D1128))</f>
        <v>28.941289068113864</v>
      </c>
      <c r="I1128" s="11">
        <f>G1128*SIN(RADIANS(D1128))</f>
        <v>5.1031301191914213</v>
      </c>
      <c r="J1128" s="12">
        <v>0.18990000000000001</v>
      </c>
      <c r="K1128" s="12">
        <v>0</v>
      </c>
      <c r="L1128" s="12">
        <f>-(F1128*G1128*$U$3)/J1128</f>
        <v>-15.47538446658284</v>
      </c>
      <c r="M1128" s="11">
        <f>ABS(L1128/$U$6)</f>
        <v>4.511773896962927E-2</v>
      </c>
      <c r="N1128" s="12">
        <f>L1128*SIN(RADIANS(K1128))</f>
        <v>0</v>
      </c>
      <c r="O1128" s="12">
        <f>L1128*COS(RADIANS(K1128))</f>
        <v>-15.47538446658284</v>
      </c>
      <c r="P1128" s="5">
        <v>2.3722608956016726</v>
      </c>
      <c r="Q1128" s="5">
        <v>0.33495812270577574</v>
      </c>
      <c r="R1128" s="6">
        <f>P1128/Q1128</f>
        <v>7.0822611389109253</v>
      </c>
    </row>
    <row r="1129" spans="1:18" x14ac:dyDescent="0.35">
      <c r="A1129" s="9">
        <v>1129</v>
      </c>
      <c r="B1129" s="5">
        <v>0.75</v>
      </c>
      <c r="C1129" s="5">
        <v>2000000</v>
      </c>
      <c r="D1129" s="5">
        <v>15</v>
      </c>
      <c r="E1129" s="5">
        <v>0.25</v>
      </c>
      <c r="F1129" s="5">
        <v>3.5000000000000003E-2</v>
      </c>
      <c r="G1129" s="12">
        <f>(C1129*$U$4)/($U$5*$U$3)</f>
        <v>29.387755102040813</v>
      </c>
      <c r="H1129" s="11">
        <f>G1129*COS(RADIANS(D1129))</f>
        <v>28.386391629719554</v>
      </c>
      <c r="I1129" s="11">
        <f>G1129*SIN(RADIANS(D1129))</f>
        <v>7.6061107132169354</v>
      </c>
      <c r="J1129" s="12">
        <v>0.28370000000000001</v>
      </c>
      <c r="K1129" s="11">
        <v>38</v>
      </c>
      <c r="L1129" s="12">
        <f>-(F1129*G1129*$U$3)/J1129</f>
        <v>-3.6255601994058106</v>
      </c>
      <c r="M1129" s="11">
        <f>ABS(L1129/$U$6)</f>
        <v>1.05701463539528E-2</v>
      </c>
      <c r="N1129" s="12">
        <f>L1129*SIN(RADIANS(K1129))</f>
        <v>-2.2321177412481692</v>
      </c>
      <c r="O1129" s="12">
        <f>L1129*COS(RADIANS(K1129))</f>
        <v>-2.8569804249803097</v>
      </c>
      <c r="P1129" s="5">
        <v>3.427325630931477</v>
      </c>
      <c r="Q1129" s="5">
        <v>0.55082309523245465</v>
      </c>
      <c r="R1129" s="6">
        <f>P1129/Q1129</f>
        <v>6.2221894118021686</v>
      </c>
    </row>
    <row r="1130" spans="1:18" x14ac:dyDescent="0.35">
      <c r="A1130" s="9">
        <v>1130</v>
      </c>
      <c r="B1130" s="5">
        <v>0.75</v>
      </c>
      <c r="C1130" s="5">
        <v>4000000</v>
      </c>
      <c r="D1130" s="5">
        <v>20</v>
      </c>
      <c r="E1130" s="5">
        <v>0</v>
      </c>
      <c r="F1130" s="5">
        <v>1.4999999999999999E-2</v>
      </c>
      <c r="G1130" s="12">
        <f>(C1130*$U$4)/($U$5*$U$3)</f>
        <v>58.775510204081627</v>
      </c>
      <c r="H1130" s="11">
        <f>G1130*COS(RADIANS(D1130))</f>
        <v>55.230913221702366</v>
      </c>
      <c r="I1130" s="11">
        <f>G1130*SIN(RADIANS(D1130))</f>
        <v>20.102408424039304</v>
      </c>
      <c r="J1130" s="11">
        <v>0.27929999999999999</v>
      </c>
      <c r="K1130" s="12">
        <v>0</v>
      </c>
      <c r="L1130" s="12">
        <f>-(F1130*G1130*$U$3)/J1130</f>
        <v>-3.1565794953856945</v>
      </c>
      <c r="M1130" s="11">
        <f>ABS(L1130/$U$6)</f>
        <v>9.2028556716784102E-3</v>
      </c>
      <c r="N1130" s="12">
        <f>L1130*SIN(RADIANS(K1130))</f>
        <v>0</v>
      </c>
      <c r="O1130" s="12">
        <f>L1130*COS(RADIANS(K1130))</f>
        <v>-3.1565794953856945</v>
      </c>
      <c r="P1130" s="5">
        <v>2.3208265092142892</v>
      </c>
      <c r="Q1130" s="5">
        <v>1.2949676994814912</v>
      </c>
      <c r="R1130" s="6">
        <f>P1130/Q1130</f>
        <v>1.7921887242002676</v>
      </c>
    </row>
    <row r="1131" spans="1:18" x14ac:dyDescent="0.35">
      <c r="A1131" s="9">
        <v>1131</v>
      </c>
      <c r="B1131" s="5">
        <v>0.1</v>
      </c>
      <c r="C1131" s="5">
        <v>2000000</v>
      </c>
      <c r="D1131" s="5">
        <v>10</v>
      </c>
      <c r="E1131" s="5">
        <v>0.25</v>
      </c>
      <c r="F1131" s="5">
        <v>0</v>
      </c>
      <c r="G1131" s="12">
        <f>(C1131*$U$4)/($U$5*$U$3)</f>
        <v>29.387755102040813</v>
      </c>
      <c r="H1131" s="11">
        <f>G1131*COS(RADIANS(D1131))</f>
        <v>28.941289068113864</v>
      </c>
      <c r="I1131" s="11">
        <f>G1131*SIN(RADIANS(D1131))</f>
        <v>5.1031301191914213</v>
      </c>
      <c r="J1131" s="11">
        <v>0.1661</v>
      </c>
      <c r="K1131" s="12">
        <v>80</v>
      </c>
      <c r="L1131" s="12">
        <f>-(F1131*G1131*$U$3)/J1131</f>
        <v>0</v>
      </c>
      <c r="M1131" s="11">
        <f>ABS(L1131/$U$6)</f>
        <v>0</v>
      </c>
      <c r="N1131" s="12">
        <f>L1131*SIN(RADIANS(K1131))</f>
        <v>0</v>
      </c>
      <c r="O1131" s="12">
        <f>L1131*COS(RADIANS(K1131))</f>
        <v>0</v>
      </c>
      <c r="P1131" s="5">
        <v>1.5713859301692739</v>
      </c>
      <c r="Q1131" s="5">
        <v>0.50727134979585031</v>
      </c>
      <c r="R1131" s="6">
        <f>P1131/Q1131</f>
        <v>3.097722610988523</v>
      </c>
    </row>
    <row r="1132" spans="1:18" x14ac:dyDescent="0.35">
      <c r="A1132" s="9">
        <v>1132</v>
      </c>
      <c r="B1132" s="5">
        <v>0.1</v>
      </c>
      <c r="C1132" s="5">
        <v>4000000</v>
      </c>
      <c r="D1132" s="5">
        <v>15</v>
      </c>
      <c r="E1132" s="5">
        <v>0.125</v>
      </c>
      <c r="F1132" s="5">
        <v>3.5000000000000003E-2</v>
      </c>
      <c r="G1132" s="12">
        <f>(C1132*$U$4)/($U$5*$U$3)</f>
        <v>58.775510204081627</v>
      </c>
      <c r="H1132" s="11">
        <f>G1132*COS(RADIANS(D1132))</f>
        <v>56.772783259439109</v>
      </c>
      <c r="I1132" s="11">
        <f>G1132*SIN(RADIANS(D1132))</f>
        <v>15.212221426433871</v>
      </c>
      <c r="J1132" s="12">
        <v>0.1658</v>
      </c>
      <c r="K1132" s="12">
        <v>69</v>
      </c>
      <c r="L1132" s="12">
        <f>-(F1132*G1132*$U$3)/J1132</f>
        <v>-12.407375495433396</v>
      </c>
      <c r="M1132" s="11">
        <f>ABS(L1132/$U$6)</f>
        <v>3.6173106400680451E-2</v>
      </c>
      <c r="N1132" s="12">
        <f>L1132*SIN(RADIANS(K1132))</f>
        <v>-11.58328290673764</v>
      </c>
      <c r="O1132" s="12">
        <f>L1132*COS(RADIANS(K1132))</f>
        <v>-4.4464057155370718</v>
      </c>
      <c r="P1132" s="5">
        <v>1.4658150372796714</v>
      </c>
      <c r="Q1132" s="5">
        <v>0.57949876447096216</v>
      </c>
      <c r="R1132" s="6">
        <f>P1132/Q1132</f>
        <v>2.5294532571054709</v>
      </c>
    </row>
    <row r="1133" spans="1:18" x14ac:dyDescent="0.35">
      <c r="A1133" s="9">
        <v>119</v>
      </c>
      <c r="B1133" s="5">
        <v>0.25</v>
      </c>
      <c r="C1133" s="5">
        <v>6000000</v>
      </c>
      <c r="D1133" s="5">
        <v>30</v>
      </c>
      <c r="E1133" s="5">
        <v>0.25</v>
      </c>
      <c r="F1133" s="5">
        <v>0.1</v>
      </c>
      <c r="G1133" s="12">
        <f>(C1133*$U$4)/($U$5*$U$3)</f>
        <v>88.16326530612244</v>
      </c>
      <c r="H1133" s="11">
        <f>G1133*COS(RADIANS(D1133))</f>
        <v>76.351627435689281</v>
      </c>
      <c r="I1133" s="11">
        <f>G1133*SIN(RADIANS(D1133))</f>
        <v>44.081632653061213</v>
      </c>
      <c r="J1133" s="12">
        <v>0.1913</v>
      </c>
      <c r="K1133" s="20">
        <v>67</v>
      </c>
      <c r="L1133" s="12">
        <f>-(F1133*G1133*$U$3)/J1133</f>
        <v>-46.086390646169598</v>
      </c>
      <c r="M1133" s="11">
        <f>ABS(L1133/$U$6)</f>
        <v>0.13436265494510086</v>
      </c>
      <c r="N1133" s="12">
        <f>L1133*SIN(RADIANS(K1133))</f>
        <v>-42.422746267904266</v>
      </c>
      <c r="O1133" s="12">
        <f>L1133*COS(RADIANS(K1133))</f>
        <v>-18.007387425175356</v>
      </c>
      <c r="P1133" s="5">
        <v>2.6223348562472379</v>
      </c>
      <c r="Q1133" s="5">
        <v>0.98744721778902966</v>
      </c>
      <c r="R1133" s="6">
        <f>P1133/Q1133</f>
        <v>2.6556709148655537</v>
      </c>
    </row>
    <row r="1134" spans="1:18" x14ac:dyDescent="0.35">
      <c r="A1134" s="9">
        <v>1134</v>
      </c>
      <c r="B1134" s="5">
        <v>0.75</v>
      </c>
      <c r="C1134" s="5">
        <v>4000000</v>
      </c>
      <c r="D1134" s="5">
        <v>0</v>
      </c>
      <c r="E1134" s="5">
        <v>0.375</v>
      </c>
      <c r="F1134" s="5">
        <v>1.4999999999999999E-2</v>
      </c>
      <c r="G1134" s="12">
        <f>(C1134*$U$4)/($U$5*$U$3)</f>
        <v>58.775510204081627</v>
      </c>
      <c r="H1134" s="11">
        <f>G1134*COS(RADIANS(D1134))</f>
        <v>58.775510204081627</v>
      </c>
      <c r="I1134" s="11">
        <f>G1134*SIN(RADIANS(D1134))</f>
        <v>0</v>
      </c>
      <c r="J1134" s="11">
        <v>0.29299999999999998</v>
      </c>
      <c r="K1134" s="12">
        <v>57</v>
      </c>
      <c r="L1134" s="12">
        <f>-(F1134*G1134*$U$3)/J1134</f>
        <v>-3.0089851640314826</v>
      </c>
      <c r="M1134" s="11">
        <f>ABS(L1134/$U$6)</f>
        <v>8.7725514986340593E-3</v>
      </c>
      <c r="N1134" s="12">
        <f>L1134*SIN(RADIANS(K1134))</f>
        <v>-2.5235472964576386</v>
      </c>
      <c r="O1134" s="12">
        <f>L1134*COS(RADIANS(K1134))</f>
        <v>-1.6388107761126396</v>
      </c>
      <c r="P1134" s="5">
        <v>4.0450960039924517</v>
      </c>
      <c r="Q1134" s="5">
        <v>-0.42216311527652389</v>
      </c>
      <c r="R1134" s="6">
        <f>P1134/Q1134</f>
        <v>-9.5818318977081791</v>
      </c>
    </row>
    <row r="1135" spans="1:18" x14ac:dyDescent="0.35">
      <c r="A1135" s="9">
        <v>1135</v>
      </c>
      <c r="B1135" s="5">
        <v>0.1</v>
      </c>
      <c r="C1135" s="5">
        <v>4000000</v>
      </c>
      <c r="D1135" s="5">
        <v>15</v>
      </c>
      <c r="E1135" s="5">
        <v>0.375</v>
      </c>
      <c r="F1135" s="5">
        <v>0.05</v>
      </c>
      <c r="G1135" s="12">
        <f>(C1135*$U$4)/($U$5*$U$3)</f>
        <v>58.775510204081627</v>
      </c>
      <c r="H1135" s="11">
        <f>G1135*COS(RADIANS(D1135))</f>
        <v>56.772783259439109</v>
      </c>
      <c r="I1135" s="11">
        <f>G1135*SIN(RADIANS(D1135))</f>
        <v>15.212221426433871</v>
      </c>
      <c r="J1135" s="12">
        <v>0.16789999999999999</v>
      </c>
      <c r="K1135" s="11">
        <v>85</v>
      </c>
      <c r="L1135" s="12">
        <f>-(F1135*G1135*$U$3)/J1135</f>
        <v>-17.503129899964751</v>
      </c>
      <c r="M1135" s="11">
        <f>ABS(L1135/$U$6)</f>
        <v>5.1029533236048835E-2</v>
      </c>
      <c r="N1135" s="12">
        <f>L1135*SIN(RADIANS(K1135))</f>
        <v>-17.436525206355988</v>
      </c>
      <c r="O1135" s="12">
        <f>L1135*COS(RADIANS(K1135))</f>
        <v>-1.5254982868401712</v>
      </c>
      <c r="P1135" s="5">
        <v>1.9081172339481387</v>
      </c>
      <c r="Q1135" s="5">
        <v>0.69514184477377061</v>
      </c>
      <c r="R1135" s="6">
        <f>P1135/Q1135</f>
        <v>2.7449322009511929</v>
      </c>
    </row>
    <row r="1136" spans="1:18" x14ac:dyDescent="0.35">
      <c r="A1136" s="9">
        <v>515</v>
      </c>
      <c r="B1136" s="5">
        <v>0.25</v>
      </c>
      <c r="C1136" s="5">
        <v>4000000</v>
      </c>
      <c r="D1136" s="5">
        <v>10</v>
      </c>
      <c r="E1136" s="5">
        <v>0.25</v>
      </c>
      <c r="F1136" s="5">
        <v>0.15</v>
      </c>
      <c r="G1136" s="12">
        <f>(C1136*$U$4)/($U$5*$U$3)</f>
        <v>58.775510204081627</v>
      </c>
      <c r="H1136" s="11">
        <f>G1136*COS(RADIANS(D1136))</f>
        <v>57.882578136227728</v>
      </c>
      <c r="I1136" s="11">
        <f>G1136*SIN(RADIANS(D1136))</f>
        <v>10.206260238382843</v>
      </c>
      <c r="J1136" s="12">
        <v>0.1913</v>
      </c>
      <c r="K1136" s="11">
        <v>67</v>
      </c>
      <c r="L1136" s="12">
        <f>-(F1136*G1136*$U$3)/J1136</f>
        <v>-46.086390646169598</v>
      </c>
      <c r="M1136" s="11">
        <f>ABS(L1136/$U$6)</f>
        <v>0.13436265494510086</v>
      </c>
      <c r="N1136" s="12">
        <f>L1136*SIN(RADIANS(K1136))</f>
        <v>-42.422746267904266</v>
      </c>
      <c r="O1136" s="12">
        <f>L1136*COS(RADIANS(K1136))</f>
        <v>-18.007387425175356</v>
      </c>
      <c r="P1136" s="5">
        <v>2.9563040600914769</v>
      </c>
      <c r="Q1136" s="5">
        <v>0.33927714529186243</v>
      </c>
      <c r="R1136" s="6">
        <f>P1136/Q1136</f>
        <v>8.7135372986834199</v>
      </c>
    </row>
    <row r="1137" spans="1:18" x14ac:dyDescent="0.35">
      <c r="A1137" s="9">
        <v>1137</v>
      </c>
      <c r="B1137" s="5">
        <v>0.75</v>
      </c>
      <c r="C1137" s="5">
        <v>2000000</v>
      </c>
      <c r="D1137" s="5">
        <v>5</v>
      </c>
      <c r="E1137" s="5">
        <v>0</v>
      </c>
      <c r="F1137" s="5">
        <v>7.4999999999999997E-2</v>
      </c>
      <c r="G1137" s="12">
        <f>(C1137*$U$4)/($U$5*$U$3)</f>
        <v>29.387755102040813</v>
      </c>
      <c r="H1137" s="11">
        <f>G1137*COS(RADIANS(D1137))</f>
        <v>29.275925821471702</v>
      </c>
      <c r="I1137" s="11">
        <f>G1137*SIN(RADIANS(D1137))</f>
        <v>2.5613116236046478</v>
      </c>
      <c r="J1137" s="11">
        <v>0.27929999999999999</v>
      </c>
      <c r="K1137" s="12">
        <v>0</v>
      </c>
      <c r="L1137" s="12">
        <f>-(F1137*G1137*$U$3)/J1137</f>
        <v>-7.891448738464236</v>
      </c>
      <c r="M1137" s="11">
        <f>ABS(L1137/$U$6)</f>
        <v>2.3007139179196022E-2</v>
      </c>
      <c r="N1137" s="12">
        <f>L1137*SIN(RADIANS(K1137))</f>
        <v>0</v>
      </c>
      <c r="O1137" s="12">
        <f>L1137*COS(RADIANS(K1137))</f>
        <v>-7.891448738464236</v>
      </c>
      <c r="P1137" s="5">
        <v>2.6253425085686244</v>
      </c>
      <c r="Q1137" s="5">
        <v>0.87986923471851319</v>
      </c>
      <c r="R1137" s="6">
        <f>P1137/Q1137</f>
        <v>2.9837871412886949</v>
      </c>
    </row>
    <row r="1138" spans="1:18" x14ac:dyDescent="0.35">
      <c r="A1138" s="9">
        <v>1138</v>
      </c>
      <c r="B1138" s="5">
        <v>0.5</v>
      </c>
      <c r="C1138" s="5">
        <v>4000000</v>
      </c>
      <c r="D1138" s="5">
        <v>10</v>
      </c>
      <c r="E1138" s="5">
        <v>0.125</v>
      </c>
      <c r="F1138" s="5">
        <v>0.1</v>
      </c>
      <c r="G1138" s="12">
        <f>(C1138*$U$4)/($U$5*$U$3)</f>
        <v>58.775510204081627</v>
      </c>
      <c r="H1138" s="11">
        <f>G1138*COS(RADIANS(D1138))</f>
        <v>57.882578136227728</v>
      </c>
      <c r="I1138" s="11">
        <f>G1138*SIN(RADIANS(D1138))</f>
        <v>10.206260238382843</v>
      </c>
      <c r="J1138" s="12">
        <v>0.23300000000000001</v>
      </c>
      <c r="K1138" s="11">
        <v>27</v>
      </c>
      <c r="L1138" s="12">
        <f>-(F1138*G1138*$U$3)/J1138</f>
        <v>-25.225540860120869</v>
      </c>
      <c r="M1138" s="11">
        <f>ABS(L1138/$U$6)</f>
        <v>7.3543850904142477E-2</v>
      </c>
      <c r="N1138" s="12">
        <f>L1138*SIN(RADIANS(K1138))</f>
        <v>-11.452155901286629</v>
      </c>
      <c r="O1138" s="12">
        <f>L1138*COS(RADIANS(K1138))</f>
        <v>-22.476121482547949</v>
      </c>
      <c r="P1138" s="5">
        <v>4.0087814609627666</v>
      </c>
      <c r="Q1138" s="5">
        <v>0.41647676397034622</v>
      </c>
      <c r="R1138" s="6">
        <f>P1138/Q1138</f>
        <v>9.6254624693736766</v>
      </c>
    </row>
    <row r="1139" spans="1:18" x14ac:dyDescent="0.35">
      <c r="A1139" s="9">
        <v>1139</v>
      </c>
      <c r="B1139" s="5">
        <v>0.5</v>
      </c>
      <c r="C1139" s="5">
        <v>2000000</v>
      </c>
      <c r="D1139" s="5">
        <v>0</v>
      </c>
      <c r="E1139" s="5">
        <v>0.25</v>
      </c>
      <c r="F1139" s="5">
        <v>0.15</v>
      </c>
      <c r="G1139" s="12">
        <f>(C1139*$U$4)/($U$5*$U$3)</f>
        <v>29.387755102040813</v>
      </c>
      <c r="H1139" s="11">
        <f>G1139*COS(RADIANS(D1139))</f>
        <v>29.387755102040813</v>
      </c>
      <c r="I1139" s="11">
        <f>G1139*SIN(RADIANS(D1139))</f>
        <v>0</v>
      </c>
      <c r="J1139" s="11">
        <v>0.23580000000000001</v>
      </c>
      <c r="K1139" s="11">
        <v>49</v>
      </c>
      <c r="L1139" s="12">
        <f>-(F1139*G1139*$U$3)/J1139</f>
        <v>-18.694500701043772</v>
      </c>
      <c r="M1139" s="11">
        <f>ABS(L1139/$U$6)</f>
        <v>5.4502917495754435E-2</v>
      </c>
      <c r="N1139" s="12">
        <f>L1139*SIN(RADIANS(K1139))</f>
        <v>-14.108918776559062</v>
      </c>
      <c r="O1139" s="12">
        <f>L1139*COS(RADIANS(K1139))</f>
        <v>-12.264695977389135</v>
      </c>
      <c r="P1139" s="5">
        <v>5.4430021466344503</v>
      </c>
      <c r="Q1139" s="5">
        <v>-0.4305773584833591</v>
      </c>
      <c r="R1139" s="6">
        <f>P1139/Q1139</f>
        <v>-12.641171300336293</v>
      </c>
    </row>
    <row r="1140" spans="1:18" x14ac:dyDescent="0.35">
      <c r="A1140" s="9">
        <v>1140</v>
      </c>
      <c r="B1140" s="5">
        <v>0.5</v>
      </c>
      <c r="C1140" s="5">
        <v>6000000</v>
      </c>
      <c r="D1140" s="5">
        <v>10</v>
      </c>
      <c r="E1140" s="5">
        <v>0.375</v>
      </c>
      <c r="F1140" s="5">
        <v>0.05</v>
      </c>
      <c r="G1140" s="12">
        <f>(C1140*$U$4)/($U$5*$U$3)</f>
        <v>88.16326530612244</v>
      </c>
      <c r="H1140" s="11">
        <f>G1140*COS(RADIANS(D1140))</f>
        <v>86.823867204341596</v>
      </c>
      <c r="I1140" s="11">
        <f>G1140*SIN(RADIANS(D1140))</f>
        <v>15.309390357574264</v>
      </c>
      <c r="J1140" s="12">
        <v>0.24809999999999999</v>
      </c>
      <c r="K1140" s="12">
        <v>67</v>
      </c>
      <c r="L1140" s="12">
        <f>-(F1140*G1140*$U$3)/J1140</f>
        <v>-17.767687486118994</v>
      </c>
      <c r="M1140" s="11">
        <f>ABS(L1140/$U$6)</f>
        <v>5.1800838151950419E-2</v>
      </c>
      <c r="N1140" s="12">
        <f>L1140*SIN(RADIANS(K1140))</f>
        <v>-16.355242565598722</v>
      </c>
      <c r="O1140" s="12">
        <f>L1140*COS(RADIANS(K1140))</f>
        <v>-6.9423885820960214</v>
      </c>
      <c r="P1140" s="5">
        <v>3.5444042066508676</v>
      </c>
      <c r="Q1140" s="5">
        <v>0.19049501024130686</v>
      </c>
      <c r="R1140" s="6">
        <f>P1140/Q1140</f>
        <v>18.606283713998828</v>
      </c>
    </row>
    <row r="1141" spans="1:18" x14ac:dyDescent="0.35">
      <c r="A1141" s="9">
        <v>1141</v>
      </c>
      <c r="B1141" s="5">
        <v>0.75</v>
      </c>
      <c r="C1141" s="5">
        <v>4000000</v>
      </c>
      <c r="D1141" s="5">
        <v>0</v>
      </c>
      <c r="E1141" s="5">
        <v>0</v>
      </c>
      <c r="F1141" s="5">
        <v>0</v>
      </c>
      <c r="G1141" s="12">
        <f>(C1141*$U$4)/($U$5*$U$3)</f>
        <v>58.775510204081627</v>
      </c>
      <c r="H1141" s="11">
        <f>G1141*COS(RADIANS(D1141))</f>
        <v>58.775510204081627</v>
      </c>
      <c r="I1141" s="11">
        <f>G1141*SIN(RADIANS(D1141))</f>
        <v>0</v>
      </c>
      <c r="J1141" s="11">
        <v>0.27929999999999999</v>
      </c>
      <c r="K1141" s="12">
        <v>0</v>
      </c>
      <c r="L1141" s="12">
        <f>-(F1141*G1141*$U$3)/J1141</f>
        <v>0</v>
      </c>
      <c r="M1141" s="11">
        <f>ABS(L1141/$U$6)</f>
        <v>0</v>
      </c>
      <c r="N1141" s="12">
        <f>L1141*SIN(RADIANS(K1141))</f>
        <v>0</v>
      </c>
      <c r="O1141" s="12">
        <f>L1141*COS(RADIANS(K1141))</f>
        <v>0</v>
      </c>
      <c r="P1141" s="5">
        <v>4.2463965211761918</v>
      </c>
      <c r="Q1141" s="5">
        <v>0.98270273004174513</v>
      </c>
      <c r="R1141" s="6">
        <f>P1141/Q1141</f>
        <v>4.3211404541389697</v>
      </c>
    </row>
    <row r="1142" spans="1:18" x14ac:dyDescent="0.35">
      <c r="A1142" s="9">
        <v>1142</v>
      </c>
      <c r="B1142" s="5">
        <v>0.1</v>
      </c>
      <c r="C1142" s="5">
        <v>4000000</v>
      </c>
      <c r="D1142" s="5">
        <v>15</v>
      </c>
      <c r="E1142" s="5">
        <v>0.375</v>
      </c>
      <c r="F1142" s="5">
        <v>7.4999999999999997E-2</v>
      </c>
      <c r="G1142" s="12">
        <f>(C1142*$U$4)/($U$5*$U$3)</f>
        <v>58.775510204081627</v>
      </c>
      <c r="H1142" s="11">
        <f>G1142*COS(RADIANS(D1142))</f>
        <v>56.772783259439109</v>
      </c>
      <c r="I1142" s="11">
        <f>G1142*SIN(RADIANS(D1142))</f>
        <v>15.212221426433871</v>
      </c>
      <c r="J1142" s="12">
        <v>0.16789999999999999</v>
      </c>
      <c r="K1142" s="11">
        <v>85</v>
      </c>
      <c r="L1142" s="12">
        <f>-(F1142*G1142*$U$3)/J1142</f>
        <v>-26.254694849947125</v>
      </c>
      <c r="M1142" s="11">
        <f>ABS(L1142/$U$6)</f>
        <v>7.6544299854073253E-2</v>
      </c>
      <c r="N1142" s="12">
        <f>L1142*SIN(RADIANS(K1142))</f>
        <v>-26.154787809533982</v>
      </c>
      <c r="O1142" s="12">
        <f>L1142*COS(RADIANS(K1142))</f>
        <v>-2.2882474302602565</v>
      </c>
      <c r="P1142" s="5">
        <v>1.949056623046993</v>
      </c>
      <c r="Q1142" s="5">
        <v>0.70132093823515007</v>
      </c>
      <c r="R1142" s="6">
        <f>P1142/Q1142</f>
        <v>2.7791222488690082</v>
      </c>
    </row>
    <row r="1143" spans="1:18" x14ac:dyDescent="0.35">
      <c r="A1143" s="9">
        <v>1143</v>
      </c>
      <c r="B1143" s="5">
        <v>0.75</v>
      </c>
      <c r="C1143" s="5">
        <v>2000000</v>
      </c>
      <c r="D1143" s="5">
        <v>20</v>
      </c>
      <c r="E1143" s="5">
        <v>0.375</v>
      </c>
      <c r="F1143" s="5">
        <v>7.4999999999999997E-2</v>
      </c>
      <c r="G1143" s="12">
        <f>(C1143*$U$4)/($U$5*$U$3)</f>
        <v>29.387755102040813</v>
      </c>
      <c r="H1143" s="11">
        <f>G1143*COS(RADIANS(D1143))</f>
        <v>27.615456610851183</v>
      </c>
      <c r="I1143" s="11">
        <f>G1143*SIN(RADIANS(D1143))</f>
        <v>10.051204212019652</v>
      </c>
      <c r="J1143" s="11">
        <v>0.29299999999999998</v>
      </c>
      <c r="K1143" s="12">
        <v>57</v>
      </c>
      <c r="L1143" s="12">
        <f>-(F1143*G1143*$U$3)/J1143</f>
        <v>-7.5224629100787066</v>
      </c>
      <c r="M1143" s="11">
        <f>ABS(L1143/$U$6)</f>
        <v>2.1931378746585149E-2</v>
      </c>
      <c r="N1143" s="12">
        <f>L1143*SIN(RADIANS(K1143))</f>
        <v>-6.3088682411440962</v>
      </c>
      <c r="O1143" s="12">
        <f>L1143*COS(RADIANS(K1143))</f>
        <v>-4.0970269402815989</v>
      </c>
      <c r="P1143" s="5">
        <v>5.3348174822740893</v>
      </c>
      <c r="Q1143" s="5">
        <v>0.64289713195933562</v>
      </c>
      <c r="R1143" s="6">
        <f>P1143/Q1143</f>
        <v>8.2980887875722011</v>
      </c>
    </row>
    <row r="1144" spans="1:18" x14ac:dyDescent="0.35">
      <c r="A1144" s="9">
        <v>1144</v>
      </c>
      <c r="B1144" s="5">
        <v>1</v>
      </c>
      <c r="C1144" s="5">
        <v>6000000</v>
      </c>
      <c r="D1144" s="5">
        <v>20</v>
      </c>
      <c r="E1144" s="5">
        <v>0</v>
      </c>
      <c r="F1144" s="5">
        <v>0</v>
      </c>
      <c r="G1144" s="12">
        <f>(C1144*$U$4)/($U$5*$U$3)</f>
        <v>88.16326530612244</v>
      </c>
      <c r="H1144" s="11">
        <f>G1144*COS(RADIANS(D1144))</f>
        <v>82.846369832553549</v>
      </c>
      <c r="I1144" s="11">
        <f>G1144*SIN(RADIANS(D1144))</f>
        <v>30.153612636058952</v>
      </c>
      <c r="J1144" s="11">
        <v>0.33379999999999999</v>
      </c>
      <c r="K1144" s="12">
        <v>0</v>
      </c>
      <c r="L1144" s="12">
        <f>-(F1144*G1144*$U$3)/J1144</f>
        <v>0</v>
      </c>
      <c r="M1144" s="11">
        <f>ABS(L1144/$U$6)</f>
        <v>0</v>
      </c>
      <c r="N1144" s="12">
        <f>L1144*SIN(RADIANS(K1144))</f>
        <v>0</v>
      </c>
      <c r="O1144" s="12">
        <f>L1144*COS(RADIANS(K1144))</f>
        <v>0</v>
      </c>
      <c r="P1144" s="5">
        <v>5.5812002882857294</v>
      </c>
      <c r="Q1144" s="5">
        <v>2.4747612769724308</v>
      </c>
      <c r="R1144" s="6">
        <f>P1144/Q1144</f>
        <v>2.2552479466276636</v>
      </c>
    </row>
    <row r="1145" spans="1:18" x14ac:dyDescent="0.35">
      <c r="A1145" s="9">
        <v>1145</v>
      </c>
      <c r="B1145" s="5">
        <v>0.75</v>
      </c>
      <c r="C1145" s="5">
        <v>4000000</v>
      </c>
      <c r="D1145" s="5">
        <v>10</v>
      </c>
      <c r="E1145" s="5">
        <v>0</v>
      </c>
      <c r="F1145" s="5">
        <v>2.5000000000000001E-2</v>
      </c>
      <c r="G1145" s="12">
        <f>(C1145*$U$4)/($U$5*$U$3)</f>
        <v>58.775510204081627</v>
      </c>
      <c r="H1145" s="11">
        <f>G1145*COS(RADIANS(D1145))</f>
        <v>57.882578136227728</v>
      </c>
      <c r="I1145" s="11">
        <f>G1145*SIN(RADIANS(D1145))</f>
        <v>10.206260238382843</v>
      </c>
      <c r="J1145" s="11">
        <v>0.27929999999999999</v>
      </c>
      <c r="K1145" s="12">
        <v>0</v>
      </c>
      <c r="L1145" s="12">
        <f>-(F1145*G1145*$U$3)/J1145</f>
        <v>-5.260965825642824</v>
      </c>
      <c r="M1145" s="11">
        <f>ABS(L1145/$U$6)</f>
        <v>1.5338092786130682E-2</v>
      </c>
      <c r="N1145" s="12">
        <f>L1145*SIN(RADIANS(K1145))</f>
        <v>0</v>
      </c>
      <c r="O1145" s="12">
        <f>L1145*COS(RADIANS(K1145))</f>
        <v>-5.260965825642824</v>
      </c>
      <c r="P1145" s="5">
        <v>2.3249598025684266</v>
      </c>
      <c r="Q1145" s="5">
        <v>1.1783903325260481</v>
      </c>
      <c r="R1145" s="6">
        <f>P1145/Q1145</f>
        <v>1.9729963310073522</v>
      </c>
    </row>
    <row r="1146" spans="1:18" x14ac:dyDescent="0.35">
      <c r="A1146" s="9">
        <v>1146</v>
      </c>
      <c r="B1146" s="5">
        <v>1</v>
      </c>
      <c r="C1146" s="5">
        <v>6000000</v>
      </c>
      <c r="D1146" s="5">
        <v>20</v>
      </c>
      <c r="E1146" s="5">
        <v>0.125</v>
      </c>
      <c r="F1146" s="5">
        <v>0.1</v>
      </c>
      <c r="G1146" s="12">
        <f>(C1146*$U$4)/($U$5*$U$3)</f>
        <v>88.16326530612244</v>
      </c>
      <c r="H1146" s="11">
        <f>G1146*COS(RADIANS(D1146))</f>
        <v>82.846369832553549</v>
      </c>
      <c r="I1146" s="11">
        <f>G1146*SIN(RADIANS(D1146))</f>
        <v>30.153612636058952</v>
      </c>
      <c r="J1146" s="11">
        <v>0.33379999999999999</v>
      </c>
      <c r="K1146" s="12">
        <v>14</v>
      </c>
      <c r="L1146" s="12">
        <f>-(F1146*G1146*$U$3)/J1146</f>
        <v>-26.412002787933627</v>
      </c>
      <c r="M1146" s="11">
        <f>ABS(L1146/$U$6)</f>
        <v>7.7002923579981425E-2</v>
      </c>
      <c r="N1146" s="12">
        <f>L1146*SIN(RADIANS(K1146))</f>
        <v>-6.3896417810406119</v>
      </c>
      <c r="O1146" s="12">
        <f>L1146*COS(RADIANS(K1146))</f>
        <v>-25.627453427521701</v>
      </c>
      <c r="P1146" s="5">
        <v>2.8813674589135219</v>
      </c>
      <c r="Q1146" s="5">
        <v>1.1556227567127466</v>
      </c>
      <c r="R1146" s="6">
        <f>P1146/Q1146</f>
        <v>2.4933460700529837</v>
      </c>
    </row>
    <row r="1147" spans="1:18" x14ac:dyDescent="0.35">
      <c r="A1147" s="9">
        <v>1147</v>
      </c>
      <c r="B1147" s="5">
        <v>1</v>
      </c>
      <c r="C1147" s="5">
        <v>2000000</v>
      </c>
      <c r="D1147" s="5">
        <v>15</v>
      </c>
      <c r="E1147" s="5">
        <v>0.25</v>
      </c>
      <c r="F1147" s="5">
        <v>2.5000000000000001E-2</v>
      </c>
      <c r="G1147" s="12">
        <f>(C1147*$U$4)/($U$5*$U$3)</f>
        <v>29.387755102040813</v>
      </c>
      <c r="H1147" s="11">
        <f>G1147*COS(RADIANS(D1147))</f>
        <v>28.386391629719554</v>
      </c>
      <c r="I1147" s="11">
        <f>G1147*SIN(RADIANS(D1147))</f>
        <v>7.6061107132169354</v>
      </c>
      <c r="J1147" s="13">
        <v>0.33379999999999999</v>
      </c>
      <c r="K1147" s="12">
        <v>30</v>
      </c>
      <c r="L1147" s="12">
        <f>-(F1147*G1147*$U$3)/J1147</f>
        <v>-2.2010002323278024</v>
      </c>
      <c r="M1147" s="11">
        <f>ABS(L1147/$U$6)</f>
        <v>6.4169102983317851E-3</v>
      </c>
      <c r="N1147" s="12">
        <f>L1147*SIN(RADIANS(K1147))</f>
        <v>-1.100500116163901</v>
      </c>
      <c r="O1147" s="12">
        <f>L1147*COS(RADIANS(K1147))</f>
        <v>-1.9061221149313285</v>
      </c>
      <c r="P1147" s="5">
        <v>4.5633977025330221</v>
      </c>
      <c r="Q1147" s="5">
        <v>0.63815428813299857</v>
      </c>
      <c r="R1147" s="6">
        <f>P1147/Q1147</f>
        <v>7.1509316593073784</v>
      </c>
    </row>
    <row r="1148" spans="1:18" x14ac:dyDescent="0.35">
      <c r="A1148" s="9">
        <v>1148</v>
      </c>
      <c r="B1148" s="5">
        <v>1</v>
      </c>
      <c r="C1148" s="5">
        <v>2000000</v>
      </c>
      <c r="D1148" s="5">
        <v>0</v>
      </c>
      <c r="E1148" s="5">
        <v>0.25</v>
      </c>
      <c r="F1148" s="5">
        <v>0.05</v>
      </c>
      <c r="G1148" s="12">
        <f>(C1148*$U$4)/($U$5*$U$3)</f>
        <v>29.387755102040813</v>
      </c>
      <c r="H1148" s="11">
        <f>G1148*COS(RADIANS(D1148))</f>
        <v>29.387755102040813</v>
      </c>
      <c r="I1148" s="11">
        <f>G1148*SIN(RADIANS(D1148))</f>
        <v>0</v>
      </c>
      <c r="J1148" s="13">
        <v>0.33379999999999999</v>
      </c>
      <c r="K1148" s="12">
        <v>30</v>
      </c>
      <c r="L1148" s="12">
        <f>-(F1148*G1148*$U$3)/J1148</f>
        <v>-4.4020004646556048</v>
      </c>
      <c r="M1148" s="11">
        <f>ABS(L1148/$U$6)</f>
        <v>1.283382059666357E-2</v>
      </c>
      <c r="N1148" s="12">
        <f>L1148*SIN(RADIANS(K1148))</f>
        <v>-2.201000232327802</v>
      </c>
      <c r="O1148" s="12">
        <f>L1148*COS(RADIANS(K1148))</f>
        <v>-3.8122442298626571</v>
      </c>
      <c r="P1148" s="5">
        <v>3.5921278784895034</v>
      </c>
      <c r="Q1148" s="5">
        <v>0.42231265159774967</v>
      </c>
      <c r="R1148" s="6">
        <f>P1148/Q1148</f>
        <v>8.5058495522198658</v>
      </c>
    </row>
    <row r="1149" spans="1:18" x14ac:dyDescent="0.35">
      <c r="A1149" s="9">
        <v>1149</v>
      </c>
      <c r="B1149" s="5">
        <v>0.5</v>
      </c>
      <c r="C1149" s="5">
        <v>6000000</v>
      </c>
      <c r="D1149" s="5">
        <v>10</v>
      </c>
      <c r="E1149" s="5">
        <v>0.25</v>
      </c>
      <c r="F1149" s="5">
        <v>2.5000000000000001E-2</v>
      </c>
      <c r="G1149" s="12">
        <f>(C1149*$U$4)/($U$5*$U$3)</f>
        <v>88.16326530612244</v>
      </c>
      <c r="H1149" s="11">
        <f>G1149*COS(RADIANS(D1149))</f>
        <v>86.823867204341596</v>
      </c>
      <c r="I1149" s="11">
        <f>G1149*SIN(RADIANS(D1149))</f>
        <v>15.309390357574264</v>
      </c>
      <c r="J1149" s="11">
        <v>0.23580000000000001</v>
      </c>
      <c r="K1149" s="11">
        <v>49</v>
      </c>
      <c r="L1149" s="12">
        <f>-(F1149*G1149*$U$3)/J1149</f>
        <v>-9.347250350521886</v>
      </c>
      <c r="M1149" s="11">
        <f>ABS(L1149/$U$6)</f>
        <v>2.7251458747877218E-2</v>
      </c>
      <c r="N1149" s="12">
        <f>L1149*SIN(RADIANS(K1149))</f>
        <v>-7.0544593882795308</v>
      </c>
      <c r="O1149" s="12">
        <f>L1149*COS(RADIANS(K1149))</f>
        <v>-6.1323479886945673</v>
      </c>
      <c r="P1149" s="5">
        <v>2.6627411824459339</v>
      </c>
      <c r="Q1149" s="5">
        <v>0.51139469053516173</v>
      </c>
      <c r="R1149" s="6">
        <f>P1149/Q1149</f>
        <v>5.2068221116246667</v>
      </c>
    </row>
    <row r="1150" spans="1:18" x14ac:dyDescent="0.35">
      <c r="A1150" s="9">
        <v>1150</v>
      </c>
      <c r="B1150" s="5">
        <v>0.5</v>
      </c>
      <c r="C1150" s="5">
        <v>4000000</v>
      </c>
      <c r="D1150" s="5">
        <v>20</v>
      </c>
      <c r="E1150" s="5">
        <v>0.375</v>
      </c>
      <c r="F1150" s="5">
        <v>7.4999999999999997E-2</v>
      </c>
      <c r="G1150" s="12">
        <f>(C1150*$U$4)/($U$5*$U$3)</f>
        <v>58.775510204081627</v>
      </c>
      <c r="H1150" s="11">
        <f>G1150*COS(RADIANS(D1150))</f>
        <v>55.230913221702366</v>
      </c>
      <c r="I1150" s="11">
        <f>G1150*SIN(RADIANS(D1150))</f>
        <v>20.102408424039304</v>
      </c>
      <c r="J1150" s="12">
        <v>0.24809999999999999</v>
      </c>
      <c r="K1150" s="12">
        <v>67</v>
      </c>
      <c r="L1150" s="12">
        <f>-(F1150*G1150*$U$3)/J1150</f>
        <v>-17.767687486118994</v>
      </c>
      <c r="M1150" s="11">
        <f>ABS(L1150/$U$6)</f>
        <v>5.1800838151950419E-2</v>
      </c>
      <c r="N1150" s="12">
        <f>L1150*SIN(RADIANS(K1150))</f>
        <v>-16.355242565598722</v>
      </c>
      <c r="O1150" s="12">
        <f>L1150*COS(RADIANS(K1150))</f>
        <v>-6.9423885820960214</v>
      </c>
      <c r="P1150" s="5">
        <v>4.0371764990486758</v>
      </c>
      <c r="Q1150" s="5">
        <v>0.62989328067884176</v>
      </c>
      <c r="R1150" s="6">
        <f>P1150/Q1150</f>
        <v>6.4093023737255521</v>
      </c>
    </row>
    <row r="1151" spans="1:18" x14ac:dyDescent="0.35">
      <c r="A1151" s="9">
        <v>1151</v>
      </c>
      <c r="B1151" s="5">
        <v>1</v>
      </c>
      <c r="C1151" s="5">
        <v>4000000</v>
      </c>
      <c r="D1151" s="5">
        <v>0</v>
      </c>
      <c r="E1151" s="5">
        <v>0.375</v>
      </c>
      <c r="F1151" s="5">
        <v>0.05</v>
      </c>
      <c r="G1151" s="12">
        <f>(C1151*$U$4)/($U$5*$U$3)</f>
        <v>58.775510204081627</v>
      </c>
      <c r="H1151" s="11">
        <f>G1151*COS(RADIANS(D1151))</f>
        <v>58.775510204081627</v>
      </c>
      <c r="I1151" s="11">
        <f>G1151*SIN(RADIANS(D1151))</f>
        <v>0</v>
      </c>
      <c r="J1151" s="12">
        <v>0.33379999999999999</v>
      </c>
      <c r="K1151" s="11">
        <v>49</v>
      </c>
      <c r="L1151" s="12">
        <f>-(F1151*G1151*$U$3)/J1151</f>
        <v>-8.8040009293112096</v>
      </c>
      <c r="M1151" s="11">
        <f>ABS(L1151/$U$6)</f>
        <v>2.566764119332714E-2</v>
      </c>
      <c r="N1151" s="12">
        <f>L1151*SIN(RADIANS(K1151))</f>
        <v>-6.6444638456413578</v>
      </c>
      <c r="O1151" s="12">
        <f>L1151*COS(RADIANS(K1151))</f>
        <v>-5.7759443009154356</v>
      </c>
      <c r="P1151" s="5">
        <v>4.8810748094005989</v>
      </c>
      <c r="Q1151" s="5">
        <v>-0.59793587598336795</v>
      </c>
      <c r="R1151" s="6">
        <f>P1151/Q1151</f>
        <v>-8.1632078044709431</v>
      </c>
    </row>
    <row r="1152" spans="1:18" x14ac:dyDescent="0.35">
      <c r="A1152" s="9">
        <v>1152</v>
      </c>
      <c r="B1152" s="5">
        <v>0.5</v>
      </c>
      <c r="C1152" s="5">
        <v>4000000</v>
      </c>
      <c r="D1152" s="5">
        <v>0</v>
      </c>
      <c r="E1152" s="5">
        <v>0.125</v>
      </c>
      <c r="F1152" s="5">
        <v>1.4999999999999999E-2</v>
      </c>
      <c r="G1152" s="12">
        <f>(C1152*$U$4)/($U$5*$U$3)</f>
        <v>58.775510204081627</v>
      </c>
      <c r="H1152" s="11">
        <f>G1152*COS(RADIANS(D1152))</f>
        <v>58.775510204081627</v>
      </c>
      <c r="I1152" s="11">
        <f>G1152*SIN(RADIANS(D1152))</f>
        <v>0</v>
      </c>
      <c r="J1152" s="12">
        <v>0.23300000000000001</v>
      </c>
      <c r="K1152" s="11">
        <v>27</v>
      </c>
      <c r="L1152" s="12">
        <f>-(F1152*G1152*$U$3)/J1152</f>
        <v>-3.7838311290181301</v>
      </c>
      <c r="M1152" s="11">
        <f>ABS(L1152/$U$6)</f>
        <v>1.1031577635621371E-2</v>
      </c>
      <c r="N1152" s="12">
        <f>L1152*SIN(RADIANS(K1152))</f>
        <v>-1.7178233851929943</v>
      </c>
      <c r="O1152" s="12">
        <f>L1152*COS(RADIANS(K1152))</f>
        <v>-3.371418222382192</v>
      </c>
      <c r="P1152" s="5">
        <v>3.5265147189228641</v>
      </c>
      <c r="Q1152" s="5">
        <v>0.20137834039726349</v>
      </c>
      <c r="R1152" s="6">
        <f>P1152/Q1152</f>
        <v>17.511886888957527</v>
      </c>
    </row>
    <row r="1153" spans="1:18" x14ac:dyDescent="0.35">
      <c r="A1153" s="9">
        <v>1153</v>
      </c>
      <c r="B1153" s="5">
        <v>0.1</v>
      </c>
      <c r="C1153" s="5">
        <v>2000000</v>
      </c>
      <c r="D1153" s="5">
        <v>0</v>
      </c>
      <c r="E1153" s="5">
        <v>0.375</v>
      </c>
      <c r="F1153" s="5">
        <v>0</v>
      </c>
      <c r="G1153" s="12">
        <f>(C1153*$U$4)/($U$5*$U$3)</f>
        <v>29.387755102040813</v>
      </c>
      <c r="H1153" s="11">
        <f>G1153*COS(RADIANS(D1153))</f>
        <v>29.387755102040813</v>
      </c>
      <c r="I1153" s="11">
        <f>G1153*SIN(RADIANS(D1153))</f>
        <v>0</v>
      </c>
      <c r="J1153" s="12">
        <v>0.16789999999999999</v>
      </c>
      <c r="K1153" s="11">
        <v>85</v>
      </c>
      <c r="L1153" s="12">
        <f>-(F1153*G1153*$U$3)/J1153</f>
        <v>0</v>
      </c>
      <c r="M1153" s="11">
        <f>ABS(L1153/$U$6)</f>
        <v>0</v>
      </c>
      <c r="N1153" s="12">
        <f>L1153*SIN(RADIANS(K1153))</f>
        <v>0</v>
      </c>
      <c r="O1153" s="12">
        <f>L1153*COS(RADIANS(K1153))</f>
        <v>0</v>
      </c>
      <c r="P1153" s="5">
        <v>1.5623894766076691</v>
      </c>
      <c r="Q1153" s="5">
        <v>0.22811644033362724</v>
      </c>
      <c r="R1153" s="6">
        <f>P1153/Q1153</f>
        <v>6.8490875726564333</v>
      </c>
    </row>
    <row r="1154" spans="1:18" x14ac:dyDescent="0.35">
      <c r="A1154" s="9">
        <v>1154</v>
      </c>
      <c r="B1154" s="5">
        <v>0.75</v>
      </c>
      <c r="C1154" s="5">
        <v>6000000</v>
      </c>
      <c r="D1154" s="5">
        <v>15</v>
      </c>
      <c r="E1154" s="5">
        <v>0.375</v>
      </c>
      <c r="F1154" s="5">
        <v>1.4999999999999999E-2</v>
      </c>
      <c r="G1154" s="12">
        <f>(C1154*$U$4)/($U$5*$U$3)</f>
        <v>88.16326530612244</v>
      </c>
      <c r="H1154" s="11">
        <f>G1154*COS(RADIANS(D1154))</f>
        <v>85.159174889158663</v>
      </c>
      <c r="I1154" s="11">
        <f>G1154*SIN(RADIANS(D1154))</f>
        <v>22.818332139650806</v>
      </c>
      <c r="J1154" s="11">
        <v>0.29299999999999998</v>
      </c>
      <c r="K1154" s="12">
        <v>57</v>
      </c>
      <c r="L1154" s="12">
        <f>-(F1154*G1154*$U$3)/J1154</f>
        <v>-4.513477746047224</v>
      </c>
      <c r="M1154" s="11">
        <f>ABS(L1154/$U$6)</f>
        <v>1.315882724795109E-2</v>
      </c>
      <c r="N1154" s="12">
        <f>L1154*SIN(RADIANS(K1154))</f>
        <v>-3.7853209446864575</v>
      </c>
      <c r="O1154" s="12">
        <f>L1154*COS(RADIANS(K1154))</f>
        <v>-2.4582161641689595</v>
      </c>
      <c r="P1154" s="5">
        <v>4.534734067324206</v>
      </c>
      <c r="Q1154" s="5">
        <v>0.38099787515512945</v>
      </c>
      <c r="R1154" s="6">
        <f>P1154/Q1154</f>
        <v>11.902255532206881</v>
      </c>
    </row>
    <row r="1155" spans="1:18" x14ac:dyDescent="0.35">
      <c r="A1155" s="9">
        <v>1155</v>
      </c>
      <c r="B1155" s="5">
        <v>0.25</v>
      </c>
      <c r="C1155" s="5">
        <v>2000000</v>
      </c>
      <c r="D1155" s="5">
        <v>10</v>
      </c>
      <c r="E1155" s="5">
        <v>0.25</v>
      </c>
      <c r="F1155" s="5">
        <v>0.15</v>
      </c>
      <c r="G1155" s="12">
        <f>(C1155*$U$4)/($U$5*$U$3)</f>
        <v>29.387755102040813</v>
      </c>
      <c r="H1155" s="11">
        <f>G1155*COS(RADIANS(D1155))</f>
        <v>28.941289068113864</v>
      </c>
      <c r="I1155" s="11">
        <f>G1155*SIN(RADIANS(D1155))</f>
        <v>5.1031301191914213</v>
      </c>
      <c r="J1155" s="12">
        <v>0.1913</v>
      </c>
      <c r="K1155" s="11">
        <v>67</v>
      </c>
      <c r="L1155" s="12">
        <f>-(F1155*G1155*$U$3)/J1155</f>
        <v>-23.043195323084799</v>
      </c>
      <c r="M1155" s="11">
        <f>ABS(L1155/$U$6)</f>
        <v>6.7181327472550428E-2</v>
      </c>
      <c r="N1155" s="12">
        <f>L1155*SIN(RADIANS(K1155))</f>
        <v>-21.211373133952133</v>
      </c>
      <c r="O1155" s="12">
        <f>L1155*COS(RADIANS(K1155))</f>
        <v>-9.0036937125876779</v>
      </c>
      <c r="P1155" s="5">
        <v>2.9519063815342554</v>
      </c>
      <c r="Q1155" s="5">
        <v>0.33905198925219288</v>
      </c>
      <c r="R1155" s="6">
        <f>P1155/Q1155</f>
        <v>8.7063532293231152</v>
      </c>
    </row>
    <row r="1156" spans="1:18" x14ac:dyDescent="0.35">
      <c r="A1156" s="9">
        <v>1156</v>
      </c>
      <c r="B1156" s="5">
        <v>0.75</v>
      </c>
      <c r="C1156" s="5">
        <v>2000000</v>
      </c>
      <c r="D1156" s="5">
        <v>15</v>
      </c>
      <c r="E1156" s="5">
        <v>0</v>
      </c>
      <c r="F1156" s="5">
        <v>0.15</v>
      </c>
      <c r="G1156" s="12">
        <f>(C1156*$U$4)/($U$5*$U$3)</f>
        <v>29.387755102040813</v>
      </c>
      <c r="H1156" s="11">
        <f>G1156*COS(RADIANS(D1156))</f>
        <v>28.386391629719554</v>
      </c>
      <c r="I1156" s="11">
        <f>G1156*SIN(RADIANS(D1156))</f>
        <v>7.6061107132169354</v>
      </c>
      <c r="J1156" s="11">
        <v>0.27929999999999999</v>
      </c>
      <c r="K1156" s="12">
        <v>0</v>
      </c>
      <c r="L1156" s="12">
        <f>-(F1156*G1156*$U$3)/J1156</f>
        <v>-15.782897476928472</v>
      </c>
      <c r="M1156" s="11">
        <f>ABS(L1156/$U$6)</f>
        <v>4.6014278358392044E-2</v>
      </c>
      <c r="N1156" s="12">
        <f>L1156*SIN(RADIANS(K1156))</f>
        <v>0</v>
      </c>
      <c r="O1156" s="12">
        <f>L1156*COS(RADIANS(K1156))</f>
        <v>-15.782897476928472</v>
      </c>
      <c r="P1156" s="5">
        <v>7.4488604445614506</v>
      </c>
      <c r="Q1156" s="5">
        <v>1.009497664254611</v>
      </c>
      <c r="R1156" s="6">
        <f>P1156/Q1156</f>
        <v>7.3787792763854601</v>
      </c>
    </row>
    <row r="1157" spans="1:18" x14ac:dyDescent="0.35">
      <c r="A1157" s="9">
        <v>1157</v>
      </c>
      <c r="B1157" s="5">
        <v>0.1</v>
      </c>
      <c r="C1157" s="5">
        <v>2000000</v>
      </c>
      <c r="D1157" s="5">
        <v>30</v>
      </c>
      <c r="E1157" s="5">
        <v>0</v>
      </c>
      <c r="F1157" s="5">
        <v>1.4999999999999999E-2</v>
      </c>
      <c r="G1157" s="12">
        <f>(C1157*$U$4)/($U$5*$U$3)</f>
        <v>29.387755102040813</v>
      </c>
      <c r="H1157" s="11">
        <f>G1157*COS(RADIANS(D1157))</f>
        <v>25.450542478563094</v>
      </c>
      <c r="I1157" s="11">
        <f>G1157*SIN(RADIANS(D1157))</f>
        <v>14.693877551020405</v>
      </c>
      <c r="J1157" s="11">
        <v>0.16569999999999999</v>
      </c>
      <c r="K1157" s="12">
        <v>0</v>
      </c>
      <c r="L1157" s="12">
        <f>-(F1157*G1157*$U$3)/J1157</f>
        <v>-2.6603278607761753</v>
      </c>
      <c r="M1157" s="11">
        <f>ABS(L1157/$U$6)</f>
        <v>7.7560579031375372E-3</v>
      </c>
      <c r="N1157" s="12">
        <f>L1157*SIN(RADIANS(K1157))</f>
        <v>0</v>
      </c>
      <c r="O1157" s="12">
        <f>L1157*COS(RADIANS(K1157))</f>
        <v>-2.6603278607761753</v>
      </c>
      <c r="P1157" s="5">
        <v>0.93017086426139939</v>
      </c>
      <c r="Q1157" s="5">
        <v>0.80043700322408351</v>
      </c>
      <c r="R1157" s="6">
        <f>P1157/Q1157</f>
        <v>1.1620787901043559</v>
      </c>
    </row>
    <row r="1158" spans="1:18" x14ac:dyDescent="0.35">
      <c r="A1158" s="9">
        <v>1158</v>
      </c>
      <c r="B1158" s="5">
        <v>0.5</v>
      </c>
      <c r="C1158" s="5">
        <v>6000000</v>
      </c>
      <c r="D1158" s="5">
        <v>15</v>
      </c>
      <c r="E1158" s="5">
        <v>0.25</v>
      </c>
      <c r="F1158" s="5">
        <v>2.5000000000000001E-2</v>
      </c>
      <c r="G1158" s="12">
        <f>(C1158*$U$4)/($U$5*$U$3)</f>
        <v>88.16326530612244</v>
      </c>
      <c r="H1158" s="11">
        <f>G1158*COS(RADIANS(D1158))</f>
        <v>85.159174889158663</v>
      </c>
      <c r="I1158" s="11">
        <f>G1158*SIN(RADIANS(D1158))</f>
        <v>22.818332139650806</v>
      </c>
      <c r="J1158" s="11">
        <v>0.23580000000000001</v>
      </c>
      <c r="K1158" s="11">
        <v>49</v>
      </c>
      <c r="L1158" s="12">
        <f>-(F1158*G1158*$U$3)/J1158</f>
        <v>-9.347250350521886</v>
      </c>
      <c r="M1158" s="11">
        <f>ABS(L1158/$U$6)</f>
        <v>2.7251458747877218E-2</v>
      </c>
      <c r="N1158" s="12">
        <f>L1158*SIN(RADIANS(K1158))</f>
        <v>-7.0544593882795308</v>
      </c>
      <c r="O1158" s="12">
        <f>L1158*COS(RADIANS(K1158))</f>
        <v>-6.1323479886945673</v>
      </c>
      <c r="P1158" s="5">
        <v>3.6636612862073918</v>
      </c>
      <c r="Q1158" s="5">
        <v>0.59403578961311554</v>
      </c>
      <c r="R1158" s="6">
        <f>P1158/Q1158</f>
        <v>6.1674083451999859</v>
      </c>
    </row>
    <row r="1159" spans="1:18" x14ac:dyDescent="0.35">
      <c r="A1159" s="9">
        <v>1159</v>
      </c>
      <c r="B1159" s="5">
        <v>0.5</v>
      </c>
      <c r="C1159" s="5">
        <v>6000000</v>
      </c>
      <c r="D1159" s="5">
        <v>10</v>
      </c>
      <c r="E1159" s="5">
        <v>0.375</v>
      </c>
      <c r="F1159" s="5">
        <v>1.4999999999999999E-2</v>
      </c>
      <c r="G1159" s="12">
        <f>(C1159*$U$4)/($U$5*$U$3)</f>
        <v>88.16326530612244</v>
      </c>
      <c r="H1159" s="11">
        <f>G1159*COS(RADIANS(D1159))</f>
        <v>86.823867204341596</v>
      </c>
      <c r="I1159" s="11">
        <f>G1159*SIN(RADIANS(D1159))</f>
        <v>15.309390357574264</v>
      </c>
      <c r="J1159" s="12">
        <v>0.24809999999999999</v>
      </c>
      <c r="K1159" s="12">
        <v>67</v>
      </c>
      <c r="L1159" s="12">
        <f>-(F1159*G1159*$U$3)/J1159</f>
        <v>-5.3303062458356978</v>
      </c>
      <c r="M1159" s="11">
        <f>ABS(L1159/$U$6)</f>
        <v>1.5540251445585124E-2</v>
      </c>
      <c r="N1159" s="12">
        <f>L1159*SIN(RADIANS(K1159))</f>
        <v>-4.9065727696796166</v>
      </c>
      <c r="O1159" s="12">
        <f>L1159*COS(RADIANS(K1159))</f>
        <v>-2.0827165746288063</v>
      </c>
      <c r="P1159" s="5">
        <v>3.2495254253070684</v>
      </c>
      <c r="Q1159" s="5">
        <v>0.26138908199304833</v>
      </c>
      <c r="R1159" s="6">
        <f>P1159/Q1159</f>
        <v>12.431756523761347</v>
      </c>
    </row>
    <row r="1160" spans="1:18" x14ac:dyDescent="0.35">
      <c r="A1160" s="9">
        <v>808</v>
      </c>
      <c r="B1160" s="5">
        <v>0.25</v>
      </c>
      <c r="C1160" s="5">
        <v>6000000</v>
      </c>
      <c r="D1160" s="5">
        <v>5</v>
      </c>
      <c r="E1160" s="5">
        <v>0.25</v>
      </c>
      <c r="F1160" s="5">
        <v>0.1</v>
      </c>
      <c r="G1160" s="12">
        <f>(C1160*$U$4)/($U$5*$U$3)</f>
        <v>88.16326530612244</v>
      </c>
      <c r="H1160" s="11">
        <f>G1160*COS(RADIANS(D1160))</f>
        <v>87.827777464415107</v>
      </c>
      <c r="I1160" s="11">
        <f>G1160*SIN(RADIANS(D1160))</f>
        <v>7.6839348708139434</v>
      </c>
      <c r="J1160" s="12">
        <v>0.1913</v>
      </c>
      <c r="K1160" s="11">
        <v>67</v>
      </c>
      <c r="L1160" s="12">
        <f>-(F1160*G1160*$U$3)/J1160</f>
        <v>-46.086390646169598</v>
      </c>
      <c r="M1160" s="11">
        <f>ABS(L1160/$U$6)</f>
        <v>0.13436265494510086</v>
      </c>
      <c r="N1160" s="12">
        <f>L1160*SIN(RADIANS(K1160))</f>
        <v>-42.422746267904266</v>
      </c>
      <c r="O1160" s="12">
        <f>L1160*COS(RADIANS(K1160))</f>
        <v>-18.007387425175356</v>
      </c>
      <c r="P1160" s="5">
        <v>2.3769182600287233</v>
      </c>
      <c r="Q1160" s="5">
        <v>0.2528751266965269</v>
      </c>
      <c r="R1160" s="6">
        <f>P1160/Q1160</f>
        <v>9.3995731849152602</v>
      </c>
    </row>
    <row r="1161" spans="1:18" x14ac:dyDescent="0.35">
      <c r="A1161" s="9">
        <v>1161</v>
      </c>
      <c r="B1161" s="5">
        <v>0.1</v>
      </c>
      <c r="C1161" s="5">
        <v>4000000</v>
      </c>
      <c r="D1161" s="5">
        <v>15</v>
      </c>
      <c r="E1161" s="5">
        <v>0.25</v>
      </c>
      <c r="F1161" s="5">
        <v>3.5000000000000003E-2</v>
      </c>
      <c r="G1161" s="12">
        <f>(C1161*$U$4)/($U$5*$U$3)</f>
        <v>58.775510204081627</v>
      </c>
      <c r="H1161" s="11">
        <f>G1161*COS(RADIANS(D1161))</f>
        <v>56.772783259439109</v>
      </c>
      <c r="I1161" s="11">
        <f>G1161*SIN(RADIANS(D1161))</f>
        <v>15.212221426433871</v>
      </c>
      <c r="J1161" s="11">
        <v>0.1661</v>
      </c>
      <c r="K1161" s="12">
        <v>80</v>
      </c>
      <c r="L1161" s="12">
        <f>-(F1161*G1161*$U$3)/J1161</f>
        <v>-12.384966027350131</v>
      </c>
      <c r="M1161" s="11">
        <f>ABS(L1161/$U$6)</f>
        <v>3.6107772674490182E-2</v>
      </c>
      <c r="N1161" s="12">
        <f>L1161*SIN(RADIANS(K1161))</f>
        <v>-12.196810564527215</v>
      </c>
      <c r="O1161" s="12">
        <f>L1161*COS(RADIANS(K1161))</f>
        <v>-2.150626781116193</v>
      </c>
      <c r="P1161" s="5">
        <v>1.6011270375245961</v>
      </c>
      <c r="Q1161" s="5">
        <v>0.63123329832591279</v>
      </c>
      <c r="R1161" s="6">
        <f>P1161/Q1161</f>
        <v>2.5365059824488476</v>
      </c>
    </row>
    <row r="1162" spans="1:18" x14ac:dyDescent="0.35">
      <c r="A1162" s="9">
        <v>1162</v>
      </c>
      <c r="B1162" s="5">
        <v>1</v>
      </c>
      <c r="C1162" s="5">
        <v>2000000</v>
      </c>
      <c r="D1162" s="5">
        <v>30</v>
      </c>
      <c r="E1162" s="5">
        <v>0.25</v>
      </c>
      <c r="F1162" s="5">
        <v>1.4999999999999999E-2</v>
      </c>
      <c r="G1162" s="12">
        <f>(C1162*$U$4)/($U$5*$U$3)</f>
        <v>29.387755102040813</v>
      </c>
      <c r="H1162" s="11">
        <f>G1162*COS(RADIANS(D1162))</f>
        <v>25.450542478563094</v>
      </c>
      <c r="I1162" s="11">
        <f>G1162*SIN(RADIANS(D1162))</f>
        <v>14.693877551020405</v>
      </c>
      <c r="J1162" s="13">
        <v>0.33379999999999999</v>
      </c>
      <c r="K1162" s="12">
        <v>30</v>
      </c>
      <c r="L1162" s="12">
        <f>-(F1162*G1162*$U$3)/J1162</f>
        <v>-1.3206001393966813</v>
      </c>
      <c r="M1162" s="11">
        <f>ABS(L1162/$U$6)</f>
        <v>3.8501461789990708E-3</v>
      </c>
      <c r="N1162" s="12">
        <f>L1162*SIN(RADIANS(K1162))</f>
        <v>-0.66030006969834054</v>
      </c>
      <c r="O1162" s="12">
        <f>L1162*COS(RADIANS(K1162))</f>
        <v>-1.143673268958797</v>
      </c>
      <c r="P1162" s="5">
        <v>3.2261399406727183</v>
      </c>
      <c r="Q1162" s="5">
        <v>1.7005900066069031</v>
      </c>
      <c r="R1162" s="6">
        <f>P1162/Q1162</f>
        <v>1.8970709742730194</v>
      </c>
    </row>
    <row r="1163" spans="1:18" x14ac:dyDescent="0.35">
      <c r="A1163" s="9">
        <v>1378</v>
      </c>
      <c r="B1163" s="5">
        <v>0.25</v>
      </c>
      <c r="C1163" s="5">
        <v>4000000</v>
      </c>
      <c r="D1163" s="5">
        <v>5</v>
      </c>
      <c r="E1163" s="5">
        <v>0.25</v>
      </c>
      <c r="F1163" s="5">
        <v>0.15</v>
      </c>
      <c r="G1163" s="12">
        <f>(C1163*$U$4)/($U$5*$U$3)</f>
        <v>58.775510204081627</v>
      </c>
      <c r="H1163" s="11">
        <f>G1163*COS(RADIANS(D1163))</f>
        <v>58.551851642943404</v>
      </c>
      <c r="I1163" s="11">
        <f>G1163*SIN(RADIANS(D1163))</f>
        <v>5.1226232472092956</v>
      </c>
      <c r="J1163" s="12">
        <v>0.1913</v>
      </c>
      <c r="K1163" s="20">
        <v>67</v>
      </c>
      <c r="L1163" s="12">
        <f>-(F1163*G1163*$U$3)/J1163</f>
        <v>-46.086390646169598</v>
      </c>
      <c r="M1163" s="11">
        <f>ABS(L1163/$U$6)</f>
        <v>0.13436265494510086</v>
      </c>
      <c r="N1163" s="12">
        <f>L1163*SIN(RADIANS(K1163))</f>
        <v>-42.422746267904266</v>
      </c>
      <c r="O1163" s="12">
        <f>L1163*COS(RADIANS(K1163))</f>
        <v>-18.007387425175356</v>
      </c>
      <c r="P1163" s="5">
        <v>2.8674762476767994</v>
      </c>
      <c r="Q1163" s="5">
        <v>0.16004813772966078</v>
      </c>
      <c r="R1163" s="6">
        <f>P1163/Q1163</f>
        <v>17.916336224544441</v>
      </c>
    </row>
    <row r="1164" spans="1:18" x14ac:dyDescent="0.35">
      <c r="A1164" s="9">
        <v>1164</v>
      </c>
      <c r="B1164" s="5">
        <v>0.25</v>
      </c>
      <c r="C1164" s="5">
        <v>2000000</v>
      </c>
      <c r="D1164" s="5">
        <v>20</v>
      </c>
      <c r="E1164" s="5">
        <v>0.25</v>
      </c>
      <c r="F1164" s="5">
        <v>0.1</v>
      </c>
      <c r="G1164" s="12">
        <f>(C1164*$U$4)/($U$5*$U$3)</f>
        <v>29.387755102040813</v>
      </c>
      <c r="H1164" s="11">
        <f>G1164*COS(RADIANS(D1164))</f>
        <v>27.615456610851183</v>
      </c>
      <c r="I1164" s="11">
        <f>G1164*SIN(RADIANS(D1164))</f>
        <v>10.051204212019652</v>
      </c>
      <c r="J1164" s="12">
        <v>0.1913</v>
      </c>
      <c r="K1164" s="11">
        <v>67</v>
      </c>
      <c r="L1164" s="12">
        <f>-(F1164*G1164*$U$3)/J1164</f>
        <v>-15.362130215389866</v>
      </c>
      <c r="M1164" s="11">
        <f>ABS(L1164/$U$6)</f>
        <v>4.4787551648366959E-2</v>
      </c>
      <c r="N1164" s="12">
        <f>L1164*SIN(RADIANS(K1164))</f>
        <v>-14.140915422634755</v>
      </c>
      <c r="O1164" s="12">
        <f>L1164*COS(RADIANS(K1164))</f>
        <v>-6.0024624750584517</v>
      </c>
      <c r="P1164" s="5">
        <v>2.5258031046226876</v>
      </c>
      <c r="Q1164" s="5">
        <v>0.67997538325463003</v>
      </c>
      <c r="R1164" s="6">
        <f>P1164/Q1164</f>
        <v>3.7145508011381221</v>
      </c>
    </row>
    <row r="1165" spans="1:18" x14ac:dyDescent="0.35">
      <c r="A1165" s="9">
        <v>1165</v>
      </c>
      <c r="B1165" s="5">
        <v>0.1</v>
      </c>
      <c r="C1165" s="5">
        <v>2000000</v>
      </c>
      <c r="D1165" s="5">
        <v>20</v>
      </c>
      <c r="E1165" s="5">
        <v>0.125</v>
      </c>
      <c r="F1165" s="5">
        <v>0.05</v>
      </c>
      <c r="G1165" s="12">
        <f>(C1165*$U$4)/($U$5*$U$3)</f>
        <v>29.387755102040813</v>
      </c>
      <c r="H1165" s="11">
        <f>G1165*COS(RADIANS(D1165))</f>
        <v>27.615456610851183</v>
      </c>
      <c r="I1165" s="11">
        <f>G1165*SIN(RADIANS(D1165))</f>
        <v>10.051204212019652</v>
      </c>
      <c r="J1165" s="12">
        <v>0.1658</v>
      </c>
      <c r="K1165" s="12">
        <v>69</v>
      </c>
      <c r="L1165" s="12">
        <f>-(F1165*G1165*$U$3)/J1165</f>
        <v>-8.8624110681667112</v>
      </c>
      <c r="M1165" s="11">
        <f>ABS(L1165/$U$6)</f>
        <v>2.5837933143343182E-2</v>
      </c>
      <c r="N1165" s="12">
        <f>L1165*SIN(RADIANS(K1165))</f>
        <v>-8.2737735048125991</v>
      </c>
      <c r="O1165" s="12">
        <f>L1165*COS(RADIANS(K1165))</f>
        <v>-3.1760040825264797</v>
      </c>
      <c r="P1165" s="5">
        <v>1.4470826403763211</v>
      </c>
      <c r="Q1165" s="5">
        <v>0.71352250765200531</v>
      </c>
      <c r="R1165" s="6">
        <f>P1165/Q1165</f>
        <v>2.028082681145194</v>
      </c>
    </row>
    <row r="1166" spans="1:18" x14ac:dyDescent="0.35">
      <c r="A1166" s="9">
        <v>1166</v>
      </c>
      <c r="B1166" s="5">
        <v>0.75</v>
      </c>
      <c r="C1166" s="5">
        <v>4000000</v>
      </c>
      <c r="D1166" s="5">
        <v>15</v>
      </c>
      <c r="E1166" s="5">
        <v>0</v>
      </c>
      <c r="F1166" s="5">
        <v>2.5000000000000001E-2</v>
      </c>
      <c r="G1166" s="12">
        <f>(C1166*$U$4)/($U$5*$U$3)</f>
        <v>58.775510204081627</v>
      </c>
      <c r="H1166" s="11">
        <f>G1166*COS(RADIANS(D1166))</f>
        <v>56.772783259439109</v>
      </c>
      <c r="I1166" s="11">
        <f>G1166*SIN(RADIANS(D1166))</f>
        <v>15.212221426433871</v>
      </c>
      <c r="J1166" s="11">
        <v>0.27929999999999999</v>
      </c>
      <c r="K1166" s="12">
        <v>0</v>
      </c>
      <c r="L1166" s="12">
        <f>-(F1166*G1166*$U$3)/J1166</f>
        <v>-5.260965825642824</v>
      </c>
      <c r="M1166" s="11">
        <f>ABS(L1166/$U$6)</f>
        <v>1.5338092786130682E-2</v>
      </c>
      <c r="N1166" s="12">
        <f>L1166*SIN(RADIANS(K1166))</f>
        <v>0</v>
      </c>
      <c r="O1166" s="12">
        <f>L1166*COS(RADIANS(K1166))</f>
        <v>-5.260965825642824</v>
      </c>
      <c r="P1166" s="5">
        <v>1.5881904675773251</v>
      </c>
      <c r="Q1166" s="5">
        <v>1.3415198755702651</v>
      </c>
      <c r="R1166" s="6">
        <f>P1166/Q1166</f>
        <v>1.1838739749585918</v>
      </c>
    </row>
    <row r="1167" spans="1:18" x14ac:dyDescent="0.35">
      <c r="A1167" s="9">
        <v>1167</v>
      </c>
      <c r="B1167" s="5">
        <v>0.1</v>
      </c>
      <c r="C1167" s="5">
        <v>2000000</v>
      </c>
      <c r="D1167" s="5">
        <v>20</v>
      </c>
      <c r="E1167" s="5">
        <v>0</v>
      </c>
      <c r="F1167" s="5">
        <v>2.5000000000000001E-2</v>
      </c>
      <c r="G1167" s="12">
        <f>(C1167*$U$4)/($U$5*$U$3)</f>
        <v>29.387755102040813</v>
      </c>
      <c r="H1167" s="11">
        <f>G1167*COS(RADIANS(D1167))</f>
        <v>27.615456610851183</v>
      </c>
      <c r="I1167" s="11">
        <f>G1167*SIN(RADIANS(D1167))</f>
        <v>10.051204212019652</v>
      </c>
      <c r="J1167" s="11">
        <v>0.16569999999999999</v>
      </c>
      <c r="K1167" s="12">
        <v>0</v>
      </c>
      <c r="L1167" s="12">
        <f>-(F1167*G1167*$U$3)/J1167</f>
        <v>-4.4338797679602919</v>
      </c>
      <c r="M1167" s="11">
        <f>ABS(L1167/$U$6)</f>
        <v>1.2926763171895894E-2</v>
      </c>
      <c r="N1167" s="12">
        <f>L1167*SIN(RADIANS(K1167))</f>
        <v>0</v>
      </c>
      <c r="O1167" s="12">
        <f>L1167*COS(RADIANS(K1167))</f>
        <v>-4.4338797679602919</v>
      </c>
      <c r="P1167" s="5">
        <v>1.2829323951063918</v>
      </c>
      <c r="Q1167" s="5">
        <v>0.61313508260058769</v>
      </c>
      <c r="R1167" s="6">
        <f>P1167/Q1167</f>
        <v>2.0924139419080143</v>
      </c>
    </row>
    <row r="1168" spans="1:18" x14ac:dyDescent="0.35">
      <c r="A1168" s="9">
        <v>1168</v>
      </c>
      <c r="B1168" s="5">
        <v>0.25</v>
      </c>
      <c r="C1168" s="5">
        <v>2000000</v>
      </c>
      <c r="D1168" s="5">
        <v>15</v>
      </c>
      <c r="E1168" s="5">
        <v>0</v>
      </c>
      <c r="F1168" s="5">
        <v>7.4999999999999997E-2</v>
      </c>
      <c r="G1168" s="12">
        <f>(C1168*$U$4)/($U$5*$U$3)</f>
        <v>29.387755102040813</v>
      </c>
      <c r="H1168" s="11">
        <f>G1168*COS(RADIANS(D1168))</f>
        <v>28.386391629719554</v>
      </c>
      <c r="I1168" s="11">
        <f>G1168*SIN(RADIANS(D1168))</f>
        <v>7.6061107132169354</v>
      </c>
      <c r="J1168" s="12">
        <v>0.18990000000000001</v>
      </c>
      <c r="K1168" s="12">
        <v>0</v>
      </c>
      <c r="L1168" s="12">
        <f>-(F1168*G1168*$U$3)/J1168</f>
        <v>-11.606538349937129</v>
      </c>
      <c r="M1168" s="11">
        <f>ABS(L1168/$U$6)</f>
        <v>3.3838304227221949E-2</v>
      </c>
      <c r="N1168" s="12">
        <f>L1168*SIN(RADIANS(K1168))</f>
        <v>0</v>
      </c>
      <c r="O1168" s="12">
        <f>L1168*COS(RADIANS(K1168))</f>
        <v>-11.606538349937129</v>
      </c>
      <c r="P1168" s="5">
        <v>2.4410160010154978</v>
      </c>
      <c r="Q1168" s="5">
        <v>0.50853119932521229</v>
      </c>
      <c r="R1168" s="6">
        <f>P1168/Q1168</f>
        <v>4.8001302658609077</v>
      </c>
    </row>
    <row r="1169" spans="1:18" x14ac:dyDescent="0.35">
      <c r="A1169" s="9">
        <v>1757</v>
      </c>
      <c r="B1169" s="5">
        <v>0.25</v>
      </c>
      <c r="C1169" s="5">
        <v>6000000</v>
      </c>
      <c r="D1169" s="5">
        <v>0</v>
      </c>
      <c r="E1169" s="5">
        <v>0.25</v>
      </c>
      <c r="F1169" s="5">
        <v>0.1</v>
      </c>
      <c r="G1169" s="12">
        <f>(C1169*$U$4)/($U$5*$U$3)</f>
        <v>88.16326530612244</v>
      </c>
      <c r="H1169" s="11">
        <f>G1169*COS(RADIANS(D1169))</f>
        <v>88.16326530612244</v>
      </c>
      <c r="I1169" s="11">
        <f>G1169*SIN(RADIANS(D1169))</f>
        <v>0</v>
      </c>
      <c r="J1169" s="12">
        <v>0.1913</v>
      </c>
      <c r="K1169" s="20">
        <v>67</v>
      </c>
      <c r="L1169" s="12">
        <f>-(F1169*G1169*$U$3)/J1169</f>
        <v>-46.086390646169598</v>
      </c>
      <c r="M1169" s="11">
        <f>ABS(L1169/$U$6)</f>
        <v>0.13436265494510086</v>
      </c>
      <c r="N1169" s="12">
        <f>L1169*SIN(RADIANS(K1169))</f>
        <v>-42.422746267904266</v>
      </c>
      <c r="O1169" s="12">
        <f>L1169*COS(RADIANS(K1169))</f>
        <v>-18.007387425175356</v>
      </c>
      <c r="P1169" s="5">
        <v>2.2845513882041404</v>
      </c>
      <c r="Q1169" s="5">
        <v>8.1164860212448578E-2</v>
      </c>
      <c r="R1169" s="6">
        <f>P1169/Q1169</f>
        <v>28.147050117801466</v>
      </c>
    </row>
    <row r="1170" spans="1:18" x14ac:dyDescent="0.35">
      <c r="A1170" s="9">
        <v>1170</v>
      </c>
      <c r="B1170" s="5">
        <v>1</v>
      </c>
      <c r="C1170" s="5">
        <v>2000000</v>
      </c>
      <c r="D1170" s="5">
        <v>0</v>
      </c>
      <c r="E1170" s="5">
        <v>0.125</v>
      </c>
      <c r="F1170" s="5">
        <v>0</v>
      </c>
      <c r="G1170" s="12">
        <f>(C1170*$U$4)/($U$5*$U$3)</f>
        <v>29.387755102040813</v>
      </c>
      <c r="H1170" s="11">
        <f>G1170*COS(RADIANS(D1170))</f>
        <v>29.387755102040813</v>
      </c>
      <c r="I1170" s="11">
        <f>G1170*SIN(RADIANS(D1170))</f>
        <v>0</v>
      </c>
      <c r="J1170" s="11">
        <v>0.33379999999999999</v>
      </c>
      <c r="K1170" s="12">
        <v>14</v>
      </c>
      <c r="L1170" s="12">
        <f>-(F1170*G1170*$U$3)/J1170</f>
        <v>0</v>
      </c>
      <c r="M1170" s="11">
        <f>ABS(L1170/$U$6)</f>
        <v>0</v>
      </c>
      <c r="N1170" s="12">
        <f>L1170*SIN(RADIANS(K1170))</f>
        <v>0</v>
      </c>
      <c r="O1170" s="12">
        <f>L1170*COS(RADIANS(K1170))</f>
        <v>0</v>
      </c>
      <c r="P1170" s="5">
        <v>6.3001679154186396</v>
      </c>
      <c r="Q1170" s="5">
        <v>1.120798029624422</v>
      </c>
      <c r="R1170" s="6">
        <f>P1170/Q1170</f>
        <v>5.6211447101935201</v>
      </c>
    </row>
    <row r="1171" spans="1:18" x14ac:dyDescent="0.35">
      <c r="A1171" s="9">
        <v>2203</v>
      </c>
      <c r="B1171" s="5">
        <v>0.25</v>
      </c>
      <c r="C1171" s="5">
        <v>4000000</v>
      </c>
      <c r="D1171" s="5">
        <v>20</v>
      </c>
      <c r="E1171" s="5">
        <v>0.25</v>
      </c>
      <c r="F1171" s="5">
        <v>0.15</v>
      </c>
      <c r="G1171" s="12">
        <f>(C1171*$U$4)/($U$5*$U$3)</f>
        <v>58.775510204081627</v>
      </c>
      <c r="H1171" s="11">
        <f>G1171*COS(RADIANS(D1171))</f>
        <v>55.230913221702366</v>
      </c>
      <c r="I1171" s="11">
        <f>G1171*SIN(RADIANS(D1171))</f>
        <v>20.102408424039304</v>
      </c>
      <c r="J1171" s="12">
        <v>0.1913</v>
      </c>
      <c r="K1171" s="11">
        <v>67</v>
      </c>
      <c r="L1171" s="12">
        <f>-(F1171*G1171*$U$3)/J1171</f>
        <v>-46.086390646169598</v>
      </c>
      <c r="M1171" s="11">
        <f>ABS(L1171/$U$6)</f>
        <v>0.13436265494510086</v>
      </c>
      <c r="N1171" s="12">
        <f>L1171*SIN(RADIANS(K1171))</f>
        <v>-42.422746267904266</v>
      </c>
      <c r="O1171" s="12">
        <f>L1171*COS(RADIANS(K1171))</f>
        <v>-18.007387425175356</v>
      </c>
      <c r="P1171" s="5">
        <v>3.0615070838116112</v>
      </c>
      <c r="Q1171" s="5">
        <v>0.7053514062371613</v>
      </c>
      <c r="R1171" s="6">
        <f>P1171/Q1171</f>
        <v>4.3403997734176718</v>
      </c>
    </row>
    <row r="1172" spans="1:18" x14ac:dyDescent="0.35">
      <c r="A1172" s="9">
        <v>1172</v>
      </c>
      <c r="B1172" s="5">
        <v>0.75</v>
      </c>
      <c r="C1172" s="5">
        <v>6000000</v>
      </c>
      <c r="D1172" s="5">
        <v>15</v>
      </c>
      <c r="E1172" s="5">
        <v>0</v>
      </c>
      <c r="F1172" s="5">
        <v>2.5000000000000001E-2</v>
      </c>
      <c r="G1172" s="12">
        <f>(C1172*$U$4)/($U$5*$U$3)</f>
        <v>88.16326530612244</v>
      </c>
      <c r="H1172" s="11">
        <f>G1172*COS(RADIANS(D1172))</f>
        <v>85.159174889158663</v>
      </c>
      <c r="I1172" s="11">
        <f>G1172*SIN(RADIANS(D1172))</f>
        <v>22.818332139650806</v>
      </c>
      <c r="J1172" s="11">
        <v>0.27929999999999999</v>
      </c>
      <c r="K1172" s="12">
        <v>0</v>
      </c>
      <c r="L1172" s="12">
        <f>-(F1172*G1172*$U$3)/J1172</f>
        <v>-7.891448738464236</v>
      </c>
      <c r="M1172" s="11">
        <f>ABS(L1172/$U$6)</f>
        <v>2.3007139179196022E-2</v>
      </c>
      <c r="N1172" s="12">
        <f>L1172*SIN(RADIANS(K1172))</f>
        <v>0</v>
      </c>
      <c r="O1172" s="12">
        <f>L1172*COS(RADIANS(K1172))</f>
        <v>-7.891448738464236</v>
      </c>
      <c r="P1172" s="5">
        <v>1.307606933433858</v>
      </c>
      <c r="Q1172" s="5">
        <v>1.4716794334744658</v>
      </c>
      <c r="R1172" s="6">
        <f>P1172/Q1172</f>
        <v>0.8885134246571269</v>
      </c>
    </row>
    <row r="1173" spans="1:18" x14ac:dyDescent="0.35">
      <c r="A1173" s="9">
        <v>1173</v>
      </c>
      <c r="B1173" s="5">
        <v>0.75</v>
      </c>
      <c r="C1173" s="5">
        <v>6000000</v>
      </c>
      <c r="D1173" s="5">
        <v>5</v>
      </c>
      <c r="E1173" s="5">
        <v>0.25</v>
      </c>
      <c r="F1173" s="5">
        <v>2.5000000000000001E-2</v>
      </c>
      <c r="G1173" s="12">
        <f>(C1173*$U$4)/($U$5*$U$3)</f>
        <v>88.16326530612244</v>
      </c>
      <c r="H1173" s="11">
        <f>G1173*COS(RADIANS(D1173))</f>
        <v>87.827777464415107</v>
      </c>
      <c r="I1173" s="11">
        <f>G1173*SIN(RADIANS(D1173))</f>
        <v>7.6839348708139434</v>
      </c>
      <c r="J1173" s="12">
        <v>0.28370000000000001</v>
      </c>
      <c r="K1173" s="11">
        <v>38</v>
      </c>
      <c r="L1173" s="12">
        <f>-(F1173*G1173*$U$3)/J1173</f>
        <v>-7.769057570155308</v>
      </c>
      <c r="M1173" s="11">
        <f>ABS(L1173/$U$6)</f>
        <v>2.2650313615613142E-2</v>
      </c>
      <c r="N1173" s="12">
        <f>L1173*SIN(RADIANS(K1173))</f>
        <v>-4.7831094455317906</v>
      </c>
      <c r="O1173" s="12">
        <f>L1173*COS(RADIANS(K1173))</f>
        <v>-6.1221009106720921</v>
      </c>
      <c r="P1173" s="5">
        <v>4.3336213385983484</v>
      </c>
      <c r="Q1173" s="5">
        <v>5.1846211196802522E-2</v>
      </c>
      <c r="R1173" s="6">
        <f>P1173/Q1173</f>
        <v>83.586075791505721</v>
      </c>
    </row>
    <row r="1174" spans="1:18" x14ac:dyDescent="0.35">
      <c r="A1174" s="9">
        <v>1174</v>
      </c>
      <c r="B1174" s="5">
        <v>0.25</v>
      </c>
      <c r="C1174" s="5">
        <v>4000000</v>
      </c>
      <c r="D1174" s="5">
        <v>15</v>
      </c>
      <c r="E1174" s="5">
        <v>0.125</v>
      </c>
      <c r="F1174" s="5">
        <v>0.05</v>
      </c>
      <c r="G1174" s="12">
        <f>(C1174*$U$4)/($U$5*$U$3)</f>
        <v>58.775510204081627</v>
      </c>
      <c r="H1174" s="11">
        <f>G1174*COS(RADIANS(D1174))</f>
        <v>56.772783259439109</v>
      </c>
      <c r="I1174" s="11">
        <f>G1174*SIN(RADIANS(D1174))</f>
        <v>15.212221426433871</v>
      </c>
      <c r="J1174" s="11">
        <v>0.19020000000000001</v>
      </c>
      <c r="K1174" s="12">
        <v>46</v>
      </c>
      <c r="L1174" s="12">
        <f>-(F1174*G1174*$U$3)/J1174</f>
        <v>-15.450975342818513</v>
      </c>
      <c r="M1174" s="11">
        <f>ABS(L1174/$U$6)</f>
        <v>4.5046575343494204E-2</v>
      </c>
      <c r="N1174" s="12">
        <f>L1174*SIN(RADIANS(K1174))</f>
        <v>-11.114501518140489</v>
      </c>
      <c r="O1174" s="12">
        <f>L1174*COS(RADIANS(K1174))</f>
        <v>-10.733149353644455</v>
      </c>
      <c r="P1174" s="5">
        <v>2.2919323519126844</v>
      </c>
      <c r="Q1174" s="5">
        <v>0.56035338967111359</v>
      </c>
      <c r="R1174" s="6">
        <f>P1174/Q1174</f>
        <v>4.0901552380327013</v>
      </c>
    </row>
    <row r="1175" spans="1:18" x14ac:dyDescent="0.35">
      <c r="A1175" s="9">
        <v>1175</v>
      </c>
      <c r="B1175" s="5">
        <v>1</v>
      </c>
      <c r="C1175" s="5">
        <v>6000000</v>
      </c>
      <c r="D1175" s="5">
        <v>30</v>
      </c>
      <c r="E1175" s="5">
        <v>0.25</v>
      </c>
      <c r="F1175" s="5">
        <v>0</v>
      </c>
      <c r="G1175" s="12">
        <f>(C1175*$U$4)/($U$5*$U$3)</f>
        <v>88.16326530612244</v>
      </c>
      <c r="H1175" s="11">
        <f>G1175*COS(RADIANS(D1175))</f>
        <v>76.351627435689281</v>
      </c>
      <c r="I1175" s="11">
        <f>G1175*SIN(RADIANS(D1175))</f>
        <v>44.081632653061213</v>
      </c>
      <c r="J1175" s="13">
        <v>0.33379999999999999</v>
      </c>
      <c r="K1175" s="12">
        <v>30</v>
      </c>
      <c r="L1175" s="12">
        <f>-(F1175*G1175*$U$3)/J1175</f>
        <v>0</v>
      </c>
      <c r="M1175" s="11">
        <f>ABS(L1175/$U$6)</f>
        <v>0</v>
      </c>
      <c r="N1175" s="12">
        <f>L1175*SIN(RADIANS(K1175))</f>
        <v>0</v>
      </c>
      <c r="O1175" s="12">
        <f>L1175*COS(RADIANS(K1175))</f>
        <v>0</v>
      </c>
      <c r="P1175" s="5">
        <v>6.2511066713370722</v>
      </c>
      <c r="Q1175" s="5">
        <v>3.1861861836011922</v>
      </c>
      <c r="R1175" s="6">
        <f>P1175/Q1175</f>
        <v>1.9619401727088492</v>
      </c>
    </row>
    <row r="1176" spans="1:18" x14ac:dyDescent="0.35">
      <c r="A1176" s="9">
        <v>1176</v>
      </c>
      <c r="B1176" s="5">
        <v>0.1</v>
      </c>
      <c r="C1176" s="5">
        <v>2000000</v>
      </c>
      <c r="D1176" s="5">
        <v>10</v>
      </c>
      <c r="E1176" s="5">
        <v>0.375</v>
      </c>
      <c r="F1176" s="5">
        <v>0.1</v>
      </c>
      <c r="G1176" s="12">
        <f>(C1176*$U$4)/($U$5*$U$3)</f>
        <v>29.387755102040813</v>
      </c>
      <c r="H1176" s="11">
        <f>G1176*COS(RADIANS(D1176))</f>
        <v>28.941289068113864</v>
      </c>
      <c r="I1176" s="11">
        <f>G1176*SIN(RADIANS(D1176))</f>
        <v>5.1031301191914213</v>
      </c>
      <c r="J1176" s="12">
        <v>0.16789999999999999</v>
      </c>
      <c r="K1176" s="11">
        <v>85</v>
      </c>
      <c r="L1176" s="12">
        <f>-(F1176*G1176*$U$3)/J1176</f>
        <v>-17.503129899964751</v>
      </c>
      <c r="M1176" s="11">
        <f>ABS(L1176/$U$6)</f>
        <v>5.1029533236048835E-2</v>
      </c>
      <c r="N1176" s="12">
        <f>L1176*SIN(RADIANS(K1176))</f>
        <v>-17.436525206355988</v>
      </c>
      <c r="O1176" s="12">
        <f>L1176*COS(RADIANS(K1176))</f>
        <v>-1.5254982868401712</v>
      </c>
      <c r="P1176" s="5">
        <v>2.1377195378318832</v>
      </c>
      <c r="Q1176" s="5">
        <v>0.52772795652610094</v>
      </c>
      <c r="R1176" s="6">
        <f>P1176/Q1176</f>
        <v>4.0507983543338275</v>
      </c>
    </row>
    <row r="1177" spans="1:18" x14ac:dyDescent="0.35">
      <c r="A1177" s="9">
        <v>21</v>
      </c>
      <c r="B1177" s="5">
        <v>0.75</v>
      </c>
      <c r="C1177" s="5">
        <v>6000000</v>
      </c>
      <c r="D1177" s="5">
        <v>15</v>
      </c>
      <c r="E1177" s="5">
        <v>0.375</v>
      </c>
      <c r="F1177" s="5">
        <v>0.15</v>
      </c>
      <c r="G1177" s="12">
        <f>(C1177*$U$4)/($U$5*$U$3)</f>
        <v>88.16326530612244</v>
      </c>
      <c r="H1177" s="11">
        <f>G1177*COS(RADIANS(D1177))</f>
        <v>85.159174889158663</v>
      </c>
      <c r="I1177" s="11">
        <f>G1177*SIN(RADIANS(D1177))</f>
        <v>22.818332139650806</v>
      </c>
      <c r="J1177" s="20">
        <v>0.29299999999999998</v>
      </c>
      <c r="K1177" s="12">
        <v>57</v>
      </c>
      <c r="L1177" s="12">
        <f>-(F1177*G1177*$U$3)/J1177</f>
        <v>-45.134777460472243</v>
      </c>
      <c r="M1177" s="11">
        <f>ABS(L1177/$U$6)</f>
        <v>0.13158827247951091</v>
      </c>
      <c r="N1177" s="12">
        <f>L1177*SIN(RADIANS(K1177))</f>
        <v>-37.853209446864582</v>
      </c>
      <c r="O1177" s="12">
        <f>L1177*COS(RADIANS(K1177))</f>
        <v>-24.582161641689598</v>
      </c>
      <c r="P1177" s="5">
        <v>6.2574835026885021</v>
      </c>
      <c r="Q1177" s="5">
        <v>0.21871670502347956</v>
      </c>
      <c r="R1177" s="6">
        <f>P1177/Q1177</f>
        <v>28.609993470854235</v>
      </c>
    </row>
    <row r="1178" spans="1:18" x14ac:dyDescent="0.35">
      <c r="A1178" s="9">
        <v>1178</v>
      </c>
      <c r="B1178" s="5">
        <v>0.1</v>
      </c>
      <c r="C1178" s="5">
        <v>6000000</v>
      </c>
      <c r="D1178" s="5">
        <v>15</v>
      </c>
      <c r="E1178" s="5">
        <v>0.125</v>
      </c>
      <c r="F1178" s="5">
        <v>1.4999999999999999E-2</v>
      </c>
      <c r="G1178" s="12">
        <f>(C1178*$U$4)/($U$5*$U$3)</f>
        <v>88.16326530612244</v>
      </c>
      <c r="H1178" s="11">
        <f>G1178*COS(RADIANS(D1178))</f>
        <v>85.159174889158663</v>
      </c>
      <c r="I1178" s="11">
        <f>G1178*SIN(RADIANS(D1178))</f>
        <v>22.818332139650806</v>
      </c>
      <c r="J1178" s="12">
        <v>0.1658</v>
      </c>
      <c r="K1178" s="12">
        <v>69</v>
      </c>
      <c r="L1178" s="12">
        <f>-(F1178*G1178*$U$3)/J1178</f>
        <v>-7.9761699613500401</v>
      </c>
      <c r="M1178" s="11">
        <f>ABS(L1178/$U$6)</f>
        <v>2.3254139829008862E-2</v>
      </c>
      <c r="N1178" s="12">
        <f>L1178*SIN(RADIANS(K1178))</f>
        <v>-7.4463961543313397</v>
      </c>
      <c r="O1178" s="12">
        <f>L1178*COS(RADIANS(K1178))</f>
        <v>-2.8584036742738315</v>
      </c>
      <c r="P1178" s="5">
        <v>1.3102201008064958</v>
      </c>
      <c r="Q1178" s="5">
        <v>0.5589623570661072</v>
      </c>
      <c r="R1178" s="6">
        <f>P1178/Q1178</f>
        <v>2.3440220691847751</v>
      </c>
    </row>
    <row r="1179" spans="1:18" x14ac:dyDescent="0.35">
      <c r="A1179" s="9">
        <v>1179</v>
      </c>
      <c r="B1179" s="5">
        <v>0.75</v>
      </c>
      <c r="C1179" s="5">
        <v>6000000</v>
      </c>
      <c r="D1179" s="5">
        <v>30</v>
      </c>
      <c r="E1179" s="5">
        <v>0.25</v>
      </c>
      <c r="F1179" s="5">
        <v>7.4999999999999997E-2</v>
      </c>
      <c r="G1179" s="12">
        <f>(C1179*$U$4)/($U$5*$U$3)</f>
        <v>88.16326530612244</v>
      </c>
      <c r="H1179" s="11">
        <f>G1179*COS(RADIANS(D1179))</f>
        <v>76.351627435689281</v>
      </c>
      <c r="I1179" s="11">
        <f>G1179*SIN(RADIANS(D1179))</f>
        <v>44.081632653061213</v>
      </c>
      <c r="J1179" s="12">
        <v>0.28370000000000001</v>
      </c>
      <c r="K1179" s="11">
        <v>38</v>
      </c>
      <c r="L1179" s="12">
        <f>-(F1179*G1179*$U$3)/J1179</f>
        <v>-23.307172710465924</v>
      </c>
      <c r="M1179" s="11">
        <f>ABS(L1179/$U$6)</f>
        <v>6.7950940846839433E-2</v>
      </c>
      <c r="N1179" s="12">
        <f>L1179*SIN(RADIANS(K1179))</f>
        <v>-14.349328336595372</v>
      </c>
      <c r="O1179" s="12">
        <f>L1179*COS(RADIANS(K1179))</f>
        <v>-18.366302732016276</v>
      </c>
      <c r="P1179" s="5">
        <v>3.9411916015128599</v>
      </c>
      <c r="Q1179" s="5">
        <v>1.2046634182402911</v>
      </c>
      <c r="R1179" s="6">
        <f>P1179/Q1179</f>
        <v>3.2716122543755377</v>
      </c>
    </row>
    <row r="1180" spans="1:18" x14ac:dyDescent="0.35">
      <c r="A1180" s="9">
        <v>370</v>
      </c>
      <c r="B1180" s="5">
        <v>0.75</v>
      </c>
      <c r="C1180" s="5">
        <v>6000000</v>
      </c>
      <c r="D1180" s="5">
        <v>0</v>
      </c>
      <c r="E1180" s="5">
        <v>0.375</v>
      </c>
      <c r="F1180" s="5">
        <v>0.15</v>
      </c>
      <c r="G1180" s="12">
        <f>(C1180*$U$4)/($U$5*$U$3)</f>
        <v>88.16326530612244</v>
      </c>
      <c r="H1180" s="11">
        <f>G1180*COS(RADIANS(D1180))</f>
        <v>88.16326530612244</v>
      </c>
      <c r="I1180" s="11">
        <f>G1180*SIN(RADIANS(D1180))</f>
        <v>0</v>
      </c>
      <c r="J1180" s="20">
        <v>0.29299999999999998</v>
      </c>
      <c r="K1180" s="12">
        <v>57</v>
      </c>
      <c r="L1180" s="12">
        <f>-(F1180*G1180*$U$3)/J1180</f>
        <v>-45.134777460472243</v>
      </c>
      <c r="M1180" s="11">
        <f>ABS(L1180/$U$6)</f>
        <v>0.13158827247951091</v>
      </c>
      <c r="N1180" s="12">
        <f>L1180*SIN(RADIANS(K1180))</f>
        <v>-37.853209446864582</v>
      </c>
      <c r="O1180" s="12">
        <f>L1180*COS(RADIANS(K1180))</f>
        <v>-24.582161641689598</v>
      </c>
      <c r="P1180" s="5">
        <v>5.5984868984588534</v>
      </c>
      <c r="Q1180" s="5">
        <v>-0.88624127920350493</v>
      </c>
      <c r="R1180" s="6">
        <f>P1180/Q1180</f>
        <v>-6.3171136685151961</v>
      </c>
    </row>
    <row r="1181" spans="1:18" x14ac:dyDescent="0.35">
      <c r="A1181" s="9">
        <v>1181</v>
      </c>
      <c r="B1181" s="5">
        <v>1</v>
      </c>
      <c r="C1181" s="5">
        <v>2000000</v>
      </c>
      <c r="D1181" s="5">
        <v>0</v>
      </c>
      <c r="E1181" s="5">
        <v>0.125</v>
      </c>
      <c r="F1181" s="5">
        <v>0.1</v>
      </c>
      <c r="G1181" s="12">
        <f>(C1181*$U$4)/($U$5*$U$3)</f>
        <v>29.387755102040813</v>
      </c>
      <c r="H1181" s="11">
        <f>G1181*COS(RADIANS(D1181))</f>
        <v>29.387755102040813</v>
      </c>
      <c r="I1181" s="11">
        <f>G1181*SIN(RADIANS(D1181))</f>
        <v>0</v>
      </c>
      <c r="J1181" s="11">
        <v>0.33379999999999999</v>
      </c>
      <c r="K1181" s="12">
        <v>14</v>
      </c>
      <c r="L1181" s="12">
        <f>-(F1181*G1181*$U$3)/J1181</f>
        <v>-8.8040009293112096</v>
      </c>
      <c r="M1181" s="11">
        <f>ABS(L1181/$U$6)</f>
        <v>2.566764119332714E-2</v>
      </c>
      <c r="N1181" s="12">
        <f>L1181*SIN(RADIANS(K1181))</f>
        <v>-2.1298805936802041</v>
      </c>
      <c r="O1181" s="12">
        <f>L1181*COS(RADIANS(K1181))</f>
        <v>-8.5424844758405687</v>
      </c>
      <c r="P1181" s="5">
        <v>3.0268576757963039</v>
      </c>
      <c r="Q1181" s="5">
        <v>0.53548042668396878</v>
      </c>
      <c r="R1181" s="6">
        <f>P1181/Q1181</f>
        <v>5.6526018972168757</v>
      </c>
    </row>
    <row r="1182" spans="1:18" x14ac:dyDescent="0.35">
      <c r="A1182" s="9">
        <v>1182</v>
      </c>
      <c r="B1182" s="5">
        <v>0.25</v>
      </c>
      <c r="C1182" s="5">
        <v>2000000</v>
      </c>
      <c r="D1182" s="5">
        <v>15</v>
      </c>
      <c r="E1182" s="5">
        <v>0.125</v>
      </c>
      <c r="F1182" s="5">
        <v>3.5000000000000003E-2</v>
      </c>
      <c r="G1182" s="12">
        <f>(C1182*$U$4)/($U$5*$U$3)</f>
        <v>29.387755102040813</v>
      </c>
      <c r="H1182" s="11">
        <f>G1182*COS(RADIANS(D1182))</f>
        <v>28.386391629719554</v>
      </c>
      <c r="I1182" s="11">
        <f>G1182*SIN(RADIANS(D1182))</f>
        <v>7.6061107132169354</v>
      </c>
      <c r="J1182" s="11">
        <v>0.19020000000000001</v>
      </c>
      <c r="K1182" s="12">
        <v>46</v>
      </c>
      <c r="L1182" s="12">
        <f>-(F1182*G1182*$U$3)/J1182</f>
        <v>-5.40784136998648</v>
      </c>
      <c r="M1182" s="11">
        <f>ABS(L1182/$U$6)</f>
        <v>1.5766301370222974E-2</v>
      </c>
      <c r="N1182" s="12">
        <f>L1182*SIN(RADIANS(K1182))</f>
        <v>-3.8900755313491717</v>
      </c>
      <c r="O1182" s="12">
        <f>L1182*COS(RADIANS(K1182))</f>
        <v>-3.7566022737755596</v>
      </c>
      <c r="P1182" s="5">
        <v>2.1819777661309199</v>
      </c>
      <c r="Q1182" s="5">
        <v>0.56458729299534383</v>
      </c>
      <c r="R1182" s="6">
        <f>P1182/Q1182</f>
        <v>3.8647305619556596</v>
      </c>
    </row>
    <row r="1183" spans="1:18" x14ac:dyDescent="0.35">
      <c r="A1183" s="9">
        <v>1183</v>
      </c>
      <c r="B1183" s="5">
        <v>0.25</v>
      </c>
      <c r="C1183" s="5">
        <v>2000000</v>
      </c>
      <c r="D1183" s="5">
        <v>20</v>
      </c>
      <c r="E1183" s="5">
        <v>0</v>
      </c>
      <c r="F1183" s="5">
        <v>0</v>
      </c>
      <c r="G1183" s="12">
        <f>(C1183*$U$4)/($U$5*$U$3)</f>
        <v>29.387755102040813</v>
      </c>
      <c r="H1183" s="11">
        <f>G1183*COS(RADIANS(D1183))</f>
        <v>27.615456610851183</v>
      </c>
      <c r="I1183" s="11">
        <f>G1183*SIN(RADIANS(D1183))</f>
        <v>10.051204212019652</v>
      </c>
      <c r="J1183" s="12">
        <v>0.18990000000000001</v>
      </c>
      <c r="K1183" s="12">
        <v>0</v>
      </c>
      <c r="L1183" s="12">
        <f>-(F1183*G1183*$U$3)/J1183</f>
        <v>0</v>
      </c>
      <c r="M1183" s="11">
        <f>ABS(L1183/$U$6)</f>
        <v>0</v>
      </c>
      <c r="N1183" s="12">
        <f>L1183*SIN(RADIANS(K1183))</f>
        <v>0</v>
      </c>
      <c r="O1183" s="12">
        <f>L1183*COS(RADIANS(K1183))</f>
        <v>0</v>
      </c>
      <c r="P1183" s="5">
        <v>2.2663816151836422</v>
      </c>
      <c r="Q1183" s="5">
        <v>0.78831490685631378</v>
      </c>
      <c r="R1183" s="6">
        <f>P1183/Q1183</f>
        <v>2.8749698825582857</v>
      </c>
    </row>
    <row r="1184" spans="1:18" x14ac:dyDescent="0.35">
      <c r="A1184" s="9">
        <v>1184</v>
      </c>
      <c r="B1184" s="5">
        <v>0.75</v>
      </c>
      <c r="C1184" s="5">
        <v>2000000</v>
      </c>
      <c r="D1184" s="5">
        <v>20</v>
      </c>
      <c r="E1184" s="5">
        <v>0</v>
      </c>
      <c r="F1184" s="5">
        <v>0</v>
      </c>
      <c r="G1184" s="12">
        <f>(C1184*$U$4)/($U$5*$U$3)</f>
        <v>29.387755102040813</v>
      </c>
      <c r="H1184" s="11">
        <f>G1184*COS(RADIANS(D1184))</f>
        <v>27.615456610851183</v>
      </c>
      <c r="I1184" s="11">
        <f>G1184*SIN(RADIANS(D1184))</f>
        <v>10.051204212019652</v>
      </c>
      <c r="J1184" s="11">
        <v>0.27929999999999999</v>
      </c>
      <c r="K1184" s="12">
        <v>0</v>
      </c>
      <c r="L1184" s="12">
        <f>-(F1184*G1184*$U$3)/J1184</f>
        <v>0</v>
      </c>
      <c r="M1184" s="11">
        <f>ABS(L1184/$U$6)</f>
        <v>0</v>
      </c>
      <c r="N1184" s="12">
        <f>L1184*SIN(RADIANS(K1184))</f>
        <v>0</v>
      </c>
      <c r="O1184" s="12">
        <f>L1184*COS(RADIANS(K1184))</f>
        <v>0</v>
      </c>
      <c r="P1184" s="5">
        <v>3.6166195449274823</v>
      </c>
      <c r="Q1184" s="5">
        <v>1.7853671697930742</v>
      </c>
      <c r="R1184" s="6">
        <f>P1184/Q1184</f>
        <v>2.025700710821658</v>
      </c>
    </row>
    <row r="1185" spans="1:18" x14ac:dyDescent="0.35">
      <c r="A1185" s="9">
        <v>1185</v>
      </c>
      <c r="B1185" s="5">
        <v>0.75</v>
      </c>
      <c r="C1185" s="5">
        <v>2000000</v>
      </c>
      <c r="D1185" s="5">
        <v>20</v>
      </c>
      <c r="E1185" s="5">
        <v>0.25</v>
      </c>
      <c r="F1185" s="5">
        <v>0.15</v>
      </c>
      <c r="G1185" s="12">
        <f>(C1185*$U$4)/($U$5*$U$3)</f>
        <v>29.387755102040813</v>
      </c>
      <c r="H1185" s="11">
        <f>G1185*COS(RADIANS(D1185))</f>
        <v>27.615456610851183</v>
      </c>
      <c r="I1185" s="11">
        <f>G1185*SIN(RADIANS(D1185))</f>
        <v>10.051204212019652</v>
      </c>
      <c r="J1185" s="12">
        <v>0.28370000000000001</v>
      </c>
      <c r="K1185" s="11">
        <v>38</v>
      </c>
      <c r="L1185" s="12">
        <f>-(F1185*G1185*$U$3)/J1185</f>
        <v>-15.538115140310616</v>
      </c>
      <c r="M1185" s="11">
        <f>ABS(L1185/$U$6)</f>
        <v>4.5300627231226284E-2</v>
      </c>
      <c r="N1185" s="12">
        <f>L1185*SIN(RADIANS(K1185))</f>
        <v>-9.5662188910635813</v>
      </c>
      <c r="O1185" s="12">
        <f>L1185*COS(RADIANS(K1185))</f>
        <v>-12.244201821344184</v>
      </c>
      <c r="P1185" s="5">
        <v>4.8927099441833697</v>
      </c>
      <c r="Q1185" s="5">
        <v>0.61881395534062056</v>
      </c>
      <c r="R1185" s="6">
        <f>P1185/Q1185</f>
        <v>7.9065927682419854</v>
      </c>
    </row>
    <row r="1186" spans="1:18" x14ac:dyDescent="0.35">
      <c r="A1186" s="9">
        <v>1186</v>
      </c>
      <c r="B1186" s="5">
        <v>0.1</v>
      </c>
      <c r="C1186" s="5">
        <v>4000000</v>
      </c>
      <c r="D1186" s="5">
        <v>15</v>
      </c>
      <c r="E1186" s="5">
        <v>0.375</v>
      </c>
      <c r="F1186" s="5">
        <v>0</v>
      </c>
      <c r="G1186" s="12">
        <f>(C1186*$U$4)/($U$5*$U$3)</f>
        <v>58.775510204081627</v>
      </c>
      <c r="H1186" s="11">
        <f>G1186*COS(RADIANS(D1186))</f>
        <v>56.772783259439109</v>
      </c>
      <c r="I1186" s="11">
        <f>G1186*SIN(RADIANS(D1186))</f>
        <v>15.212221426433871</v>
      </c>
      <c r="J1186" s="12">
        <v>0.16789999999999999</v>
      </c>
      <c r="K1186" s="11">
        <v>85</v>
      </c>
      <c r="L1186" s="12">
        <f>-(F1186*G1186*$U$3)/J1186</f>
        <v>0</v>
      </c>
      <c r="M1186" s="11">
        <f>ABS(L1186/$U$6)</f>
        <v>0</v>
      </c>
      <c r="N1186" s="12">
        <f>L1186*SIN(RADIANS(K1186))</f>
        <v>0</v>
      </c>
      <c r="O1186" s="12">
        <f>L1186*COS(RADIANS(K1186))</f>
        <v>0</v>
      </c>
      <c r="P1186" s="5">
        <v>1.7770897563632166</v>
      </c>
      <c r="Q1186" s="5">
        <v>0.71780241855040783</v>
      </c>
      <c r="R1186" s="6">
        <f>P1186/Q1186</f>
        <v>2.4757366518101529</v>
      </c>
    </row>
    <row r="1187" spans="1:18" x14ac:dyDescent="0.35">
      <c r="A1187" s="9">
        <v>1187</v>
      </c>
      <c r="B1187" s="5">
        <v>1</v>
      </c>
      <c r="C1187" s="5">
        <v>6000000</v>
      </c>
      <c r="D1187" s="5">
        <v>10</v>
      </c>
      <c r="E1187" s="5">
        <v>0.25</v>
      </c>
      <c r="F1187" s="5">
        <v>7.4999999999999997E-2</v>
      </c>
      <c r="G1187" s="12">
        <f>(C1187*$U$4)/($U$5*$U$3)</f>
        <v>88.16326530612244</v>
      </c>
      <c r="H1187" s="11">
        <f>G1187*COS(RADIANS(D1187))</f>
        <v>86.823867204341596</v>
      </c>
      <c r="I1187" s="11">
        <f>G1187*SIN(RADIANS(D1187))</f>
        <v>15.309390357574264</v>
      </c>
      <c r="J1187" s="13">
        <v>0.33379999999999999</v>
      </c>
      <c r="K1187" s="12">
        <v>30</v>
      </c>
      <c r="L1187" s="12">
        <f>-(F1187*G1187*$U$3)/J1187</f>
        <v>-19.809002090950219</v>
      </c>
      <c r="M1187" s="11">
        <f>ABS(L1187/$U$6)</f>
        <v>5.7752192684986062E-2</v>
      </c>
      <c r="N1187" s="12">
        <f>L1187*SIN(RADIANS(K1187))</f>
        <v>-9.9045010454751079</v>
      </c>
      <c r="O1187" s="12">
        <f>L1187*COS(RADIANS(K1187))</f>
        <v>-17.155099034381955</v>
      </c>
      <c r="P1187" s="5">
        <v>4.7940094352097784</v>
      </c>
      <c r="Q1187" s="5">
        <v>8.2342450603359832E-2</v>
      </c>
      <c r="R1187" s="6">
        <f>P1187/Q1187</f>
        <v>58.220388148299385</v>
      </c>
    </row>
    <row r="1188" spans="1:18" x14ac:dyDescent="0.35">
      <c r="A1188" s="9">
        <v>1188</v>
      </c>
      <c r="B1188" s="5">
        <v>0.75</v>
      </c>
      <c r="C1188" s="5">
        <v>4000000</v>
      </c>
      <c r="D1188" s="5">
        <v>15</v>
      </c>
      <c r="E1188" s="5">
        <v>0.375</v>
      </c>
      <c r="F1188" s="5">
        <v>0.1</v>
      </c>
      <c r="G1188" s="12">
        <f>(C1188*$U$4)/($U$5*$U$3)</f>
        <v>58.775510204081627</v>
      </c>
      <c r="H1188" s="11">
        <f>G1188*COS(RADIANS(D1188))</f>
        <v>56.772783259439109</v>
      </c>
      <c r="I1188" s="11">
        <f>G1188*SIN(RADIANS(D1188))</f>
        <v>15.212221426433871</v>
      </c>
      <c r="J1188" s="11">
        <v>0.29299999999999998</v>
      </c>
      <c r="K1188" s="12">
        <v>57</v>
      </c>
      <c r="L1188" s="12">
        <f>-(F1188*G1188*$U$3)/J1188</f>
        <v>-20.059901093543218</v>
      </c>
      <c r="M1188" s="11">
        <f>ABS(L1188/$U$6)</f>
        <v>5.84836766575604E-2</v>
      </c>
      <c r="N1188" s="12">
        <f>L1188*SIN(RADIANS(K1188))</f>
        <v>-16.823648643050923</v>
      </c>
      <c r="O1188" s="12">
        <f>L1188*COS(RADIANS(K1188))</f>
        <v>-10.925405174084265</v>
      </c>
      <c r="P1188" s="5">
        <v>5.5910782446267753</v>
      </c>
      <c r="Q1188" s="5">
        <v>0.30682302351928703</v>
      </c>
      <c r="R1188" s="6">
        <f>P1188/Q1188</f>
        <v>18.222485980669301</v>
      </c>
    </row>
    <row r="1189" spans="1:18" x14ac:dyDescent="0.35">
      <c r="A1189" s="9">
        <v>1189</v>
      </c>
      <c r="B1189" s="5">
        <v>0.75</v>
      </c>
      <c r="C1189" s="5">
        <v>4000000</v>
      </c>
      <c r="D1189" s="5">
        <v>20</v>
      </c>
      <c r="E1189" s="5">
        <v>0.375</v>
      </c>
      <c r="F1189" s="5">
        <v>0.05</v>
      </c>
      <c r="G1189" s="12">
        <f>(C1189*$U$4)/($U$5*$U$3)</f>
        <v>58.775510204081627</v>
      </c>
      <c r="H1189" s="11">
        <f>G1189*COS(RADIANS(D1189))</f>
        <v>55.230913221702366</v>
      </c>
      <c r="I1189" s="11">
        <f>G1189*SIN(RADIANS(D1189))</f>
        <v>20.102408424039304</v>
      </c>
      <c r="J1189" s="11">
        <v>0.29299999999999998</v>
      </c>
      <c r="K1189" s="12">
        <v>57</v>
      </c>
      <c r="L1189" s="12">
        <f>-(F1189*G1189*$U$3)/J1189</f>
        <v>-10.029950546771609</v>
      </c>
      <c r="M1189" s="11">
        <f>ABS(L1189/$U$6)</f>
        <v>2.92418383287802E-2</v>
      </c>
      <c r="N1189" s="12">
        <f>L1189*SIN(RADIANS(K1189))</f>
        <v>-8.4118243215254616</v>
      </c>
      <c r="O1189" s="12">
        <f>L1189*COS(RADIANS(K1189))</f>
        <v>-5.4627025870421324</v>
      </c>
      <c r="P1189" s="5">
        <v>4.6397246040322759</v>
      </c>
      <c r="Q1189" s="5">
        <v>0.68326720703030741</v>
      </c>
      <c r="R1189" s="6">
        <f>P1189/Q1189</f>
        <v>6.790498001796351</v>
      </c>
    </row>
    <row r="1190" spans="1:18" x14ac:dyDescent="0.35">
      <c r="A1190" s="9">
        <v>1190</v>
      </c>
      <c r="B1190" s="5">
        <v>0.25</v>
      </c>
      <c r="C1190" s="5">
        <v>2000000</v>
      </c>
      <c r="D1190" s="5">
        <v>0</v>
      </c>
      <c r="E1190" s="5">
        <v>0.125</v>
      </c>
      <c r="F1190" s="5">
        <v>2.5000000000000001E-2</v>
      </c>
      <c r="G1190" s="12">
        <f>(C1190*$U$4)/($U$5*$U$3)</f>
        <v>29.387755102040813</v>
      </c>
      <c r="H1190" s="11">
        <f>G1190*COS(RADIANS(D1190))</f>
        <v>29.387755102040813</v>
      </c>
      <c r="I1190" s="11">
        <f>G1190*SIN(RADIANS(D1190))</f>
        <v>0</v>
      </c>
      <c r="J1190" s="11">
        <v>0.19020000000000001</v>
      </c>
      <c r="K1190" s="12">
        <v>46</v>
      </c>
      <c r="L1190" s="12">
        <f>-(F1190*G1190*$U$3)/J1190</f>
        <v>-3.8627438357046282</v>
      </c>
      <c r="M1190" s="11">
        <f>ABS(L1190/$U$6)</f>
        <v>1.1261643835873551E-2</v>
      </c>
      <c r="N1190" s="12">
        <f>L1190*SIN(RADIANS(K1190))</f>
        <v>-2.7786253795351223</v>
      </c>
      <c r="O1190" s="12">
        <f>L1190*COS(RADIANS(K1190))</f>
        <v>-2.6832873384111138</v>
      </c>
      <c r="P1190" s="5">
        <v>1.9833296524300774</v>
      </c>
      <c r="Q1190" s="5">
        <v>0.21703888152681977</v>
      </c>
      <c r="R1190" s="6">
        <f>P1190/Q1190</f>
        <v>9.1381306357542886</v>
      </c>
    </row>
    <row r="1191" spans="1:18" x14ac:dyDescent="0.35">
      <c r="A1191" s="9">
        <v>1191</v>
      </c>
      <c r="B1191" s="5">
        <v>0.1</v>
      </c>
      <c r="C1191" s="5">
        <v>2000000</v>
      </c>
      <c r="D1191" s="5">
        <v>0</v>
      </c>
      <c r="E1191" s="5">
        <v>0</v>
      </c>
      <c r="F1191" s="5">
        <v>0</v>
      </c>
      <c r="G1191" s="12">
        <f>(C1191*$U$4)/($U$5*$U$3)</f>
        <v>29.387755102040813</v>
      </c>
      <c r="H1191" s="11">
        <f>G1191*COS(RADIANS(D1191))</f>
        <v>29.387755102040813</v>
      </c>
      <c r="I1191" s="11">
        <f>G1191*SIN(RADIANS(D1191))</f>
        <v>0</v>
      </c>
      <c r="J1191" s="11">
        <v>0.16569999999999999</v>
      </c>
      <c r="K1191" s="12">
        <v>0</v>
      </c>
      <c r="L1191" s="12">
        <f>-(F1191*G1191*$U$3)/J1191</f>
        <v>0</v>
      </c>
      <c r="M1191" s="11">
        <f>ABS(L1191/$U$6)</f>
        <v>0</v>
      </c>
      <c r="N1191" s="12">
        <f>L1191*SIN(RADIANS(K1191))</f>
        <v>0</v>
      </c>
      <c r="O1191" s="12">
        <f>L1191*COS(RADIANS(K1191))</f>
        <v>0</v>
      </c>
      <c r="P1191" s="5">
        <v>1.1212627662598755</v>
      </c>
      <c r="Q1191" s="5">
        <v>0.23885086102863926</v>
      </c>
      <c r="R1191" s="6">
        <f>P1191/Q1191</f>
        <v>4.6944053767737151</v>
      </c>
    </row>
    <row r="1192" spans="1:18" x14ac:dyDescent="0.35">
      <c r="A1192" s="9">
        <v>1192</v>
      </c>
      <c r="B1192" s="5">
        <v>0.25</v>
      </c>
      <c r="C1192" s="5">
        <v>2000000</v>
      </c>
      <c r="D1192" s="5">
        <v>20</v>
      </c>
      <c r="E1192" s="5">
        <v>0.375</v>
      </c>
      <c r="F1192" s="5">
        <v>3.5000000000000003E-2</v>
      </c>
      <c r="G1192" s="12">
        <f>(C1192*$U$4)/($U$5*$U$3)</f>
        <v>29.387755102040813</v>
      </c>
      <c r="H1192" s="11">
        <f>G1192*COS(RADIANS(D1192))</f>
        <v>27.615456610851183</v>
      </c>
      <c r="I1192" s="11">
        <f>G1192*SIN(RADIANS(D1192))</f>
        <v>10.051204212019652</v>
      </c>
      <c r="J1192" s="11">
        <v>0.1976</v>
      </c>
      <c r="K1192" s="12">
        <v>78</v>
      </c>
      <c r="L1192" s="12">
        <f>-(F1192*G1192*$U$3)/J1192</f>
        <v>-5.2053209947946781</v>
      </c>
      <c r="M1192" s="11">
        <f>ABS(L1192/$U$6)</f>
        <v>1.5175862958585067E-2</v>
      </c>
      <c r="N1192" s="12">
        <f>L1192*SIN(RADIANS(K1192))</f>
        <v>-5.0915722421077207</v>
      </c>
      <c r="O1192" s="12">
        <f>L1192*COS(RADIANS(K1192))</f>
        <v>-1.0822470892769431</v>
      </c>
      <c r="P1192" s="5">
        <v>2.4261870677225157</v>
      </c>
      <c r="Q1192" s="5">
        <v>0.6060338005230097</v>
      </c>
      <c r="R1192" s="6">
        <f>P1192/Q1192</f>
        <v>4.0033857280381158</v>
      </c>
    </row>
    <row r="1193" spans="1:18" x14ac:dyDescent="0.35">
      <c r="A1193" s="9">
        <v>1193</v>
      </c>
      <c r="B1193" s="5">
        <v>0.25</v>
      </c>
      <c r="C1193" s="5">
        <v>2000000</v>
      </c>
      <c r="D1193" s="5">
        <v>5</v>
      </c>
      <c r="E1193" s="5">
        <v>0</v>
      </c>
      <c r="F1193" s="5">
        <v>0</v>
      </c>
      <c r="G1193" s="12">
        <f>(C1193*$U$4)/($U$5*$U$3)</f>
        <v>29.387755102040813</v>
      </c>
      <c r="H1193" s="11">
        <f>G1193*COS(RADIANS(D1193))</f>
        <v>29.275925821471702</v>
      </c>
      <c r="I1193" s="11">
        <f>G1193*SIN(RADIANS(D1193))</f>
        <v>2.5613116236046478</v>
      </c>
      <c r="J1193" s="12">
        <v>0.18990000000000001</v>
      </c>
      <c r="K1193" s="12">
        <v>0</v>
      </c>
      <c r="L1193" s="12">
        <f>-(F1193*G1193*$U$3)/J1193</f>
        <v>0</v>
      </c>
      <c r="M1193" s="11">
        <f>ABS(L1193/$U$6)</f>
        <v>0</v>
      </c>
      <c r="N1193" s="12">
        <f>L1193*SIN(RADIANS(K1193))</f>
        <v>0</v>
      </c>
      <c r="O1193" s="12">
        <f>L1193*COS(RADIANS(K1193))</f>
        <v>0</v>
      </c>
      <c r="P1193" s="5">
        <v>2.2616885862508123</v>
      </c>
      <c r="Q1193" s="5">
        <v>0.38604788613269342</v>
      </c>
      <c r="R1193" s="6">
        <f>P1193/Q1193</f>
        <v>5.8585700569628782</v>
      </c>
    </row>
    <row r="1194" spans="1:18" x14ac:dyDescent="0.35">
      <c r="A1194" s="9">
        <v>1194</v>
      </c>
      <c r="B1194" s="5">
        <v>0.5</v>
      </c>
      <c r="C1194" s="5">
        <v>4000000</v>
      </c>
      <c r="D1194" s="5">
        <v>30</v>
      </c>
      <c r="E1194" s="5">
        <v>0.125</v>
      </c>
      <c r="F1194" s="5">
        <v>0.05</v>
      </c>
      <c r="G1194" s="12">
        <f>(C1194*$U$4)/($U$5*$U$3)</f>
        <v>58.775510204081627</v>
      </c>
      <c r="H1194" s="11">
        <f>G1194*COS(RADIANS(D1194))</f>
        <v>50.901084957126187</v>
      </c>
      <c r="I1194" s="11">
        <f>G1194*SIN(RADIANS(D1194))</f>
        <v>29.38775510204081</v>
      </c>
      <c r="J1194" s="12">
        <v>0.23300000000000001</v>
      </c>
      <c r="K1194" s="11">
        <v>27</v>
      </c>
      <c r="L1194" s="12">
        <f>-(F1194*G1194*$U$3)/J1194</f>
        <v>-12.612770430060435</v>
      </c>
      <c r="M1194" s="11">
        <f>ABS(L1194/$U$6)</f>
        <v>3.6771925452071239E-2</v>
      </c>
      <c r="N1194" s="12">
        <f>L1194*SIN(RADIANS(K1194))</f>
        <v>-5.7260779506433144</v>
      </c>
      <c r="O1194" s="12">
        <f>L1194*COS(RADIANS(K1194))</f>
        <v>-11.238060741273975</v>
      </c>
      <c r="P1194" s="5">
        <v>5.0408418235739161</v>
      </c>
      <c r="Q1194" s="5">
        <v>1.672336112616218</v>
      </c>
      <c r="R1194" s="6">
        <f>P1194/Q1194</f>
        <v>3.0142516121881604</v>
      </c>
    </row>
    <row r="1195" spans="1:18" x14ac:dyDescent="0.35">
      <c r="A1195" s="9">
        <v>1195</v>
      </c>
      <c r="B1195" s="5">
        <v>0.25</v>
      </c>
      <c r="C1195" s="5">
        <v>2000000</v>
      </c>
      <c r="D1195" s="5">
        <v>10</v>
      </c>
      <c r="E1195" s="5">
        <v>0.25</v>
      </c>
      <c r="F1195" s="5">
        <v>2.5000000000000001E-2</v>
      </c>
      <c r="G1195" s="12">
        <f>(C1195*$U$4)/($U$5*$U$3)</f>
        <v>29.387755102040813</v>
      </c>
      <c r="H1195" s="11">
        <f>G1195*COS(RADIANS(D1195))</f>
        <v>28.941289068113864</v>
      </c>
      <c r="I1195" s="11">
        <f>G1195*SIN(RADIANS(D1195))</f>
        <v>5.1031301191914213</v>
      </c>
      <c r="J1195" s="12">
        <v>0.1913</v>
      </c>
      <c r="K1195" s="11">
        <v>67</v>
      </c>
      <c r="L1195" s="12">
        <f>-(F1195*G1195*$U$3)/J1195</f>
        <v>-3.8405325538474666</v>
      </c>
      <c r="M1195" s="11">
        <f>ABS(L1195/$U$6)</f>
        <v>1.119688791209174E-2</v>
      </c>
      <c r="N1195" s="12">
        <f>L1195*SIN(RADIANS(K1195))</f>
        <v>-3.5352288556586888</v>
      </c>
      <c r="O1195" s="12">
        <f>L1195*COS(RADIANS(K1195))</f>
        <v>-1.5006156187646129</v>
      </c>
      <c r="P1195" s="5">
        <v>2.1180008230728151</v>
      </c>
      <c r="Q1195" s="5">
        <v>0.39846052939837323</v>
      </c>
      <c r="R1195" s="6">
        <f>P1195/Q1195</f>
        <v>5.3154595419293793</v>
      </c>
    </row>
    <row r="1196" spans="1:18" x14ac:dyDescent="0.35">
      <c r="A1196" s="9">
        <v>1196</v>
      </c>
      <c r="B1196" s="5">
        <v>0.25</v>
      </c>
      <c r="C1196" s="5">
        <v>4000000</v>
      </c>
      <c r="D1196" s="5">
        <v>20</v>
      </c>
      <c r="E1196" s="5">
        <v>0.125</v>
      </c>
      <c r="F1196" s="5">
        <v>7.4999999999999997E-2</v>
      </c>
      <c r="G1196" s="12">
        <f>(C1196*$U$4)/($U$5*$U$3)</f>
        <v>58.775510204081627</v>
      </c>
      <c r="H1196" s="11">
        <f>G1196*COS(RADIANS(D1196))</f>
        <v>55.230913221702366</v>
      </c>
      <c r="I1196" s="11">
        <f>G1196*SIN(RADIANS(D1196))</f>
        <v>20.102408424039304</v>
      </c>
      <c r="J1196" s="11">
        <v>0.19020000000000001</v>
      </c>
      <c r="K1196" s="12">
        <v>46</v>
      </c>
      <c r="L1196" s="12">
        <f>-(F1196*G1196*$U$3)/J1196</f>
        <v>-23.176463014227771</v>
      </c>
      <c r="M1196" s="11">
        <f>ABS(L1196/$U$6)</f>
        <v>6.7569863015241316E-2</v>
      </c>
      <c r="N1196" s="12">
        <f>L1196*SIN(RADIANS(K1196))</f>
        <v>-16.671752277210736</v>
      </c>
      <c r="O1196" s="12">
        <f>L1196*COS(RADIANS(K1196))</f>
        <v>-16.099724030466682</v>
      </c>
      <c r="P1196" s="5">
        <v>2.5800174453041329</v>
      </c>
      <c r="Q1196" s="5">
        <v>0.70682842325379636</v>
      </c>
      <c r="R1196" s="6">
        <f>P1196/Q1196</f>
        <v>3.6501325646008191</v>
      </c>
    </row>
    <row r="1197" spans="1:18" x14ac:dyDescent="0.35">
      <c r="A1197" s="9">
        <v>1197</v>
      </c>
      <c r="B1197" s="5">
        <v>0.25</v>
      </c>
      <c r="C1197" s="5">
        <v>4000000</v>
      </c>
      <c r="D1197" s="5">
        <v>10</v>
      </c>
      <c r="E1197" s="5">
        <v>0</v>
      </c>
      <c r="F1197" s="5">
        <v>2.5000000000000001E-2</v>
      </c>
      <c r="G1197" s="12">
        <f>(C1197*$U$4)/($U$5*$U$3)</f>
        <v>58.775510204081627</v>
      </c>
      <c r="H1197" s="11">
        <f>G1197*COS(RADIANS(D1197))</f>
        <v>57.882578136227728</v>
      </c>
      <c r="I1197" s="11">
        <f>G1197*SIN(RADIANS(D1197))</f>
        <v>10.206260238382843</v>
      </c>
      <c r="J1197" s="12">
        <v>0.18990000000000001</v>
      </c>
      <c r="K1197" s="12">
        <v>0</v>
      </c>
      <c r="L1197" s="12">
        <f>-(F1197*G1197*$U$3)/J1197</f>
        <v>-7.73769223329142</v>
      </c>
      <c r="M1197" s="11">
        <f>ABS(L1197/$U$6)</f>
        <v>2.2558869484814635E-2</v>
      </c>
      <c r="N1197" s="12">
        <f>L1197*SIN(RADIANS(K1197))</f>
        <v>0</v>
      </c>
      <c r="O1197" s="12">
        <f>L1197*COS(RADIANS(K1197))</f>
        <v>-7.73769223329142</v>
      </c>
      <c r="P1197" s="5">
        <v>2.0542091661491333</v>
      </c>
      <c r="Q1197" s="5">
        <v>0.43194089089346516</v>
      </c>
      <c r="R1197" s="6">
        <f>P1197/Q1197</f>
        <v>4.7557645257896821</v>
      </c>
    </row>
    <row r="1198" spans="1:18" x14ac:dyDescent="0.35">
      <c r="A1198" s="9">
        <v>1198</v>
      </c>
      <c r="B1198" s="5">
        <v>0.1</v>
      </c>
      <c r="C1198" s="5">
        <v>2000000</v>
      </c>
      <c r="D1198" s="5">
        <v>5</v>
      </c>
      <c r="E1198" s="5">
        <v>0.125</v>
      </c>
      <c r="F1198" s="5">
        <v>0.15</v>
      </c>
      <c r="G1198" s="12">
        <f>(C1198*$U$4)/($U$5*$U$3)</f>
        <v>29.387755102040813</v>
      </c>
      <c r="H1198" s="11">
        <f>G1198*COS(RADIANS(D1198))</f>
        <v>29.275925821471702</v>
      </c>
      <c r="I1198" s="11">
        <f>G1198*SIN(RADIANS(D1198))</f>
        <v>2.5613116236046478</v>
      </c>
      <c r="J1198" s="12">
        <v>0.1658</v>
      </c>
      <c r="K1198" s="12">
        <v>69</v>
      </c>
      <c r="L1198" s="12">
        <f>-(F1198*G1198*$U$3)/J1198</f>
        <v>-26.587233204500134</v>
      </c>
      <c r="M1198" s="11">
        <f>ABS(L1198/$U$6)</f>
        <v>7.7513799430029548E-2</v>
      </c>
      <c r="N1198" s="12">
        <f>L1198*SIN(RADIANS(K1198))</f>
        <v>-24.821320514437797</v>
      </c>
      <c r="O1198" s="12">
        <f>L1198*COS(RADIANS(K1198))</f>
        <v>-9.5280122475794382</v>
      </c>
      <c r="P1198" s="5">
        <v>1.5920456037327799</v>
      </c>
      <c r="Q1198" s="5">
        <v>0.33043168140965579</v>
      </c>
      <c r="R1198" s="6">
        <f>P1198/Q1198</f>
        <v>4.8180779668007272</v>
      </c>
    </row>
    <row r="1199" spans="1:18" x14ac:dyDescent="0.35">
      <c r="A1199" s="9">
        <v>1199</v>
      </c>
      <c r="B1199" s="5">
        <v>0.1</v>
      </c>
      <c r="C1199" s="5">
        <v>6000000</v>
      </c>
      <c r="D1199" s="5">
        <v>0</v>
      </c>
      <c r="E1199" s="5">
        <v>0</v>
      </c>
      <c r="F1199" s="5">
        <v>0</v>
      </c>
      <c r="G1199" s="12">
        <f>(C1199*$U$4)/($U$5*$U$3)</f>
        <v>88.16326530612244</v>
      </c>
      <c r="H1199" s="11">
        <f>G1199*COS(RADIANS(D1199))</f>
        <v>88.16326530612244</v>
      </c>
      <c r="I1199" s="11">
        <f>G1199*SIN(RADIANS(D1199))</f>
        <v>0</v>
      </c>
      <c r="J1199" s="11">
        <v>0.16569999999999999</v>
      </c>
      <c r="K1199" s="12">
        <v>0</v>
      </c>
      <c r="L1199" s="12">
        <f>-(F1199*G1199*$U$3)/J1199</f>
        <v>0</v>
      </c>
      <c r="M1199" s="11">
        <f>ABS(L1199/$U$6)</f>
        <v>0</v>
      </c>
      <c r="N1199" s="12">
        <f>L1199*SIN(RADIANS(K1199))</f>
        <v>0</v>
      </c>
      <c r="O1199" s="12">
        <f>L1199*COS(RADIANS(K1199))</f>
        <v>0</v>
      </c>
      <c r="P1199" s="5">
        <v>1.1326384153426627</v>
      </c>
      <c r="Q1199" s="5">
        <v>0.23928419627572406</v>
      </c>
      <c r="R1199" s="6">
        <f>P1199/Q1199</f>
        <v>4.733444301676899</v>
      </c>
    </row>
    <row r="1200" spans="1:18" x14ac:dyDescent="0.35">
      <c r="A1200" s="9">
        <v>1200</v>
      </c>
      <c r="B1200" s="5">
        <v>0.1</v>
      </c>
      <c r="C1200" s="5">
        <v>2000000</v>
      </c>
      <c r="D1200" s="5">
        <v>10</v>
      </c>
      <c r="E1200" s="5">
        <v>0.375</v>
      </c>
      <c r="F1200" s="5">
        <v>7.4999999999999997E-2</v>
      </c>
      <c r="G1200" s="12">
        <f>(C1200*$U$4)/($U$5*$U$3)</f>
        <v>29.387755102040813</v>
      </c>
      <c r="H1200" s="11">
        <f>G1200*COS(RADIANS(D1200))</f>
        <v>28.941289068113864</v>
      </c>
      <c r="I1200" s="11">
        <f>G1200*SIN(RADIANS(D1200))</f>
        <v>5.1031301191914213</v>
      </c>
      <c r="J1200" s="12">
        <v>0.16789999999999999</v>
      </c>
      <c r="K1200" s="11">
        <v>85</v>
      </c>
      <c r="L1200" s="12">
        <f>-(F1200*G1200*$U$3)/J1200</f>
        <v>-13.127347424973562</v>
      </c>
      <c r="M1200" s="11">
        <f>ABS(L1200/$U$6)</f>
        <v>3.8272149927036626E-2</v>
      </c>
      <c r="N1200" s="12">
        <f>L1200*SIN(RADIANS(K1200))</f>
        <v>-13.077393904766991</v>
      </c>
      <c r="O1200" s="12">
        <f>L1200*COS(RADIANS(K1200))</f>
        <v>-1.1441237151301282</v>
      </c>
      <c r="P1200" s="5">
        <v>1.9666174899621613</v>
      </c>
      <c r="Q1200" s="5">
        <v>0.50750203309003605</v>
      </c>
      <c r="R1200" s="6">
        <f>P1200/Q1200</f>
        <v>3.8750928306394847</v>
      </c>
    </row>
    <row r="1201" spans="1:18" x14ac:dyDescent="0.35">
      <c r="A1201" s="9">
        <v>1201</v>
      </c>
      <c r="B1201" s="5">
        <v>0.1</v>
      </c>
      <c r="C1201" s="5">
        <v>6000000</v>
      </c>
      <c r="D1201" s="5">
        <v>15</v>
      </c>
      <c r="E1201" s="5">
        <v>0.125</v>
      </c>
      <c r="F1201" s="5">
        <v>3.5000000000000003E-2</v>
      </c>
      <c r="G1201" s="12">
        <f>(C1201*$U$4)/($U$5*$U$3)</f>
        <v>88.16326530612244</v>
      </c>
      <c r="H1201" s="11">
        <f>G1201*COS(RADIANS(D1201))</f>
        <v>85.159174889158663</v>
      </c>
      <c r="I1201" s="11">
        <f>G1201*SIN(RADIANS(D1201))</f>
        <v>22.818332139650806</v>
      </c>
      <c r="J1201" s="12">
        <v>0.1658</v>
      </c>
      <c r="K1201" s="12">
        <v>69</v>
      </c>
      <c r="L1201" s="12">
        <f>-(F1201*G1201*$U$3)/J1201</f>
        <v>-18.611063243150095</v>
      </c>
      <c r="M1201" s="11">
        <f>ABS(L1201/$U$6)</f>
        <v>5.4259659601020686E-2</v>
      </c>
      <c r="N1201" s="12">
        <f>L1201*SIN(RADIANS(K1201))</f>
        <v>-17.374924360106462</v>
      </c>
      <c r="O1201" s="12">
        <f>L1201*COS(RADIANS(K1201))</f>
        <v>-6.6696085733056076</v>
      </c>
      <c r="P1201" s="5">
        <v>1.4401226522792809</v>
      </c>
      <c r="Q1201" s="5">
        <v>0.57818683939100335</v>
      </c>
      <c r="R1201" s="6">
        <f>P1201/Q1201</f>
        <v>2.4907565412525532</v>
      </c>
    </row>
    <row r="1202" spans="1:18" x14ac:dyDescent="0.35">
      <c r="A1202" s="9">
        <v>1202</v>
      </c>
      <c r="B1202" s="5">
        <v>0.5</v>
      </c>
      <c r="C1202" s="5">
        <v>4000000</v>
      </c>
      <c r="D1202" s="5">
        <v>20</v>
      </c>
      <c r="E1202" s="5">
        <v>0.25</v>
      </c>
      <c r="F1202" s="5">
        <v>0</v>
      </c>
      <c r="G1202" s="12">
        <f>(C1202*$U$4)/($U$5*$U$3)</f>
        <v>58.775510204081627</v>
      </c>
      <c r="H1202" s="11">
        <f>G1202*COS(RADIANS(D1202))</f>
        <v>55.230913221702366</v>
      </c>
      <c r="I1202" s="11">
        <f>G1202*SIN(RADIANS(D1202))</f>
        <v>20.102408424039304</v>
      </c>
      <c r="J1202" s="11">
        <v>0.23580000000000001</v>
      </c>
      <c r="K1202" s="11">
        <v>49</v>
      </c>
      <c r="L1202" s="12">
        <f>-(F1202*G1202*$U$3)/J1202</f>
        <v>0</v>
      </c>
      <c r="M1202" s="11">
        <f>ABS(L1202/$U$6)</f>
        <v>0</v>
      </c>
      <c r="N1202" s="12">
        <f>L1202*SIN(RADIANS(K1202))</f>
        <v>0</v>
      </c>
      <c r="O1202" s="12">
        <f>L1202*COS(RADIANS(K1202))</f>
        <v>0</v>
      </c>
      <c r="P1202" s="5">
        <v>3.9390909957819389</v>
      </c>
      <c r="Q1202" s="5">
        <v>1.36571891518172</v>
      </c>
      <c r="R1202" s="6">
        <f>P1202/Q1202</f>
        <v>2.8842618726253866</v>
      </c>
    </row>
    <row r="1203" spans="1:18" x14ac:dyDescent="0.35">
      <c r="A1203" s="9">
        <v>1203</v>
      </c>
      <c r="B1203" s="5">
        <v>0.1</v>
      </c>
      <c r="C1203" s="5">
        <v>2000000</v>
      </c>
      <c r="D1203" s="5">
        <v>20</v>
      </c>
      <c r="E1203" s="5">
        <v>0.25</v>
      </c>
      <c r="F1203" s="5">
        <v>7.4999999999999997E-2</v>
      </c>
      <c r="G1203" s="12">
        <f>(C1203*$U$4)/($U$5*$U$3)</f>
        <v>29.387755102040813</v>
      </c>
      <c r="H1203" s="11">
        <f>G1203*COS(RADIANS(D1203))</f>
        <v>27.615456610851183</v>
      </c>
      <c r="I1203" s="11">
        <f>G1203*SIN(RADIANS(D1203))</f>
        <v>10.051204212019652</v>
      </c>
      <c r="J1203" s="11">
        <v>0.1661</v>
      </c>
      <c r="K1203" s="12">
        <v>80</v>
      </c>
      <c r="L1203" s="12">
        <f>-(F1203*G1203*$U$3)/J1203</f>
        <v>-13.269606457875142</v>
      </c>
      <c r="M1203" s="11">
        <f>ABS(L1203/$U$6)</f>
        <v>3.8686899294096626E-2</v>
      </c>
      <c r="N1203" s="12">
        <f>L1203*SIN(RADIANS(K1203))</f>
        <v>-13.068011319136303</v>
      </c>
      <c r="O1203" s="12">
        <f>L1203*COS(RADIANS(K1203))</f>
        <v>-2.3042429797673498</v>
      </c>
      <c r="P1203" s="5">
        <v>1.7087593447316363</v>
      </c>
      <c r="Q1203" s="5">
        <v>0.81360915043421878</v>
      </c>
      <c r="R1203" s="6">
        <f>P1203/Q1203</f>
        <v>2.1002213947811192</v>
      </c>
    </row>
    <row r="1204" spans="1:18" x14ac:dyDescent="0.35">
      <c r="A1204" s="9">
        <v>1204</v>
      </c>
      <c r="B1204" s="5">
        <v>1</v>
      </c>
      <c r="C1204" s="5">
        <v>6000000</v>
      </c>
      <c r="D1204" s="5">
        <v>30</v>
      </c>
      <c r="E1204" s="5">
        <v>0.375</v>
      </c>
      <c r="F1204" s="5">
        <v>0.05</v>
      </c>
      <c r="G1204" s="12">
        <f>(C1204*$U$4)/($U$5*$U$3)</f>
        <v>88.16326530612244</v>
      </c>
      <c r="H1204" s="11">
        <f>G1204*COS(RADIANS(D1204))</f>
        <v>76.351627435689281</v>
      </c>
      <c r="I1204" s="11">
        <f>G1204*SIN(RADIANS(D1204))</f>
        <v>44.081632653061213</v>
      </c>
      <c r="J1204" s="12">
        <v>0.33379999999999999</v>
      </c>
      <c r="K1204" s="11">
        <v>49</v>
      </c>
      <c r="L1204" s="12">
        <f>-(F1204*G1204*$U$3)/J1204</f>
        <v>-13.206001393966813</v>
      </c>
      <c r="M1204" s="11">
        <f>ABS(L1204/$U$6)</f>
        <v>3.8501461789990712E-2</v>
      </c>
      <c r="N1204" s="12">
        <f>L1204*SIN(RADIANS(K1204))</f>
        <v>-9.9666957684620368</v>
      </c>
      <c r="O1204" s="12">
        <f>L1204*COS(RADIANS(K1204))</f>
        <v>-8.6639164513731526</v>
      </c>
      <c r="P1204" s="5">
        <v>5.5572192191582319</v>
      </c>
      <c r="Q1204" s="5">
        <v>1.5037470806538269</v>
      </c>
      <c r="R1204" s="6">
        <f>P1204/Q1204</f>
        <v>3.6955810525942709</v>
      </c>
    </row>
    <row r="1205" spans="1:18" x14ac:dyDescent="0.35">
      <c r="A1205" s="9">
        <v>1205</v>
      </c>
      <c r="B1205" s="5">
        <v>0.25</v>
      </c>
      <c r="C1205" s="5">
        <v>2000000</v>
      </c>
      <c r="D1205" s="5">
        <v>10</v>
      </c>
      <c r="E1205" s="5">
        <v>0</v>
      </c>
      <c r="F1205" s="5">
        <v>0</v>
      </c>
      <c r="G1205" s="12">
        <f>(C1205*$U$4)/($U$5*$U$3)</f>
        <v>29.387755102040813</v>
      </c>
      <c r="H1205" s="11">
        <f>G1205*COS(RADIANS(D1205))</f>
        <v>28.941289068113864</v>
      </c>
      <c r="I1205" s="11">
        <f>G1205*SIN(RADIANS(D1205))</f>
        <v>5.1031301191914213</v>
      </c>
      <c r="J1205" s="12">
        <v>0.18990000000000001</v>
      </c>
      <c r="K1205" s="12">
        <v>0</v>
      </c>
      <c r="L1205" s="12">
        <f>-(F1205*G1205*$U$3)/J1205</f>
        <v>0</v>
      </c>
      <c r="M1205" s="11">
        <f>ABS(L1205/$U$6)</f>
        <v>0</v>
      </c>
      <c r="N1205" s="12">
        <f>L1205*SIN(RADIANS(K1205))</f>
        <v>0</v>
      </c>
      <c r="O1205" s="12">
        <f>L1205*COS(RADIANS(K1205))</f>
        <v>0</v>
      </c>
      <c r="P1205" s="5">
        <v>2.2923156699794141</v>
      </c>
      <c r="Q1205" s="5">
        <v>0.52430897520282815</v>
      </c>
      <c r="R1205" s="6">
        <f>P1205/Q1205</f>
        <v>4.3720702455887483</v>
      </c>
    </row>
    <row r="1206" spans="1:18" x14ac:dyDescent="0.35">
      <c r="A1206" s="9">
        <v>457</v>
      </c>
      <c r="B1206" s="5">
        <v>0.75</v>
      </c>
      <c r="C1206" s="5">
        <v>6000000</v>
      </c>
      <c r="D1206" s="5">
        <v>5</v>
      </c>
      <c r="E1206" s="5">
        <v>0.375</v>
      </c>
      <c r="F1206" s="5">
        <v>0.15</v>
      </c>
      <c r="G1206" s="12">
        <f>(C1206*$U$4)/($U$5*$U$3)</f>
        <v>88.16326530612244</v>
      </c>
      <c r="H1206" s="11">
        <f>G1206*COS(RADIANS(D1206))</f>
        <v>87.827777464415107</v>
      </c>
      <c r="I1206" s="11">
        <f>G1206*SIN(RADIANS(D1206))</f>
        <v>7.6839348708139434</v>
      </c>
      <c r="J1206" s="11">
        <v>0.29299999999999998</v>
      </c>
      <c r="K1206" s="12">
        <v>57</v>
      </c>
      <c r="L1206" s="12">
        <f>-(F1206*G1206*$U$3)/J1206</f>
        <v>-45.134777460472243</v>
      </c>
      <c r="M1206" s="11">
        <f>ABS(L1206/$U$6)</f>
        <v>0.13158827247951091</v>
      </c>
      <c r="N1206" s="12">
        <f>L1206*SIN(RADIANS(K1206))</f>
        <v>-37.853209446864582</v>
      </c>
      <c r="O1206" s="12">
        <f>L1206*COS(RADIANS(K1206))</f>
        <v>-24.582161641689598</v>
      </c>
      <c r="P1206" s="5">
        <v>5.8476413913052188</v>
      </c>
      <c r="Q1206" s="5">
        <v>-0.53972930273391206</v>
      </c>
      <c r="R1206" s="6">
        <f>P1206/Q1206</f>
        <v>-10.834396727553852</v>
      </c>
    </row>
    <row r="1207" spans="1:18" x14ac:dyDescent="0.35">
      <c r="A1207" s="9">
        <v>1207</v>
      </c>
      <c r="B1207" s="5">
        <v>0.75</v>
      </c>
      <c r="C1207" s="5">
        <v>6000000</v>
      </c>
      <c r="D1207" s="5">
        <v>10</v>
      </c>
      <c r="E1207" s="5">
        <v>0.375</v>
      </c>
      <c r="F1207" s="5">
        <v>2.5000000000000001E-2</v>
      </c>
      <c r="G1207" s="12">
        <f>(C1207*$U$4)/($U$5*$U$3)</f>
        <v>88.16326530612244</v>
      </c>
      <c r="H1207" s="11">
        <f>G1207*COS(RADIANS(D1207))</f>
        <v>86.823867204341596</v>
      </c>
      <c r="I1207" s="11">
        <f>G1207*SIN(RADIANS(D1207))</f>
        <v>15.309390357574264</v>
      </c>
      <c r="J1207" s="11">
        <v>0.29299999999999998</v>
      </c>
      <c r="K1207" s="12">
        <v>57</v>
      </c>
      <c r="L1207" s="12">
        <f>-(F1207*G1207*$U$3)/J1207</f>
        <v>-7.5224629100787066</v>
      </c>
      <c r="M1207" s="11">
        <f>ABS(L1207/$U$6)</f>
        <v>2.1931378746585149E-2</v>
      </c>
      <c r="N1207" s="12">
        <f>L1207*SIN(RADIANS(K1207))</f>
        <v>-6.3088682411440962</v>
      </c>
      <c r="O1207" s="12">
        <f>L1207*COS(RADIANS(K1207))</f>
        <v>-4.0970269402815989</v>
      </c>
      <c r="P1207" s="5">
        <v>4.0983440766310339</v>
      </c>
      <c r="Q1207" s="5">
        <v>0.159552759756868</v>
      </c>
      <c r="R1207" s="6">
        <f>P1207/Q1207</f>
        <v>25.686450568929249</v>
      </c>
    </row>
    <row r="1208" spans="1:18" x14ac:dyDescent="0.35">
      <c r="A1208" s="9">
        <v>1208</v>
      </c>
      <c r="B1208" s="5">
        <v>1</v>
      </c>
      <c r="C1208" s="5">
        <v>2000000</v>
      </c>
      <c r="D1208" s="5">
        <v>30</v>
      </c>
      <c r="E1208" s="5">
        <v>0.375</v>
      </c>
      <c r="F1208" s="5">
        <v>2.5000000000000001E-2</v>
      </c>
      <c r="G1208" s="12">
        <f>(C1208*$U$4)/($U$5*$U$3)</f>
        <v>29.387755102040813</v>
      </c>
      <c r="H1208" s="11">
        <f>G1208*COS(RADIANS(D1208))</f>
        <v>25.450542478563094</v>
      </c>
      <c r="I1208" s="11">
        <f>G1208*SIN(RADIANS(D1208))</f>
        <v>14.693877551020405</v>
      </c>
      <c r="J1208" s="12">
        <v>0.33379999999999999</v>
      </c>
      <c r="K1208" s="11">
        <v>49</v>
      </c>
      <c r="L1208" s="12">
        <f>-(F1208*G1208*$U$3)/J1208</f>
        <v>-2.2010002323278024</v>
      </c>
      <c r="M1208" s="11">
        <f>ABS(L1208/$U$6)</f>
        <v>6.4169102983317851E-3</v>
      </c>
      <c r="N1208" s="12">
        <f>L1208*SIN(RADIANS(K1208))</f>
        <v>-1.6611159614103395</v>
      </c>
      <c r="O1208" s="12">
        <f>L1208*COS(RADIANS(K1208))</f>
        <v>-1.4439860752288589</v>
      </c>
      <c r="P1208" s="5">
        <v>5.5123255947670522</v>
      </c>
      <c r="Q1208" s="5">
        <v>1.5611381518966685</v>
      </c>
      <c r="R1208" s="6">
        <f>P1208/Q1208</f>
        <v>3.5309659097562767</v>
      </c>
    </row>
    <row r="1209" spans="1:18" x14ac:dyDescent="0.35">
      <c r="A1209" s="9">
        <v>1209</v>
      </c>
      <c r="B1209" s="5">
        <v>0.5</v>
      </c>
      <c r="C1209" s="5">
        <v>2000000</v>
      </c>
      <c r="D1209" s="5">
        <v>20</v>
      </c>
      <c r="E1209" s="5">
        <v>0.125</v>
      </c>
      <c r="F1209" s="5">
        <v>2.5000000000000001E-2</v>
      </c>
      <c r="G1209" s="12">
        <f>(C1209*$U$4)/($U$5*$U$3)</f>
        <v>29.387755102040813</v>
      </c>
      <c r="H1209" s="11">
        <f>G1209*COS(RADIANS(D1209))</f>
        <v>27.615456610851183</v>
      </c>
      <c r="I1209" s="11">
        <f>G1209*SIN(RADIANS(D1209))</f>
        <v>10.051204212019652</v>
      </c>
      <c r="J1209" s="12">
        <v>0.23300000000000001</v>
      </c>
      <c r="K1209" s="11">
        <v>27</v>
      </c>
      <c r="L1209" s="12">
        <f>-(F1209*G1209*$U$3)/J1209</f>
        <v>-3.1531926075151087</v>
      </c>
      <c r="M1209" s="11">
        <f>ABS(L1209/$U$6)</f>
        <v>9.1929813630178096E-3</v>
      </c>
      <c r="N1209" s="12">
        <f>L1209*SIN(RADIANS(K1209))</f>
        <v>-1.4315194876608286</v>
      </c>
      <c r="O1209" s="12">
        <f>L1209*COS(RADIANS(K1209))</f>
        <v>-2.8095151853184936</v>
      </c>
      <c r="P1209" s="5">
        <v>3.4789964285097961</v>
      </c>
      <c r="Q1209" s="5">
        <v>0.9468282357918123</v>
      </c>
      <c r="R1209" s="6">
        <f>P1209/Q1209</f>
        <v>3.6743691168022523</v>
      </c>
    </row>
    <row r="1210" spans="1:18" x14ac:dyDescent="0.35">
      <c r="A1210" s="9">
        <v>1210</v>
      </c>
      <c r="B1210" s="5">
        <v>0.75</v>
      </c>
      <c r="C1210" s="5">
        <v>2000000</v>
      </c>
      <c r="D1210" s="5">
        <v>0</v>
      </c>
      <c r="E1210" s="5">
        <v>0.375</v>
      </c>
      <c r="F1210" s="5">
        <v>7.4999999999999997E-2</v>
      </c>
      <c r="G1210" s="12">
        <f>(C1210*$U$4)/($U$5*$U$3)</f>
        <v>29.387755102040813</v>
      </c>
      <c r="H1210" s="11">
        <f>G1210*COS(RADIANS(D1210))</f>
        <v>29.387755102040813</v>
      </c>
      <c r="I1210" s="11">
        <f>G1210*SIN(RADIANS(D1210))</f>
        <v>0</v>
      </c>
      <c r="J1210" s="11">
        <v>0.29299999999999998</v>
      </c>
      <c r="K1210" s="12">
        <v>57</v>
      </c>
      <c r="L1210" s="12">
        <f>-(F1210*G1210*$U$3)/J1210</f>
        <v>-7.5224629100787066</v>
      </c>
      <c r="M1210" s="11">
        <f>ABS(L1210/$U$6)</f>
        <v>2.1931378746585149E-2</v>
      </c>
      <c r="N1210" s="12">
        <f>L1210*SIN(RADIANS(K1210))</f>
        <v>-6.3088682411440962</v>
      </c>
      <c r="O1210" s="12">
        <f>L1210*COS(RADIANS(K1210))</f>
        <v>-4.0970269402815989</v>
      </c>
      <c r="P1210" s="5">
        <v>4.7034304400888862</v>
      </c>
      <c r="Q1210" s="5">
        <v>-0.64276105871691425</v>
      </c>
      <c r="R1210" s="6">
        <f>P1210/Q1210</f>
        <v>-7.3175410618028396</v>
      </c>
    </row>
    <row r="1211" spans="1:18" x14ac:dyDescent="0.35">
      <c r="A1211" s="9">
        <v>1211</v>
      </c>
      <c r="B1211" s="5">
        <v>1</v>
      </c>
      <c r="C1211" s="5">
        <v>4000000</v>
      </c>
      <c r="D1211" s="5">
        <v>20</v>
      </c>
      <c r="E1211" s="5">
        <v>0.375</v>
      </c>
      <c r="F1211" s="5">
        <v>7.4999999999999997E-2</v>
      </c>
      <c r="G1211" s="12">
        <f>(C1211*$U$4)/($U$5*$U$3)</f>
        <v>58.775510204081627</v>
      </c>
      <c r="H1211" s="11">
        <f>G1211*COS(RADIANS(D1211))</f>
        <v>55.230913221702366</v>
      </c>
      <c r="I1211" s="11">
        <f>G1211*SIN(RADIANS(D1211))</f>
        <v>20.102408424039304</v>
      </c>
      <c r="J1211" s="12">
        <v>0.33379999999999999</v>
      </c>
      <c r="K1211" s="11">
        <v>49</v>
      </c>
      <c r="L1211" s="12">
        <f>-(F1211*G1211*$U$3)/J1211</f>
        <v>-13.206001393966813</v>
      </c>
      <c r="M1211" s="11">
        <f>ABS(L1211/$U$6)</f>
        <v>3.8501461789990712E-2</v>
      </c>
      <c r="N1211" s="12">
        <f>L1211*SIN(RADIANS(K1211))</f>
        <v>-9.9666957684620368</v>
      </c>
      <c r="O1211" s="12">
        <f>L1211*COS(RADIANS(K1211))</f>
        <v>-8.6639164513731526</v>
      </c>
      <c r="P1211" s="5">
        <v>6.0805248067837434</v>
      </c>
      <c r="Q1211" s="5">
        <v>0.71130296007710037</v>
      </c>
      <c r="R1211" s="6">
        <f>P1211/Q1211</f>
        <v>8.548431748582427</v>
      </c>
    </row>
    <row r="1212" spans="1:18" x14ac:dyDescent="0.35">
      <c r="A1212" s="9">
        <v>1212</v>
      </c>
      <c r="B1212" s="5">
        <v>0.5</v>
      </c>
      <c r="C1212" s="5">
        <v>4000000</v>
      </c>
      <c r="D1212" s="5">
        <v>0</v>
      </c>
      <c r="E1212" s="5">
        <v>0.375</v>
      </c>
      <c r="F1212" s="5">
        <v>7.4999999999999997E-2</v>
      </c>
      <c r="G1212" s="12">
        <f>(C1212*$U$4)/($U$5*$U$3)</f>
        <v>58.775510204081627</v>
      </c>
      <c r="H1212" s="11">
        <f>G1212*COS(RADIANS(D1212))</f>
        <v>58.775510204081627</v>
      </c>
      <c r="I1212" s="11">
        <f>G1212*SIN(RADIANS(D1212))</f>
        <v>0</v>
      </c>
      <c r="J1212" s="12">
        <v>0.24809999999999999</v>
      </c>
      <c r="K1212" s="12">
        <v>67</v>
      </c>
      <c r="L1212" s="12">
        <f>-(F1212*G1212*$U$3)/J1212</f>
        <v>-17.767687486118994</v>
      </c>
      <c r="M1212" s="11">
        <f>ABS(L1212/$U$6)</f>
        <v>5.1800838151950419E-2</v>
      </c>
      <c r="N1212" s="12">
        <f>L1212*SIN(RADIANS(K1212))</f>
        <v>-16.355242565598722</v>
      </c>
      <c r="O1212" s="12">
        <f>L1212*COS(RADIANS(K1212))</f>
        <v>-6.9423885820960214</v>
      </c>
      <c r="P1212" s="5">
        <v>3.5698775062217218</v>
      </c>
      <c r="Q1212" s="5">
        <v>-0.33848275414693479</v>
      </c>
      <c r="R1212" s="6">
        <f>P1212/Q1212</f>
        <v>-10.54670426331985</v>
      </c>
    </row>
    <row r="1213" spans="1:18" x14ac:dyDescent="0.35">
      <c r="A1213" s="9">
        <v>1213</v>
      </c>
      <c r="B1213" s="5">
        <v>0.25</v>
      </c>
      <c r="C1213" s="5">
        <v>2000000</v>
      </c>
      <c r="D1213" s="5">
        <v>0</v>
      </c>
      <c r="E1213" s="5">
        <v>0.375</v>
      </c>
      <c r="F1213" s="5">
        <v>7.4999999999999997E-2</v>
      </c>
      <c r="G1213" s="12">
        <f>(C1213*$U$4)/($U$5*$U$3)</f>
        <v>29.387755102040813</v>
      </c>
      <c r="H1213" s="11">
        <f>G1213*COS(RADIANS(D1213))</f>
        <v>29.387755102040813</v>
      </c>
      <c r="I1213" s="11">
        <f>G1213*SIN(RADIANS(D1213))</f>
        <v>0</v>
      </c>
      <c r="J1213" s="11">
        <v>0.1976</v>
      </c>
      <c r="K1213" s="12">
        <v>78</v>
      </c>
      <c r="L1213" s="12">
        <f>-(F1213*G1213*$U$3)/J1213</f>
        <v>-11.154259274560026</v>
      </c>
      <c r="M1213" s="11">
        <f>ABS(L1213/$U$6)</f>
        <v>3.251970633982515E-2</v>
      </c>
      <c r="N1213" s="12">
        <f>L1213*SIN(RADIANS(K1213))</f>
        <v>-10.910511947373688</v>
      </c>
      <c r="O1213" s="12">
        <f>L1213*COS(RADIANS(K1213))</f>
        <v>-2.3191009055934502</v>
      </c>
      <c r="P1213" s="5">
        <v>2.3092605506870747</v>
      </c>
      <c r="Q1213" s="5">
        <v>-1.2104796184252033E-2</v>
      </c>
      <c r="R1213" s="6">
        <f>P1213/Q1213</f>
        <v>-190.77236126382297</v>
      </c>
    </row>
    <row r="1214" spans="1:18" x14ac:dyDescent="0.35">
      <c r="A1214" s="9">
        <v>1214</v>
      </c>
      <c r="B1214" s="5">
        <v>0.5</v>
      </c>
      <c r="C1214" s="5">
        <v>2000000</v>
      </c>
      <c r="D1214" s="5">
        <v>10</v>
      </c>
      <c r="E1214" s="5">
        <v>0.25</v>
      </c>
      <c r="F1214" s="5">
        <v>7.4999999999999997E-2</v>
      </c>
      <c r="G1214" s="12">
        <f>(C1214*$U$4)/($U$5*$U$3)</f>
        <v>29.387755102040813</v>
      </c>
      <c r="H1214" s="11">
        <f>G1214*COS(RADIANS(D1214))</f>
        <v>28.941289068113864</v>
      </c>
      <c r="I1214" s="11">
        <f>G1214*SIN(RADIANS(D1214))</f>
        <v>5.1031301191914213</v>
      </c>
      <c r="J1214" s="11">
        <v>0.23580000000000001</v>
      </c>
      <c r="K1214" s="11">
        <v>49</v>
      </c>
      <c r="L1214" s="12">
        <f>-(F1214*G1214*$U$3)/J1214</f>
        <v>-9.347250350521886</v>
      </c>
      <c r="M1214" s="11">
        <f>ABS(L1214/$U$6)</f>
        <v>2.7251458747877218E-2</v>
      </c>
      <c r="N1214" s="12">
        <f>L1214*SIN(RADIANS(K1214))</f>
        <v>-7.0544593882795308</v>
      </c>
      <c r="O1214" s="12">
        <f>L1214*COS(RADIANS(K1214))</f>
        <v>-6.1323479886945673</v>
      </c>
      <c r="P1214" s="5">
        <v>4.6345817955457527</v>
      </c>
      <c r="Q1214" s="5">
        <v>0.30940800569498672</v>
      </c>
      <c r="R1214" s="6">
        <f>P1214/Q1214</f>
        <v>14.978868388151877</v>
      </c>
    </row>
    <row r="1215" spans="1:18" x14ac:dyDescent="0.35">
      <c r="A1215" s="9">
        <v>1215</v>
      </c>
      <c r="B1215" s="5">
        <v>1</v>
      </c>
      <c r="C1215" s="5">
        <v>6000000</v>
      </c>
      <c r="D1215" s="5">
        <v>0</v>
      </c>
      <c r="E1215" s="5">
        <v>0.125</v>
      </c>
      <c r="F1215" s="5">
        <v>2.5000000000000001E-2</v>
      </c>
      <c r="G1215" s="12">
        <f>(C1215*$U$4)/($U$5*$U$3)</f>
        <v>88.16326530612244</v>
      </c>
      <c r="H1215" s="11">
        <f>G1215*COS(RADIANS(D1215))</f>
        <v>88.16326530612244</v>
      </c>
      <c r="I1215" s="11">
        <f>G1215*SIN(RADIANS(D1215))</f>
        <v>0</v>
      </c>
      <c r="J1215" s="11">
        <v>0.33379999999999999</v>
      </c>
      <c r="K1215" s="12">
        <v>14</v>
      </c>
      <c r="L1215" s="12">
        <f>-(F1215*G1215*$U$3)/J1215</f>
        <v>-6.6030006969834067</v>
      </c>
      <c r="M1215" s="11">
        <f>ABS(L1215/$U$6)</f>
        <v>1.9250730894995356E-2</v>
      </c>
      <c r="N1215" s="12">
        <f>L1215*SIN(RADIANS(K1215))</f>
        <v>-1.597410445260153</v>
      </c>
      <c r="O1215" s="12">
        <f>L1215*COS(RADIANS(K1215))</f>
        <v>-6.4068633568804252</v>
      </c>
      <c r="P1215" s="5">
        <v>3.8033032740482113</v>
      </c>
      <c r="Q1215" s="5">
        <v>0.48831093549477372</v>
      </c>
      <c r="R1215" s="6">
        <f>P1215/Q1215</f>
        <v>7.7886915847882277</v>
      </c>
    </row>
    <row r="1216" spans="1:18" x14ac:dyDescent="0.35">
      <c r="A1216" s="9">
        <v>1216</v>
      </c>
      <c r="B1216" s="5">
        <v>0.75</v>
      </c>
      <c r="C1216" s="5">
        <v>6000000</v>
      </c>
      <c r="D1216" s="5">
        <v>5</v>
      </c>
      <c r="E1216" s="5">
        <v>0.125</v>
      </c>
      <c r="F1216" s="5">
        <v>7.4999999999999997E-2</v>
      </c>
      <c r="G1216" s="12">
        <f>(C1216*$U$4)/($U$5*$U$3)</f>
        <v>88.16326530612244</v>
      </c>
      <c r="H1216" s="11">
        <f>G1216*COS(RADIANS(D1216))</f>
        <v>87.827777464415107</v>
      </c>
      <c r="I1216" s="11">
        <f>G1216*SIN(RADIANS(D1216))</f>
        <v>7.6839348708139434</v>
      </c>
      <c r="J1216" s="12">
        <v>0.2802</v>
      </c>
      <c r="K1216" s="12">
        <v>19</v>
      </c>
      <c r="L1216" s="12">
        <f>-(F1216*G1216*$U$3)/J1216</f>
        <v>-23.59830441812699</v>
      </c>
      <c r="M1216" s="11">
        <f>ABS(L1216/$U$6)</f>
        <v>6.8799721335647199E-2</v>
      </c>
      <c r="N1216" s="12">
        <f>L1216*SIN(RADIANS(K1216))</f>
        <v>-7.6828564177277707</v>
      </c>
      <c r="O1216" s="12">
        <f>L1216*COS(RADIANS(K1216))</f>
        <v>-22.312635179986497</v>
      </c>
      <c r="P1216" s="5">
        <v>6.334234551094414</v>
      </c>
      <c r="Q1216" s="5">
        <v>2.2730559267091603E-2</v>
      </c>
      <c r="R1216" s="6">
        <f>P1216/Q1216</f>
        <v>278.66602298100366</v>
      </c>
    </row>
    <row r="1217" spans="1:18" x14ac:dyDescent="0.35">
      <c r="A1217" s="9">
        <v>1217</v>
      </c>
      <c r="B1217" s="5">
        <v>0.75</v>
      </c>
      <c r="C1217" s="5">
        <v>2000000</v>
      </c>
      <c r="D1217" s="5">
        <v>0</v>
      </c>
      <c r="E1217" s="5">
        <v>0.375</v>
      </c>
      <c r="F1217" s="5">
        <v>1.4999999999999999E-2</v>
      </c>
      <c r="G1217" s="12">
        <f>(C1217*$U$4)/($U$5*$U$3)</f>
        <v>29.387755102040813</v>
      </c>
      <c r="H1217" s="11">
        <f>G1217*COS(RADIANS(D1217))</f>
        <v>29.387755102040813</v>
      </c>
      <c r="I1217" s="11">
        <f>G1217*SIN(RADIANS(D1217))</f>
        <v>0</v>
      </c>
      <c r="J1217" s="11">
        <v>0.29299999999999998</v>
      </c>
      <c r="K1217" s="12">
        <v>57</v>
      </c>
      <c r="L1217" s="12">
        <f>-(F1217*G1217*$U$3)/J1217</f>
        <v>-1.5044925820157413</v>
      </c>
      <c r="M1217" s="11">
        <f>ABS(L1217/$U$6)</f>
        <v>4.3862757493170297E-3</v>
      </c>
      <c r="N1217" s="12">
        <f>L1217*SIN(RADIANS(K1217))</f>
        <v>-1.2617736482288193</v>
      </c>
      <c r="O1217" s="12">
        <f>L1217*COS(RADIANS(K1217))</f>
        <v>-0.81940538805631979</v>
      </c>
      <c r="P1217" s="5">
        <v>4.0651761487821334</v>
      </c>
      <c r="Q1217" s="5">
        <v>-0.43061651430900211</v>
      </c>
      <c r="R1217" s="6">
        <f>P1217/Q1217</f>
        <v>-9.4403628604569523</v>
      </c>
    </row>
    <row r="1218" spans="1:18" x14ac:dyDescent="0.35">
      <c r="A1218" s="9">
        <v>468</v>
      </c>
      <c r="B1218" s="5">
        <v>0.75</v>
      </c>
      <c r="C1218" s="5">
        <v>6000000</v>
      </c>
      <c r="D1218" s="5">
        <v>10</v>
      </c>
      <c r="E1218" s="5">
        <v>0.375</v>
      </c>
      <c r="F1218" s="5">
        <v>0.15</v>
      </c>
      <c r="G1218" s="12">
        <f>(C1218*$U$4)/($U$5*$U$3)</f>
        <v>88.16326530612244</v>
      </c>
      <c r="H1218" s="11">
        <f>G1218*COS(RADIANS(D1218))</f>
        <v>86.823867204341596</v>
      </c>
      <c r="I1218" s="11">
        <f>G1218*SIN(RADIANS(D1218))</f>
        <v>15.309390357574264</v>
      </c>
      <c r="J1218" s="11">
        <v>0.29299999999999998</v>
      </c>
      <c r="K1218" s="12">
        <v>57</v>
      </c>
      <c r="L1218" s="12">
        <f>-(F1218*G1218*$U$3)/J1218</f>
        <v>-45.134777460472243</v>
      </c>
      <c r="M1218" s="11">
        <f>ABS(L1218/$U$6)</f>
        <v>0.13158827247951091</v>
      </c>
      <c r="N1218" s="12">
        <f>L1218*SIN(RADIANS(K1218))</f>
        <v>-37.853209446864582</v>
      </c>
      <c r="O1218" s="12">
        <f>L1218*COS(RADIANS(K1218))</f>
        <v>-24.582161641689598</v>
      </c>
      <c r="P1218" s="5">
        <v>6.0814489253877184</v>
      </c>
      <c r="Q1218" s="5">
        <v>-0.17138124382775682</v>
      </c>
      <c r="R1218" s="6">
        <f>P1218/Q1218</f>
        <v>-35.484915324221554</v>
      </c>
    </row>
    <row r="1219" spans="1:18" x14ac:dyDescent="0.35">
      <c r="A1219" s="9">
        <v>1219</v>
      </c>
      <c r="B1219" s="5">
        <v>0.25</v>
      </c>
      <c r="C1219" s="5">
        <v>2000000</v>
      </c>
      <c r="D1219" s="5">
        <v>20</v>
      </c>
      <c r="E1219" s="5">
        <v>0.25</v>
      </c>
      <c r="F1219" s="5">
        <v>7.4999999999999997E-2</v>
      </c>
      <c r="G1219" s="12">
        <f>(C1219*$U$4)/($U$5*$U$3)</f>
        <v>29.387755102040813</v>
      </c>
      <c r="H1219" s="11">
        <f>G1219*COS(RADIANS(D1219))</f>
        <v>27.615456610851183</v>
      </c>
      <c r="I1219" s="11">
        <f>G1219*SIN(RADIANS(D1219))</f>
        <v>10.051204212019652</v>
      </c>
      <c r="J1219" s="12">
        <v>0.1913</v>
      </c>
      <c r="K1219" s="11">
        <v>67</v>
      </c>
      <c r="L1219" s="12">
        <f>-(F1219*G1219*$U$3)/J1219</f>
        <v>-11.521597661542399</v>
      </c>
      <c r="M1219" s="11">
        <f>ABS(L1219/$U$6)</f>
        <v>3.3590663736275214E-2</v>
      </c>
      <c r="N1219" s="12">
        <f>L1219*SIN(RADIANS(K1219))</f>
        <v>-10.605686566976066</v>
      </c>
      <c r="O1219" s="12">
        <f>L1219*COS(RADIANS(K1219))</f>
        <v>-4.501846856293839</v>
      </c>
      <c r="P1219" s="5">
        <v>2.3449451840854065</v>
      </c>
      <c r="Q1219" s="5">
        <v>0.67359228058830778</v>
      </c>
      <c r="R1219" s="6">
        <f>P1219/Q1219</f>
        <v>3.4812530542026972</v>
      </c>
    </row>
    <row r="1220" spans="1:18" x14ac:dyDescent="0.35">
      <c r="A1220" s="9">
        <v>1220</v>
      </c>
      <c r="B1220" s="5">
        <v>0.5</v>
      </c>
      <c r="C1220" s="5">
        <v>2000000</v>
      </c>
      <c r="D1220" s="5">
        <v>30</v>
      </c>
      <c r="E1220" s="5">
        <v>0.375</v>
      </c>
      <c r="F1220" s="5">
        <v>1.4999999999999999E-2</v>
      </c>
      <c r="G1220" s="12">
        <f>(C1220*$U$4)/($U$5*$U$3)</f>
        <v>29.387755102040813</v>
      </c>
      <c r="H1220" s="11">
        <f>G1220*COS(RADIANS(D1220))</f>
        <v>25.450542478563094</v>
      </c>
      <c r="I1220" s="11">
        <f>G1220*SIN(RADIANS(D1220))</f>
        <v>14.693877551020405</v>
      </c>
      <c r="J1220" s="12">
        <v>0.24809999999999999</v>
      </c>
      <c r="K1220" s="12">
        <v>67</v>
      </c>
      <c r="L1220" s="12">
        <f>-(F1220*G1220*$U$3)/J1220</f>
        <v>-1.7767687486118993</v>
      </c>
      <c r="M1220" s="11">
        <f>ABS(L1220/$U$6)</f>
        <v>5.1800838151950419E-3</v>
      </c>
      <c r="N1220" s="12">
        <f>L1220*SIN(RADIANS(K1220))</f>
        <v>-1.6355242565598722</v>
      </c>
      <c r="O1220" s="12">
        <f>L1220*COS(RADIANS(K1220))</f>
        <v>-0.69423885820960207</v>
      </c>
      <c r="P1220" s="5">
        <v>3.5254547455872323</v>
      </c>
      <c r="Q1220" s="5">
        <v>1.1347554909528139</v>
      </c>
      <c r="R1220" s="6">
        <f>P1220/Q1220</f>
        <v>3.1067968154329293</v>
      </c>
    </row>
    <row r="1221" spans="1:18" x14ac:dyDescent="0.35">
      <c r="A1221" s="9">
        <v>1221</v>
      </c>
      <c r="B1221" s="5">
        <v>0.5</v>
      </c>
      <c r="C1221" s="5">
        <v>6000000</v>
      </c>
      <c r="D1221" s="5">
        <v>10</v>
      </c>
      <c r="E1221" s="5">
        <v>0.125</v>
      </c>
      <c r="F1221" s="5">
        <v>1.4999999999999999E-2</v>
      </c>
      <c r="G1221" s="12">
        <f>(C1221*$U$4)/($U$5*$U$3)</f>
        <v>88.16326530612244</v>
      </c>
      <c r="H1221" s="11">
        <f>G1221*COS(RADIANS(D1221))</f>
        <v>86.823867204341596</v>
      </c>
      <c r="I1221" s="11">
        <f>G1221*SIN(RADIANS(D1221))</f>
        <v>15.309390357574264</v>
      </c>
      <c r="J1221" s="12">
        <v>0.23300000000000001</v>
      </c>
      <c r="K1221" s="11">
        <v>27</v>
      </c>
      <c r="L1221" s="12">
        <f>-(F1221*G1221*$U$3)/J1221</f>
        <v>-5.6757466935271959</v>
      </c>
      <c r="M1221" s="11">
        <f>ABS(L1221/$U$6)</f>
        <v>1.6547366453432057E-2</v>
      </c>
      <c r="N1221" s="12">
        <f>L1221*SIN(RADIANS(K1221))</f>
        <v>-2.5767350777894915</v>
      </c>
      <c r="O1221" s="12">
        <f>L1221*COS(RADIANS(K1221))</f>
        <v>-5.0571273335732885</v>
      </c>
      <c r="P1221" s="5">
        <v>3.4706662239711972</v>
      </c>
      <c r="Q1221" s="5">
        <v>0.60854098268762147</v>
      </c>
      <c r="R1221" s="6">
        <f>P1221/Q1221</f>
        <v>5.7032579936407872</v>
      </c>
    </row>
    <row r="1222" spans="1:18" x14ac:dyDescent="0.35">
      <c r="A1222" s="9">
        <v>1222</v>
      </c>
      <c r="B1222" s="5">
        <v>0.5</v>
      </c>
      <c r="C1222" s="5">
        <v>4000000</v>
      </c>
      <c r="D1222" s="5">
        <v>10</v>
      </c>
      <c r="E1222" s="5">
        <v>0.25</v>
      </c>
      <c r="F1222" s="5">
        <v>0.1</v>
      </c>
      <c r="G1222" s="12">
        <f>(C1222*$U$4)/($U$5*$U$3)</f>
        <v>58.775510204081627</v>
      </c>
      <c r="H1222" s="11">
        <f>G1222*COS(RADIANS(D1222))</f>
        <v>57.882578136227728</v>
      </c>
      <c r="I1222" s="11">
        <f>G1222*SIN(RADIANS(D1222))</f>
        <v>10.206260238382843</v>
      </c>
      <c r="J1222" s="11">
        <v>0.23580000000000001</v>
      </c>
      <c r="K1222" s="11">
        <v>49</v>
      </c>
      <c r="L1222" s="12">
        <f>-(F1222*G1222*$U$3)/J1222</f>
        <v>-24.926000934725032</v>
      </c>
      <c r="M1222" s="11">
        <f>ABS(L1222/$U$6)</f>
        <v>7.2670556661005928E-2</v>
      </c>
      <c r="N1222" s="12">
        <f>L1222*SIN(RADIANS(K1222))</f>
        <v>-18.81189170207875</v>
      </c>
      <c r="O1222" s="12">
        <f>L1222*COS(RADIANS(K1222))</f>
        <v>-16.352927969852182</v>
      </c>
      <c r="P1222" s="5">
        <v>4.9857966283361828</v>
      </c>
      <c r="Q1222" s="5">
        <v>0.25363057873825995</v>
      </c>
      <c r="R1222" s="6">
        <f>P1222/Q1222</f>
        <v>19.657711042332135</v>
      </c>
    </row>
    <row r="1223" spans="1:18" x14ac:dyDescent="0.35">
      <c r="A1223" s="9">
        <v>1223</v>
      </c>
      <c r="B1223" s="5">
        <v>0.1</v>
      </c>
      <c r="C1223" s="5">
        <v>4000000</v>
      </c>
      <c r="D1223" s="5">
        <v>10</v>
      </c>
      <c r="E1223" s="5">
        <v>0.125</v>
      </c>
      <c r="F1223" s="5">
        <v>2.5000000000000001E-2</v>
      </c>
      <c r="G1223" s="12">
        <f>(C1223*$U$4)/($U$5*$U$3)</f>
        <v>58.775510204081627</v>
      </c>
      <c r="H1223" s="11">
        <f>G1223*COS(RADIANS(D1223))</f>
        <v>57.882578136227728</v>
      </c>
      <c r="I1223" s="11">
        <f>G1223*SIN(RADIANS(D1223))</f>
        <v>10.206260238382843</v>
      </c>
      <c r="J1223" s="12">
        <v>0.1658</v>
      </c>
      <c r="K1223" s="12">
        <v>69</v>
      </c>
      <c r="L1223" s="12">
        <f>-(F1223*G1223*$U$3)/J1223</f>
        <v>-8.8624110681667112</v>
      </c>
      <c r="M1223" s="11">
        <f>ABS(L1223/$U$6)</f>
        <v>2.5837933143343182E-2</v>
      </c>
      <c r="N1223" s="12">
        <f>L1223*SIN(RADIANS(K1223))</f>
        <v>-8.2737735048125991</v>
      </c>
      <c r="O1223" s="12">
        <f>L1223*COS(RADIANS(K1223))</f>
        <v>-3.1760040825264797</v>
      </c>
      <c r="P1223" s="5">
        <v>1.3769668417931482</v>
      </c>
      <c r="Q1223" s="5">
        <v>0.45358878512208128</v>
      </c>
      <c r="R1223" s="6">
        <f>P1223/Q1223</f>
        <v>3.0357162411379814</v>
      </c>
    </row>
    <row r="1224" spans="1:18" x14ac:dyDescent="0.35">
      <c r="A1224" s="9">
        <v>1224</v>
      </c>
      <c r="B1224" s="5">
        <v>0.5</v>
      </c>
      <c r="C1224" s="5">
        <v>4000000</v>
      </c>
      <c r="D1224" s="5">
        <v>0</v>
      </c>
      <c r="E1224" s="5">
        <v>0.375</v>
      </c>
      <c r="F1224" s="5">
        <v>0</v>
      </c>
      <c r="G1224" s="12">
        <f>(C1224*$U$4)/($U$5*$U$3)</f>
        <v>58.775510204081627</v>
      </c>
      <c r="H1224" s="11">
        <f>G1224*COS(RADIANS(D1224))</f>
        <v>58.775510204081627</v>
      </c>
      <c r="I1224" s="11">
        <f>G1224*SIN(RADIANS(D1224))</f>
        <v>0</v>
      </c>
      <c r="J1224" s="12">
        <v>0.24809999999999999</v>
      </c>
      <c r="K1224" s="12">
        <v>67</v>
      </c>
      <c r="L1224" s="12">
        <f>-(F1224*G1224*$U$3)/J1224</f>
        <v>0</v>
      </c>
      <c r="M1224" s="11">
        <f>ABS(L1224/$U$6)</f>
        <v>0</v>
      </c>
      <c r="N1224" s="12">
        <f>L1224*SIN(RADIANS(K1224))</f>
        <v>0</v>
      </c>
      <c r="O1224" s="12">
        <f>L1224*COS(RADIANS(K1224))</f>
        <v>0</v>
      </c>
      <c r="P1224" s="5">
        <v>4.4624143318298524</v>
      </c>
      <c r="Q1224" s="5">
        <v>0.22955944415593657</v>
      </c>
      <c r="R1224" s="6">
        <f>P1224/Q1224</f>
        <v>19.439036142632389</v>
      </c>
    </row>
    <row r="1225" spans="1:18" x14ac:dyDescent="0.35">
      <c r="A1225" s="9">
        <v>1225</v>
      </c>
      <c r="B1225" s="5">
        <v>0.25</v>
      </c>
      <c r="C1225" s="5">
        <v>2000000</v>
      </c>
      <c r="D1225" s="5">
        <v>10</v>
      </c>
      <c r="E1225" s="5">
        <v>0.25</v>
      </c>
      <c r="F1225" s="5">
        <v>0.05</v>
      </c>
      <c r="G1225" s="12">
        <f>(C1225*$U$4)/($U$5*$U$3)</f>
        <v>29.387755102040813</v>
      </c>
      <c r="H1225" s="11">
        <f>G1225*COS(RADIANS(D1225))</f>
        <v>28.941289068113864</v>
      </c>
      <c r="I1225" s="11">
        <f>G1225*SIN(RADIANS(D1225))</f>
        <v>5.1031301191914213</v>
      </c>
      <c r="J1225" s="12">
        <v>0.1913</v>
      </c>
      <c r="K1225" s="11">
        <v>67</v>
      </c>
      <c r="L1225" s="12">
        <f>-(F1225*G1225*$U$3)/J1225</f>
        <v>-7.6810651076949332</v>
      </c>
      <c r="M1225" s="11">
        <f>ABS(L1225/$U$6)</f>
        <v>2.239377582418348E-2</v>
      </c>
      <c r="N1225" s="12">
        <f>L1225*SIN(RADIANS(K1225))</f>
        <v>-7.0704577113173777</v>
      </c>
      <c r="O1225" s="12">
        <f>L1225*COS(RADIANS(K1225))</f>
        <v>-3.0012312375292258</v>
      </c>
      <c r="P1225" s="5">
        <v>2.1278688022966725</v>
      </c>
      <c r="Q1225" s="5">
        <v>0.38410305575086007</v>
      </c>
      <c r="R1225" s="6">
        <f>P1225/Q1225</f>
        <v>5.5398382554833603</v>
      </c>
    </row>
    <row r="1226" spans="1:18" x14ac:dyDescent="0.35">
      <c r="A1226" s="9">
        <v>1226</v>
      </c>
      <c r="B1226" s="5">
        <v>0.1</v>
      </c>
      <c r="C1226" s="5">
        <v>4000000</v>
      </c>
      <c r="D1226" s="5">
        <v>30</v>
      </c>
      <c r="E1226" s="5">
        <v>0</v>
      </c>
      <c r="F1226" s="5">
        <v>3.5000000000000003E-2</v>
      </c>
      <c r="G1226" s="12">
        <f>(C1226*$U$4)/($U$5*$U$3)</f>
        <v>58.775510204081627</v>
      </c>
      <c r="H1226" s="11">
        <f>G1226*COS(RADIANS(D1226))</f>
        <v>50.901084957126187</v>
      </c>
      <c r="I1226" s="11">
        <f>G1226*SIN(RADIANS(D1226))</f>
        <v>29.38775510204081</v>
      </c>
      <c r="J1226" s="11">
        <v>0.16569999999999999</v>
      </c>
      <c r="K1226" s="12">
        <v>0</v>
      </c>
      <c r="L1226" s="12">
        <f>-(F1226*G1226*$U$3)/J1226</f>
        <v>-12.414863350288817</v>
      </c>
      <c r="M1226" s="11">
        <f>ABS(L1226/$U$6)</f>
        <v>3.6194936881308502E-2</v>
      </c>
      <c r="N1226" s="12">
        <f>L1226*SIN(RADIANS(K1226))</f>
        <v>0</v>
      </c>
      <c r="O1226" s="12">
        <f>L1226*COS(RADIANS(K1226))</f>
        <v>-12.414863350288817</v>
      </c>
      <c r="P1226" s="5">
        <v>1.1182259589326091</v>
      </c>
      <c r="Q1226" s="5">
        <v>0.83296658475779539</v>
      </c>
      <c r="R1226" s="6">
        <f>P1226/Q1226</f>
        <v>1.3424619659355959</v>
      </c>
    </row>
    <row r="1227" spans="1:18" x14ac:dyDescent="0.35">
      <c r="A1227" s="9">
        <v>1227</v>
      </c>
      <c r="B1227" s="5">
        <v>0.1</v>
      </c>
      <c r="C1227" s="5">
        <v>2000000</v>
      </c>
      <c r="D1227" s="5">
        <v>15</v>
      </c>
      <c r="E1227" s="5">
        <v>0.25</v>
      </c>
      <c r="F1227" s="5">
        <v>1.4999999999999999E-2</v>
      </c>
      <c r="G1227" s="12">
        <f>(C1227*$U$4)/($U$5*$U$3)</f>
        <v>29.387755102040813</v>
      </c>
      <c r="H1227" s="11">
        <f>G1227*COS(RADIANS(D1227))</f>
        <v>28.386391629719554</v>
      </c>
      <c r="I1227" s="11">
        <f>G1227*SIN(RADIANS(D1227))</f>
        <v>7.6061107132169354</v>
      </c>
      <c r="J1227" s="11">
        <v>0.1661</v>
      </c>
      <c r="K1227" s="12">
        <v>80</v>
      </c>
      <c r="L1227" s="12">
        <f>-(F1227*G1227*$U$3)/J1227</f>
        <v>-2.6539212915750285</v>
      </c>
      <c r="M1227" s="11">
        <f>ABS(L1227/$U$6)</f>
        <v>7.7373798588193255E-3</v>
      </c>
      <c r="N1227" s="12">
        <f>L1227*SIN(RADIANS(K1227))</f>
        <v>-2.6136022638272607</v>
      </c>
      <c r="O1227" s="12">
        <f>L1227*COS(RADIANS(K1227))</f>
        <v>-0.46084859595347</v>
      </c>
      <c r="P1227" s="5">
        <v>1.5171397130750053</v>
      </c>
      <c r="Q1227" s="5">
        <v>0.61591593159890201</v>
      </c>
      <c r="R1227" s="6">
        <f>P1227/Q1227</f>
        <v>2.4632253124814443</v>
      </c>
    </row>
    <row r="1228" spans="1:18" x14ac:dyDescent="0.35">
      <c r="A1228" s="9">
        <v>1228</v>
      </c>
      <c r="B1228" s="5">
        <v>0.5</v>
      </c>
      <c r="C1228" s="5">
        <v>4000000</v>
      </c>
      <c r="D1228" s="5">
        <v>15</v>
      </c>
      <c r="E1228" s="5">
        <v>0.125</v>
      </c>
      <c r="F1228" s="5">
        <v>2.5000000000000001E-2</v>
      </c>
      <c r="G1228" s="12">
        <f>(C1228*$U$4)/($U$5*$U$3)</f>
        <v>58.775510204081627</v>
      </c>
      <c r="H1228" s="11">
        <f>G1228*COS(RADIANS(D1228))</f>
        <v>56.772783259439109</v>
      </c>
      <c r="I1228" s="11">
        <f>G1228*SIN(RADIANS(D1228))</f>
        <v>15.212221426433871</v>
      </c>
      <c r="J1228" s="12">
        <v>0.23300000000000001</v>
      </c>
      <c r="K1228" s="11">
        <v>27</v>
      </c>
      <c r="L1228" s="12">
        <f>-(F1228*G1228*$U$3)/J1228</f>
        <v>-6.3063852150302173</v>
      </c>
      <c r="M1228" s="11">
        <f>ABS(L1228/$U$6)</f>
        <v>1.8385962726035619E-2</v>
      </c>
      <c r="N1228" s="12">
        <f>L1228*SIN(RADIANS(K1228))</f>
        <v>-2.8630389753216572</v>
      </c>
      <c r="O1228" s="12">
        <f>L1228*COS(RADIANS(K1228))</f>
        <v>-5.6190303706369873</v>
      </c>
      <c r="P1228" s="5">
        <v>3.6173070293269101</v>
      </c>
      <c r="Q1228" s="5">
        <v>0.77360061239554367</v>
      </c>
      <c r="R1228" s="6">
        <f>P1228/Q1228</f>
        <v>4.675936098506309</v>
      </c>
    </row>
    <row r="1229" spans="1:18" x14ac:dyDescent="0.35">
      <c r="A1229" s="9">
        <v>1229</v>
      </c>
      <c r="B1229" s="5">
        <v>0.25</v>
      </c>
      <c r="C1229" s="5">
        <v>6000000</v>
      </c>
      <c r="D1229" s="5">
        <v>30</v>
      </c>
      <c r="E1229" s="5">
        <v>0</v>
      </c>
      <c r="F1229" s="5">
        <v>0</v>
      </c>
      <c r="G1229" s="12">
        <f>(C1229*$U$4)/($U$5*$U$3)</f>
        <v>88.16326530612244</v>
      </c>
      <c r="H1229" s="11">
        <f>G1229*COS(RADIANS(D1229))</f>
        <v>76.351627435689281</v>
      </c>
      <c r="I1229" s="11">
        <f>G1229*SIN(RADIANS(D1229))</f>
        <v>44.081632653061213</v>
      </c>
      <c r="J1229" s="12">
        <v>0.18990000000000001</v>
      </c>
      <c r="K1229" s="12">
        <v>0</v>
      </c>
      <c r="L1229" s="12">
        <f>-(F1229*G1229*$U$3)/J1229</f>
        <v>0</v>
      </c>
      <c r="M1229" s="11">
        <f>ABS(L1229/$U$6)</f>
        <v>0</v>
      </c>
      <c r="N1229" s="12">
        <f>L1229*SIN(RADIANS(K1229))</f>
        <v>0</v>
      </c>
      <c r="O1229" s="12">
        <f>L1229*COS(RADIANS(K1229))</f>
        <v>0</v>
      </c>
      <c r="P1229" s="5">
        <v>2.1898315480420214</v>
      </c>
      <c r="Q1229" s="5">
        <v>1.0174604953516508</v>
      </c>
      <c r="R1229" s="6">
        <f>P1229/Q1229</f>
        <v>2.1522521592203736</v>
      </c>
    </row>
    <row r="1230" spans="1:18" x14ac:dyDescent="0.35">
      <c r="A1230" s="9">
        <v>1230</v>
      </c>
      <c r="B1230" s="5">
        <v>0.1</v>
      </c>
      <c r="C1230" s="5">
        <v>2000000</v>
      </c>
      <c r="D1230" s="5">
        <v>30</v>
      </c>
      <c r="E1230" s="5">
        <v>0.375</v>
      </c>
      <c r="F1230" s="5">
        <v>7.4999999999999997E-2</v>
      </c>
      <c r="G1230" s="12">
        <f>(C1230*$U$4)/($U$5*$U$3)</f>
        <v>29.387755102040813</v>
      </c>
      <c r="H1230" s="11">
        <f>G1230*COS(RADIANS(D1230))</f>
        <v>25.450542478563094</v>
      </c>
      <c r="I1230" s="11">
        <f>G1230*SIN(RADIANS(D1230))</f>
        <v>14.693877551020405</v>
      </c>
      <c r="J1230" s="12">
        <v>0.16789999999999999</v>
      </c>
      <c r="K1230" s="11">
        <v>85</v>
      </c>
      <c r="L1230" s="12">
        <f>-(F1230*G1230*$U$3)/J1230</f>
        <v>-13.127347424973562</v>
      </c>
      <c r="M1230" s="11">
        <f>ABS(L1230/$U$6)</f>
        <v>3.8272149927036626E-2</v>
      </c>
      <c r="N1230" s="12">
        <f>L1230*SIN(RADIANS(K1230))</f>
        <v>-13.077393904766991</v>
      </c>
      <c r="O1230" s="12">
        <f>L1230*COS(RADIANS(K1230))</f>
        <v>-1.1441237151301282</v>
      </c>
      <c r="P1230" s="5">
        <v>1.5451203503976032</v>
      </c>
      <c r="Q1230" s="5">
        <v>1.1212124752199231</v>
      </c>
      <c r="R1230" s="6">
        <f>P1230/Q1230</f>
        <v>1.3780798774064047</v>
      </c>
    </row>
    <row r="1231" spans="1:18" x14ac:dyDescent="0.35">
      <c r="A1231" s="9">
        <v>1231</v>
      </c>
      <c r="B1231" s="5">
        <v>0.75</v>
      </c>
      <c r="C1231" s="5">
        <v>4000000</v>
      </c>
      <c r="D1231" s="5">
        <v>0</v>
      </c>
      <c r="E1231" s="5">
        <v>0.125</v>
      </c>
      <c r="F1231" s="5">
        <v>3.5000000000000003E-2</v>
      </c>
      <c r="G1231" s="12">
        <f>(C1231*$U$4)/($U$5*$U$3)</f>
        <v>58.775510204081627</v>
      </c>
      <c r="H1231" s="11">
        <f>G1231*COS(RADIANS(D1231))</f>
        <v>58.775510204081627</v>
      </c>
      <c r="I1231" s="11">
        <f>G1231*SIN(RADIANS(D1231))</f>
        <v>0</v>
      </c>
      <c r="J1231" s="12">
        <v>0.2802</v>
      </c>
      <c r="K1231" s="12">
        <v>19</v>
      </c>
      <c r="L1231" s="12">
        <f>-(F1231*G1231*$U$3)/J1231</f>
        <v>-7.3416947078617305</v>
      </c>
      <c r="M1231" s="11">
        <f>ABS(L1231/$U$6)</f>
        <v>2.1404357748868019E-2</v>
      </c>
      <c r="N1231" s="12">
        <f>L1231*SIN(RADIANS(K1231))</f>
        <v>-2.3902219966264178</v>
      </c>
      <c r="O1231" s="12">
        <f>L1231*COS(RADIANS(K1231))</f>
        <v>-6.9417087226624661</v>
      </c>
      <c r="P1231" s="5">
        <v>3.0487592875193603</v>
      </c>
      <c r="Q1231" s="5">
        <v>0.58095346647105051</v>
      </c>
      <c r="R1231" s="6">
        <f>P1231/Q1231</f>
        <v>5.2478545416705646</v>
      </c>
    </row>
    <row r="1232" spans="1:18" x14ac:dyDescent="0.35">
      <c r="A1232" s="9">
        <v>1232</v>
      </c>
      <c r="B1232" s="5">
        <v>1</v>
      </c>
      <c r="C1232" s="5">
        <v>2000000</v>
      </c>
      <c r="D1232" s="5">
        <v>15</v>
      </c>
      <c r="E1232" s="5">
        <v>0</v>
      </c>
      <c r="F1232" s="5">
        <v>1.4999999999999999E-2</v>
      </c>
      <c r="G1232" s="12">
        <f>(C1232*$U$4)/($U$5*$U$3)</f>
        <v>29.387755102040813</v>
      </c>
      <c r="H1232" s="11">
        <f>G1232*COS(RADIANS(D1232))</f>
        <v>28.386391629719554</v>
      </c>
      <c r="I1232" s="11">
        <f>G1232*SIN(RADIANS(D1232))</f>
        <v>7.6061107132169354</v>
      </c>
      <c r="J1232" s="11">
        <v>0.33379999999999999</v>
      </c>
      <c r="K1232" s="12">
        <v>0</v>
      </c>
      <c r="L1232" s="12">
        <f>-(F1232*G1232*$U$3)/J1232</f>
        <v>-1.3206001393966813</v>
      </c>
      <c r="M1232" s="11">
        <f>ABS(L1232/$U$6)</f>
        <v>3.8501461789990708E-3</v>
      </c>
      <c r="N1232" s="12">
        <f>L1232*SIN(RADIANS(K1232))</f>
        <v>0</v>
      </c>
      <c r="O1232" s="12">
        <f>L1232*COS(RADIANS(K1232))</f>
        <v>-1.3206001393966813</v>
      </c>
      <c r="P1232" s="5">
        <v>0.58757311950681734</v>
      </c>
      <c r="Q1232" s="5">
        <v>2.1560904409708361</v>
      </c>
      <c r="R1232" s="6">
        <f>P1232/Q1232</f>
        <v>0.27251784449368793</v>
      </c>
    </row>
    <row r="1233" spans="1:18" x14ac:dyDescent="0.35">
      <c r="A1233" s="9">
        <v>1233</v>
      </c>
      <c r="B1233" s="5">
        <v>0.5</v>
      </c>
      <c r="C1233" s="5">
        <v>6000000</v>
      </c>
      <c r="D1233" s="5">
        <v>15</v>
      </c>
      <c r="E1233" s="5">
        <v>0</v>
      </c>
      <c r="F1233" s="5">
        <v>1.4999999999999999E-2</v>
      </c>
      <c r="G1233" s="12">
        <f>(C1233*$U$4)/($U$5*$U$3)</f>
        <v>88.16326530612244</v>
      </c>
      <c r="H1233" s="11">
        <f>G1233*COS(RADIANS(D1233))</f>
        <v>85.159174889158663</v>
      </c>
      <c r="I1233" s="11">
        <f>G1233*SIN(RADIANS(D1233))</f>
        <v>22.818332139650806</v>
      </c>
      <c r="J1233" s="12">
        <v>0.23230000000000001</v>
      </c>
      <c r="K1233" s="12">
        <v>0</v>
      </c>
      <c r="L1233" s="12">
        <f>-(F1233*G1233*$U$3)/J1233</f>
        <v>-5.6928496753845739</v>
      </c>
      <c r="M1233" s="11">
        <f>ABS(L1233/$U$6)</f>
        <v>1.6597229374299048E-2</v>
      </c>
      <c r="N1233" s="12">
        <f>L1233*SIN(RADIANS(K1233))</f>
        <v>0</v>
      </c>
      <c r="O1233" s="12">
        <f>L1233*COS(RADIANS(K1233))</f>
        <v>-5.6928496753845739</v>
      </c>
      <c r="P1233" s="5">
        <v>2.9263094498246747</v>
      </c>
      <c r="Q1233" s="5">
        <v>0.8427147319170164</v>
      </c>
      <c r="R1233" s="6">
        <f>P1233/Q1233</f>
        <v>3.4724792850931596</v>
      </c>
    </row>
    <row r="1234" spans="1:18" x14ac:dyDescent="0.35">
      <c r="A1234" s="9">
        <v>1234</v>
      </c>
      <c r="B1234" s="5">
        <v>1</v>
      </c>
      <c r="C1234" s="5">
        <v>6000000</v>
      </c>
      <c r="D1234" s="5">
        <v>0</v>
      </c>
      <c r="E1234" s="5">
        <v>0.25</v>
      </c>
      <c r="F1234" s="5">
        <v>3.5000000000000003E-2</v>
      </c>
      <c r="G1234" s="12">
        <f>(C1234*$U$4)/($U$5*$U$3)</f>
        <v>88.16326530612244</v>
      </c>
      <c r="H1234" s="11">
        <f>G1234*COS(RADIANS(D1234))</f>
        <v>88.16326530612244</v>
      </c>
      <c r="I1234" s="11">
        <f>G1234*SIN(RADIANS(D1234))</f>
        <v>0</v>
      </c>
      <c r="J1234" s="13">
        <v>0.33379999999999999</v>
      </c>
      <c r="K1234" s="12">
        <v>30</v>
      </c>
      <c r="L1234" s="12">
        <f>-(F1234*G1234*$U$3)/J1234</f>
        <v>-9.2442009757767707</v>
      </c>
      <c r="M1234" s="11">
        <f>ABS(L1234/$U$6)</f>
        <v>2.6951023252993502E-2</v>
      </c>
      <c r="N1234" s="12">
        <f>L1234*SIN(RADIANS(K1234))</f>
        <v>-4.6221004878883845</v>
      </c>
      <c r="O1234" s="12">
        <f>L1234*COS(RADIANS(K1234))</f>
        <v>-8.0057128827115793</v>
      </c>
      <c r="P1234" s="5">
        <v>3.4971547598434025</v>
      </c>
      <c r="Q1234" s="5">
        <v>0.40690453542539884</v>
      </c>
      <c r="R1234" s="6">
        <f>P1234/Q1234</f>
        <v>8.5945337428773012</v>
      </c>
    </row>
    <row r="1235" spans="1:18" x14ac:dyDescent="0.35">
      <c r="A1235" s="9">
        <v>1235</v>
      </c>
      <c r="B1235" s="5">
        <v>0.75</v>
      </c>
      <c r="C1235" s="5">
        <v>6000000</v>
      </c>
      <c r="D1235" s="5">
        <v>10</v>
      </c>
      <c r="E1235" s="5">
        <v>0.125</v>
      </c>
      <c r="F1235" s="5">
        <v>7.4999999999999997E-2</v>
      </c>
      <c r="G1235" s="12">
        <f>(C1235*$U$4)/($U$5*$U$3)</f>
        <v>88.16326530612244</v>
      </c>
      <c r="H1235" s="11">
        <f>G1235*COS(RADIANS(D1235))</f>
        <v>86.823867204341596</v>
      </c>
      <c r="I1235" s="11">
        <f>G1235*SIN(RADIANS(D1235))</f>
        <v>15.309390357574264</v>
      </c>
      <c r="J1235" s="12">
        <v>0.2802</v>
      </c>
      <c r="K1235" s="12">
        <v>19</v>
      </c>
      <c r="L1235" s="12">
        <f>-(F1235*G1235*$U$3)/J1235</f>
        <v>-23.59830441812699</v>
      </c>
      <c r="M1235" s="11">
        <f>ABS(L1235/$U$6)</f>
        <v>6.8799721335647199E-2</v>
      </c>
      <c r="N1235" s="12">
        <f>L1235*SIN(RADIANS(K1235))</f>
        <v>-7.6828564177277707</v>
      </c>
      <c r="O1235" s="12">
        <f>L1235*COS(RADIANS(K1235))</f>
        <v>-22.312635179986497</v>
      </c>
      <c r="P1235" s="5">
        <v>6.2558582014475066</v>
      </c>
      <c r="Q1235" s="5">
        <v>0.36428317874689714</v>
      </c>
      <c r="R1235" s="6">
        <f>P1235/Q1235</f>
        <v>17.173063612124835</v>
      </c>
    </row>
    <row r="1236" spans="1:18" x14ac:dyDescent="0.35">
      <c r="A1236" s="9">
        <v>1236</v>
      </c>
      <c r="B1236" s="5">
        <v>0.75</v>
      </c>
      <c r="C1236" s="5">
        <v>6000000</v>
      </c>
      <c r="D1236" s="5">
        <v>5</v>
      </c>
      <c r="E1236" s="5">
        <v>0.125</v>
      </c>
      <c r="F1236" s="5">
        <v>2.5000000000000001E-2</v>
      </c>
      <c r="G1236" s="12">
        <f>(C1236*$U$4)/($U$5*$U$3)</f>
        <v>88.16326530612244</v>
      </c>
      <c r="H1236" s="11">
        <f>G1236*COS(RADIANS(D1236))</f>
        <v>87.827777464415107</v>
      </c>
      <c r="I1236" s="11">
        <f>G1236*SIN(RADIANS(D1236))</f>
        <v>7.6839348708139434</v>
      </c>
      <c r="J1236" s="12">
        <v>0.2802</v>
      </c>
      <c r="K1236" s="12">
        <v>19</v>
      </c>
      <c r="L1236" s="12">
        <f>-(F1236*G1236*$U$3)/J1236</f>
        <v>-7.8661014727089968</v>
      </c>
      <c r="M1236" s="11">
        <f>ABS(L1236/$U$6)</f>
        <v>2.2933240445215733E-2</v>
      </c>
      <c r="N1236" s="12">
        <f>L1236*SIN(RADIANS(K1236))</f>
        <v>-2.5609521392425907</v>
      </c>
      <c r="O1236" s="12">
        <f>L1236*COS(RADIANS(K1236))</f>
        <v>-7.4375450599954993</v>
      </c>
      <c r="P1236" s="5">
        <v>4.1852254636990436</v>
      </c>
      <c r="Q1236" s="5">
        <v>0.41803495088213316</v>
      </c>
      <c r="R1236" s="6">
        <f>P1236/Q1236</f>
        <v>10.011663988543118</v>
      </c>
    </row>
    <row r="1237" spans="1:18" x14ac:dyDescent="0.35">
      <c r="A1237" s="9">
        <v>1237</v>
      </c>
      <c r="B1237" s="5">
        <v>0.1</v>
      </c>
      <c r="C1237" s="5">
        <v>4000000</v>
      </c>
      <c r="D1237" s="5">
        <v>10</v>
      </c>
      <c r="E1237" s="5">
        <v>0.125</v>
      </c>
      <c r="F1237" s="5">
        <v>3.5000000000000003E-2</v>
      </c>
      <c r="G1237" s="12">
        <f>(C1237*$U$4)/($U$5*$U$3)</f>
        <v>58.775510204081627</v>
      </c>
      <c r="H1237" s="11">
        <f>G1237*COS(RADIANS(D1237))</f>
        <v>57.882578136227728</v>
      </c>
      <c r="I1237" s="11">
        <f>G1237*SIN(RADIANS(D1237))</f>
        <v>10.206260238382843</v>
      </c>
      <c r="J1237" s="12">
        <v>0.1658</v>
      </c>
      <c r="K1237" s="12">
        <v>69</v>
      </c>
      <c r="L1237" s="12">
        <f>-(F1237*G1237*$U$3)/J1237</f>
        <v>-12.407375495433396</v>
      </c>
      <c r="M1237" s="11">
        <f>ABS(L1237/$U$6)</f>
        <v>3.6173106400680451E-2</v>
      </c>
      <c r="N1237" s="12">
        <f>L1237*SIN(RADIANS(K1237))</f>
        <v>-11.58328290673764</v>
      </c>
      <c r="O1237" s="12">
        <f>L1237*COS(RADIANS(K1237))</f>
        <v>-4.4464057155370718</v>
      </c>
      <c r="P1237" s="5">
        <v>1.4495833251557377</v>
      </c>
      <c r="Q1237" s="5">
        <v>0.44909255619352323</v>
      </c>
      <c r="R1237" s="6">
        <f>P1237/Q1237</f>
        <v>3.2278052823727554</v>
      </c>
    </row>
    <row r="1238" spans="1:18" x14ac:dyDescent="0.35">
      <c r="A1238" s="9">
        <v>1238</v>
      </c>
      <c r="B1238" s="5">
        <v>0.75</v>
      </c>
      <c r="C1238" s="5">
        <v>2000000</v>
      </c>
      <c r="D1238" s="5">
        <v>0</v>
      </c>
      <c r="E1238" s="5">
        <v>0.375</v>
      </c>
      <c r="F1238" s="5">
        <v>0</v>
      </c>
      <c r="G1238" s="12">
        <f>(C1238*$U$4)/($U$5*$U$3)</f>
        <v>29.387755102040813</v>
      </c>
      <c r="H1238" s="11">
        <f>G1238*COS(RADIANS(D1238))</f>
        <v>29.387755102040813</v>
      </c>
      <c r="I1238" s="11">
        <f>G1238*SIN(RADIANS(D1238))</f>
        <v>0</v>
      </c>
      <c r="J1238" s="11">
        <v>0.29299999999999998</v>
      </c>
      <c r="K1238" s="12">
        <v>57</v>
      </c>
      <c r="L1238" s="12">
        <f>-(F1238*G1238*$U$3)/J1238</f>
        <v>0</v>
      </c>
      <c r="M1238" s="11">
        <f>ABS(L1238/$U$6)</f>
        <v>0</v>
      </c>
      <c r="N1238" s="12">
        <f>L1238*SIN(RADIANS(K1238))</f>
        <v>0</v>
      </c>
      <c r="O1238" s="12">
        <f>L1238*COS(RADIANS(K1238))</f>
        <v>0</v>
      </c>
      <c r="P1238" s="5">
        <v>5.0260013207689118</v>
      </c>
      <c r="Q1238" s="5">
        <v>0.32502520208027691</v>
      </c>
      <c r="R1238" s="6">
        <f>P1238/Q1238</f>
        <v>15.463420339717398</v>
      </c>
    </row>
    <row r="1239" spans="1:18" x14ac:dyDescent="0.35">
      <c r="A1239" s="9">
        <v>1239</v>
      </c>
      <c r="B1239" s="5">
        <v>0.25</v>
      </c>
      <c r="C1239" s="5">
        <v>4000000</v>
      </c>
      <c r="D1239" s="5">
        <v>5</v>
      </c>
      <c r="E1239" s="5">
        <v>0.375</v>
      </c>
      <c r="F1239" s="5">
        <v>2.5000000000000001E-2</v>
      </c>
      <c r="G1239" s="12">
        <f>(C1239*$U$4)/($U$5*$U$3)</f>
        <v>58.775510204081627</v>
      </c>
      <c r="H1239" s="11">
        <f>G1239*COS(RADIANS(D1239))</f>
        <v>58.551851642943404</v>
      </c>
      <c r="I1239" s="11">
        <f>G1239*SIN(RADIANS(D1239))</f>
        <v>5.1226232472092956</v>
      </c>
      <c r="J1239" s="11">
        <v>0.1976</v>
      </c>
      <c r="K1239" s="12">
        <v>78</v>
      </c>
      <c r="L1239" s="12">
        <f>-(F1239*G1239*$U$3)/J1239</f>
        <v>-7.4361728497066837</v>
      </c>
      <c r="M1239" s="11">
        <f>ABS(L1239/$U$6)</f>
        <v>2.1679804226550099E-2</v>
      </c>
      <c r="N1239" s="12">
        <f>L1239*SIN(RADIANS(K1239))</f>
        <v>-7.2736746315824581</v>
      </c>
      <c r="O1239" s="12">
        <f>L1239*COS(RADIANS(K1239))</f>
        <v>-1.5460672703956333</v>
      </c>
      <c r="P1239" s="5">
        <v>2.1598015947356033</v>
      </c>
      <c r="Q1239" s="5">
        <v>0.340436423907365</v>
      </c>
      <c r="R1239" s="6">
        <f>P1239/Q1239</f>
        <v>6.3442141999567578</v>
      </c>
    </row>
    <row r="1240" spans="1:18" x14ac:dyDescent="0.35">
      <c r="A1240" s="9">
        <v>640</v>
      </c>
      <c r="B1240" s="5">
        <v>0.75</v>
      </c>
      <c r="C1240" s="5">
        <v>6000000</v>
      </c>
      <c r="D1240" s="5">
        <v>20</v>
      </c>
      <c r="E1240" s="5">
        <v>0.375</v>
      </c>
      <c r="F1240" s="5">
        <v>0.15</v>
      </c>
      <c r="G1240" s="12">
        <f>(C1240*$U$4)/($U$5*$U$3)</f>
        <v>88.16326530612244</v>
      </c>
      <c r="H1240" s="11">
        <f>G1240*COS(RADIANS(D1240))</f>
        <v>82.846369832553549</v>
      </c>
      <c r="I1240" s="11">
        <f>G1240*SIN(RADIANS(D1240))</f>
        <v>30.153612636058952</v>
      </c>
      <c r="J1240" s="11">
        <v>0.29299999999999998</v>
      </c>
      <c r="K1240" s="19">
        <v>57</v>
      </c>
      <c r="L1240" s="12">
        <f>-(F1240*G1240*$U$3)/J1240</f>
        <v>-45.134777460472243</v>
      </c>
      <c r="M1240" s="11">
        <f>ABS(L1240/$U$6)</f>
        <v>0.13158827247951091</v>
      </c>
      <c r="N1240" s="12">
        <f>L1240*SIN(RADIANS(K1240))</f>
        <v>-37.853209446864582</v>
      </c>
      <c r="O1240" s="12">
        <f>L1240*COS(RADIANS(K1240))</f>
        <v>-24.582161641689598</v>
      </c>
      <c r="P1240" s="5">
        <v>6.4230029960511335</v>
      </c>
      <c r="Q1240" s="5">
        <v>0.62290800168698701</v>
      </c>
      <c r="R1240" s="6">
        <f>P1240/Q1240</f>
        <v>10.311318812177838</v>
      </c>
    </row>
    <row r="1241" spans="1:18" x14ac:dyDescent="0.35">
      <c r="A1241" s="9">
        <v>1241</v>
      </c>
      <c r="B1241" s="5">
        <v>0.75</v>
      </c>
      <c r="C1241" s="5">
        <v>2000000</v>
      </c>
      <c r="D1241" s="5">
        <v>30</v>
      </c>
      <c r="E1241" s="5">
        <v>0.25</v>
      </c>
      <c r="F1241" s="5">
        <v>1.4999999999999999E-2</v>
      </c>
      <c r="G1241" s="12">
        <f>(C1241*$U$4)/($U$5*$U$3)</f>
        <v>29.387755102040813</v>
      </c>
      <c r="H1241" s="11">
        <f>G1241*COS(RADIANS(D1241))</f>
        <v>25.450542478563094</v>
      </c>
      <c r="I1241" s="11">
        <f>G1241*SIN(RADIANS(D1241))</f>
        <v>14.693877551020405</v>
      </c>
      <c r="J1241" s="12">
        <v>0.28370000000000001</v>
      </c>
      <c r="K1241" s="11">
        <v>38</v>
      </c>
      <c r="L1241" s="12">
        <f>-(F1241*G1241*$U$3)/J1241</f>
        <v>-1.5538115140310615</v>
      </c>
      <c r="M1241" s="11">
        <f>ABS(L1241/$U$6)</f>
        <v>4.5300627231226282E-3</v>
      </c>
      <c r="N1241" s="12">
        <f>L1241*SIN(RADIANS(K1241))</f>
        <v>-0.95662188910635815</v>
      </c>
      <c r="O1241" s="12">
        <f>L1241*COS(RADIANS(K1241))</f>
        <v>-1.2244201821344183</v>
      </c>
      <c r="P1241" s="5">
        <v>4.3933930282057867</v>
      </c>
      <c r="Q1241" s="5">
        <v>1.3824616103110179</v>
      </c>
      <c r="R1241" s="6">
        <f>P1241/Q1241</f>
        <v>3.1779493878440412</v>
      </c>
    </row>
    <row r="1242" spans="1:18" x14ac:dyDescent="0.35">
      <c r="A1242" s="9">
        <v>1242</v>
      </c>
      <c r="B1242" s="5">
        <v>0.5</v>
      </c>
      <c r="C1242" s="5">
        <v>2000000</v>
      </c>
      <c r="D1242" s="5">
        <v>10</v>
      </c>
      <c r="E1242" s="5">
        <v>0.375</v>
      </c>
      <c r="F1242" s="5">
        <v>2.5000000000000001E-2</v>
      </c>
      <c r="G1242" s="12">
        <f>(C1242*$U$4)/($U$5*$U$3)</f>
        <v>29.387755102040813</v>
      </c>
      <c r="H1242" s="11">
        <f>G1242*COS(RADIANS(D1242))</f>
        <v>28.941289068113864</v>
      </c>
      <c r="I1242" s="11">
        <f>G1242*SIN(RADIANS(D1242))</f>
        <v>5.1031301191914213</v>
      </c>
      <c r="J1242" s="12">
        <v>0.24809999999999999</v>
      </c>
      <c r="K1242" s="12">
        <v>67</v>
      </c>
      <c r="L1242" s="12">
        <f>-(F1242*G1242*$U$3)/J1242</f>
        <v>-2.9612812476864989</v>
      </c>
      <c r="M1242" s="11">
        <f>ABS(L1242/$U$6)</f>
        <v>8.6334730253250693E-3</v>
      </c>
      <c r="N1242" s="12">
        <f>L1242*SIN(RADIANS(K1242))</f>
        <v>-2.7258737609331205</v>
      </c>
      <c r="O1242" s="12">
        <f>L1242*COS(RADIANS(K1242))</f>
        <v>-1.1570647636826701</v>
      </c>
      <c r="P1242" s="5">
        <v>3.090375657181752</v>
      </c>
      <c r="Q1242" s="5">
        <v>0.28058746815491792</v>
      </c>
      <c r="R1242" s="6">
        <f>P1242/Q1242</f>
        <v>11.013947549059797</v>
      </c>
    </row>
    <row r="1243" spans="1:18" x14ac:dyDescent="0.35">
      <c r="A1243" s="9">
        <v>1243</v>
      </c>
      <c r="B1243" s="5">
        <v>0.1</v>
      </c>
      <c r="C1243" s="5">
        <v>6000000</v>
      </c>
      <c r="D1243" s="5">
        <v>20</v>
      </c>
      <c r="E1243" s="5">
        <v>0</v>
      </c>
      <c r="F1243" s="5">
        <v>2.5000000000000001E-2</v>
      </c>
      <c r="G1243" s="12">
        <f>(C1243*$U$4)/($U$5*$U$3)</f>
        <v>88.16326530612244</v>
      </c>
      <c r="H1243" s="11">
        <f>G1243*COS(RADIANS(D1243))</f>
        <v>82.846369832553549</v>
      </c>
      <c r="I1243" s="11">
        <f>G1243*SIN(RADIANS(D1243))</f>
        <v>30.153612636058952</v>
      </c>
      <c r="J1243" s="11">
        <v>0.16569999999999999</v>
      </c>
      <c r="K1243" s="12">
        <v>0</v>
      </c>
      <c r="L1243" s="12">
        <f>-(F1243*G1243*$U$3)/J1243</f>
        <v>-13.301639303880876</v>
      </c>
      <c r="M1243" s="11">
        <f>ABS(L1243/$U$6)</f>
        <v>3.8780289515687683E-2</v>
      </c>
      <c r="N1243" s="12">
        <f>L1243*SIN(RADIANS(K1243))</f>
        <v>0</v>
      </c>
      <c r="O1243" s="12">
        <f>L1243*COS(RADIANS(K1243))</f>
        <v>-13.301639303880876</v>
      </c>
      <c r="P1243" s="5">
        <v>1.2890820212035368</v>
      </c>
      <c r="Q1243" s="5">
        <v>0.61443844752915744</v>
      </c>
      <c r="R1243" s="6">
        <f>P1243/Q1243</f>
        <v>2.0979839825898345</v>
      </c>
    </row>
    <row r="1244" spans="1:18" x14ac:dyDescent="0.35">
      <c r="A1244" s="9">
        <v>1244</v>
      </c>
      <c r="B1244" s="5">
        <v>0.1</v>
      </c>
      <c r="C1244" s="5">
        <v>2000000</v>
      </c>
      <c r="D1244" s="5">
        <v>0</v>
      </c>
      <c r="E1244" s="5">
        <v>0</v>
      </c>
      <c r="F1244" s="5">
        <v>2.5000000000000001E-2</v>
      </c>
      <c r="G1244" s="12">
        <f>(C1244*$U$4)/($U$5*$U$3)</f>
        <v>29.387755102040813</v>
      </c>
      <c r="H1244" s="11">
        <f>G1244*COS(RADIANS(D1244))</f>
        <v>29.387755102040813</v>
      </c>
      <c r="I1244" s="11">
        <f>G1244*SIN(RADIANS(D1244))</f>
        <v>0</v>
      </c>
      <c r="J1244" s="11">
        <v>0.16569999999999999</v>
      </c>
      <c r="K1244" s="12">
        <v>0</v>
      </c>
      <c r="L1244" s="12">
        <f>-(F1244*G1244*$U$3)/J1244</f>
        <v>-4.4338797679602919</v>
      </c>
      <c r="M1244" s="11">
        <f>ABS(L1244/$U$6)</f>
        <v>1.2926763171895894E-2</v>
      </c>
      <c r="N1244" s="12">
        <f>L1244*SIN(RADIANS(K1244))</f>
        <v>0</v>
      </c>
      <c r="O1244" s="12">
        <f>L1244*COS(RADIANS(K1244))</f>
        <v>-4.4338797679602919</v>
      </c>
      <c r="P1244" s="5">
        <v>1.120155090593824</v>
      </c>
      <c r="Q1244" s="5">
        <v>0.22602380996062457</v>
      </c>
      <c r="R1244" s="6">
        <f>P1244/Q1244</f>
        <v>4.9559163292971888</v>
      </c>
    </row>
    <row r="1245" spans="1:18" x14ac:dyDescent="0.35">
      <c r="A1245" s="9">
        <v>1245</v>
      </c>
      <c r="B1245" s="5">
        <v>0.5</v>
      </c>
      <c r="C1245" s="5">
        <v>4000000</v>
      </c>
      <c r="D1245" s="5">
        <v>5</v>
      </c>
      <c r="E1245" s="5">
        <v>0.125</v>
      </c>
      <c r="F1245" s="5">
        <v>1.4999999999999999E-2</v>
      </c>
      <c r="G1245" s="12">
        <f>(C1245*$U$4)/($U$5*$U$3)</f>
        <v>58.775510204081627</v>
      </c>
      <c r="H1245" s="11">
        <f>G1245*COS(RADIANS(D1245))</f>
        <v>58.551851642943404</v>
      </c>
      <c r="I1245" s="11">
        <f>G1245*SIN(RADIANS(D1245))</f>
        <v>5.1226232472092956</v>
      </c>
      <c r="J1245" s="12">
        <v>0.23300000000000001</v>
      </c>
      <c r="K1245" s="11">
        <v>27</v>
      </c>
      <c r="L1245" s="12">
        <f>-(F1245*G1245*$U$3)/J1245</f>
        <v>-3.7838311290181301</v>
      </c>
      <c r="M1245" s="11">
        <f>ABS(L1245/$U$6)</f>
        <v>1.1031577635621371E-2</v>
      </c>
      <c r="N1245" s="12">
        <f>L1245*SIN(RADIANS(K1245))</f>
        <v>-1.7178233851929943</v>
      </c>
      <c r="O1245" s="12">
        <f>L1245*COS(RADIANS(K1245))</f>
        <v>-3.371418222382192</v>
      </c>
      <c r="P1245" s="5">
        <v>3.4922156842680794</v>
      </c>
      <c r="Q1245" s="5">
        <v>0.41606068452464823</v>
      </c>
      <c r="R1245" s="6">
        <f>P1245/Q1245</f>
        <v>8.3935248250094965</v>
      </c>
    </row>
    <row r="1246" spans="1:18" x14ac:dyDescent="0.35">
      <c r="A1246" s="9">
        <v>1246</v>
      </c>
      <c r="B1246" s="5">
        <v>0.75</v>
      </c>
      <c r="C1246" s="5">
        <v>6000000</v>
      </c>
      <c r="D1246" s="5">
        <v>15</v>
      </c>
      <c r="E1246" s="5">
        <v>0.25</v>
      </c>
      <c r="F1246" s="5">
        <v>0</v>
      </c>
      <c r="G1246" s="12">
        <f>(C1246*$U$4)/($U$5*$U$3)</f>
        <v>88.16326530612244</v>
      </c>
      <c r="H1246" s="11">
        <f>G1246*COS(RADIANS(D1246))</f>
        <v>85.159174889158663</v>
      </c>
      <c r="I1246" s="11">
        <f>G1246*SIN(RADIANS(D1246))</f>
        <v>22.818332139650806</v>
      </c>
      <c r="J1246" s="12">
        <v>0.28370000000000001</v>
      </c>
      <c r="K1246" s="11">
        <v>38</v>
      </c>
      <c r="L1246" s="12">
        <f>-(F1246*G1246*$U$3)/J1246</f>
        <v>0</v>
      </c>
      <c r="M1246" s="11">
        <f>ABS(L1246/$U$6)</f>
        <v>0</v>
      </c>
      <c r="N1246" s="12">
        <f>L1246*SIN(RADIANS(K1246))</f>
        <v>0</v>
      </c>
      <c r="O1246" s="12">
        <f>L1246*COS(RADIANS(K1246))</f>
        <v>0</v>
      </c>
      <c r="P1246" s="5">
        <v>5.8143596101991992</v>
      </c>
      <c r="Q1246" s="5">
        <v>1.6457240298693097</v>
      </c>
      <c r="R1246" s="6">
        <f>P1246/Q1246</f>
        <v>3.5330100944451357</v>
      </c>
    </row>
    <row r="1247" spans="1:18" x14ac:dyDescent="0.35">
      <c r="A1247" s="9">
        <v>1247</v>
      </c>
      <c r="B1247" s="5">
        <v>0.5</v>
      </c>
      <c r="C1247" s="5">
        <v>6000000</v>
      </c>
      <c r="D1247" s="5">
        <v>5</v>
      </c>
      <c r="E1247" s="5">
        <v>0.375</v>
      </c>
      <c r="F1247" s="5">
        <v>0.05</v>
      </c>
      <c r="G1247" s="12">
        <f>(C1247*$U$4)/($U$5*$U$3)</f>
        <v>88.16326530612244</v>
      </c>
      <c r="H1247" s="11">
        <f>G1247*COS(RADIANS(D1247))</f>
        <v>87.827777464415107</v>
      </c>
      <c r="I1247" s="11">
        <f>G1247*SIN(RADIANS(D1247))</f>
        <v>7.6839348708139434</v>
      </c>
      <c r="J1247" s="12">
        <v>0.24809999999999999</v>
      </c>
      <c r="K1247" s="12">
        <v>67</v>
      </c>
      <c r="L1247" s="12">
        <f>-(F1247*G1247*$U$3)/J1247</f>
        <v>-17.767687486118994</v>
      </c>
      <c r="M1247" s="11">
        <f>ABS(L1247/$U$6)</f>
        <v>5.1800838151950419E-2</v>
      </c>
      <c r="N1247" s="12">
        <f>L1247*SIN(RADIANS(K1247))</f>
        <v>-16.355242565598722</v>
      </c>
      <c r="O1247" s="12">
        <f>L1247*COS(RADIANS(K1247))</f>
        <v>-6.9423885820960214</v>
      </c>
      <c r="P1247" s="5">
        <v>3.5337002290751798</v>
      </c>
      <c r="Q1247" s="5">
        <v>-5.8633865475167336E-2</v>
      </c>
      <c r="R1247" s="6">
        <f>P1247/Q1247</f>
        <v>-60.267222712303955</v>
      </c>
    </row>
    <row r="1248" spans="1:18" x14ac:dyDescent="0.35">
      <c r="A1248" s="9">
        <v>1248</v>
      </c>
      <c r="B1248" s="5">
        <v>0.75</v>
      </c>
      <c r="C1248" s="5">
        <v>2000000</v>
      </c>
      <c r="D1248" s="5">
        <v>20</v>
      </c>
      <c r="E1248" s="5">
        <v>0</v>
      </c>
      <c r="F1248" s="5">
        <v>0.05</v>
      </c>
      <c r="G1248" s="12">
        <f>(C1248*$U$4)/($U$5*$U$3)</f>
        <v>29.387755102040813</v>
      </c>
      <c r="H1248" s="11">
        <f>G1248*COS(RADIANS(D1248))</f>
        <v>27.615456610851183</v>
      </c>
      <c r="I1248" s="11">
        <f>G1248*SIN(RADIANS(D1248))</f>
        <v>10.051204212019652</v>
      </c>
      <c r="J1248" s="11">
        <v>0.27929999999999999</v>
      </c>
      <c r="K1248" s="12">
        <v>0</v>
      </c>
      <c r="L1248" s="12">
        <f>-(F1248*G1248*$U$3)/J1248</f>
        <v>-5.260965825642824</v>
      </c>
      <c r="M1248" s="11">
        <f>ABS(L1248/$U$6)</f>
        <v>1.5338092786130682E-2</v>
      </c>
      <c r="N1248" s="12">
        <f>L1248*SIN(RADIANS(K1248))</f>
        <v>0</v>
      </c>
      <c r="O1248" s="12">
        <f>L1248*COS(RADIANS(K1248))</f>
        <v>-5.260965825642824</v>
      </c>
      <c r="P1248" s="5">
        <v>3.9614104262418266</v>
      </c>
      <c r="Q1248" s="5">
        <v>1.1994723302710246</v>
      </c>
      <c r="R1248" s="6">
        <f>P1248/Q1248</f>
        <v>3.3026276023780667</v>
      </c>
    </row>
    <row r="1249" spans="1:18" x14ac:dyDescent="0.35">
      <c r="A1249" s="9">
        <v>1249</v>
      </c>
      <c r="B1249" s="5">
        <v>0.25</v>
      </c>
      <c r="C1249" s="5">
        <v>4000000</v>
      </c>
      <c r="D1249" s="5">
        <v>30</v>
      </c>
      <c r="E1249" s="5">
        <v>0.125</v>
      </c>
      <c r="F1249" s="5">
        <v>2.5000000000000001E-2</v>
      </c>
      <c r="G1249" s="12">
        <f>(C1249*$U$4)/($U$5*$U$3)</f>
        <v>58.775510204081627</v>
      </c>
      <c r="H1249" s="11">
        <f>G1249*COS(RADIANS(D1249))</f>
        <v>50.901084957126187</v>
      </c>
      <c r="I1249" s="11">
        <f>G1249*SIN(RADIANS(D1249))</f>
        <v>29.38775510204081</v>
      </c>
      <c r="J1249" s="11">
        <v>0.19020000000000001</v>
      </c>
      <c r="K1249" s="12">
        <v>46</v>
      </c>
      <c r="L1249" s="12">
        <f>-(F1249*G1249*$U$3)/J1249</f>
        <v>-7.7254876714092564</v>
      </c>
      <c r="M1249" s="11">
        <f>ABS(L1249/$U$6)</f>
        <v>2.2523287671747102E-2</v>
      </c>
      <c r="N1249" s="12">
        <f>L1249*SIN(RADIANS(K1249))</f>
        <v>-5.5572507590702447</v>
      </c>
      <c r="O1249" s="12">
        <f>L1249*COS(RADIANS(K1249))</f>
        <v>-5.3665746768222276</v>
      </c>
      <c r="P1249" s="5">
        <v>2.1521545738176151</v>
      </c>
      <c r="Q1249" s="5">
        <v>0.92013034341913003</v>
      </c>
      <c r="R1249" s="6">
        <f>P1249/Q1249</f>
        <v>2.3389670704917549</v>
      </c>
    </row>
    <row r="1250" spans="1:18" x14ac:dyDescent="0.35">
      <c r="A1250" s="9">
        <v>1250</v>
      </c>
      <c r="B1250" s="5">
        <v>1</v>
      </c>
      <c r="C1250" s="5">
        <v>6000000</v>
      </c>
      <c r="D1250" s="5">
        <v>15</v>
      </c>
      <c r="E1250" s="5">
        <v>0.375</v>
      </c>
      <c r="F1250" s="5">
        <v>2.5000000000000001E-2</v>
      </c>
      <c r="G1250" s="12">
        <f>(C1250*$U$4)/($U$5*$U$3)</f>
        <v>88.16326530612244</v>
      </c>
      <c r="H1250" s="11">
        <f>G1250*COS(RADIANS(D1250))</f>
        <v>85.159174889158663</v>
      </c>
      <c r="I1250" s="11">
        <f>G1250*SIN(RADIANS(D1250))</f>
        <v>22.818332139650806</v>
      </c>
      <c r="J1250" s="12">
        <v>0.33379999999999999</v>
      </c>
      <c r="K1250" s="11">
        <v>49</v>
      </c>
      <c r="L1250" s="12">
        <f>-(F1250*G1250*$U$3)/J1250</f>
        <v>-6.6030006969834067</v>
      </c>
      <c r="M1250" s="11">
        <f>ABS(L1250/$U$6)</f>
        <v>1.9250730894995356E-2</v>
      </c>
      <c r="N1250" s="12">
        <f>L1250*SIN(RADIANS(K1250))</f>
        <v>-4.9833478842310184</v>
      </c>
      <c r="O1250" s="12">
        <f>L1250*COS(RADIANS(K1250))</f>
        <v>-4.3319582256865763</v>
      </c>
      <c r="P1250" s="5">
        <v>5.1694266378058629</v>
      </c>
      <c r="Q1250" s="5">
        <v>0.45350856900850023</v>
      </c>
      <c r="R1250" s="6">
        <f>P1250/Q1250</f>
        <v>11.398740820063692</v>
      </c>
    </row>
    <row r="1251" spans="1:18" x14ac:dyDescent="0.35">
      <c r="A1251" s="9">
        <v>1251</v>
      </c>
      <c r="B1251" s="5">
        <v>0.75</v>
      </c>
      <c r="C1251" s="5">
        <v>4000000</v>
      </c>
      <c r="D1251" s="5">
        <v>30</v>
      </c>
      <c r="E1251" s="5">
        <v>0</v>
      </c>
      <c r="F1251" s="5">
        <v>0.05</v>
      </c>
      <c r="G1251" s="12">
        <f>(C1251*$U$4)/($U$5*$U$3)</f>
        <v>58.775510204081627</v>
      </c>
      <c r="H1251" s="11">
        <f>G1251*COS(RADIANS(D1251))</f>
        <v>50.901084957126187</v>
      </c>
      <c r="I1251" s="11">
        <f>G1251*SIN(RADIANS(D1251))</f>
        <v>29.38775510204081</v>
      </c>
      <c r="J1251" s="11">
        <v>0.27929999999999999</v>
      </c>
      <c r="K1251" s="12">
        <v>0</v>
      </c>
      <c r="L1251" s="12">
        <f>-(F1251*G1251*$U$3)/J1251</f>
        <v>-10.521931651285648</v>
      </c>
      <c r="M1251" s="11">
        <f>ABS(L1251/$U$6)</f>
        <v>3.0676185572261365E-2</v>
      </c>
      <c r="N1251" s="12">
        <f>L1251*SIN(RADIANS(K1251))</f>
        <v>0</v>
      </c>
      <c r="O1251" s="12">
        <f>L1251*COS(RADIANS(K1251))</f>
        <v>-10.521931651285648</v>
      </c>
      <c r="P1251" s="5">
        <v>3.9532104391287151</v>
      </c>
      <c r="Q1251" s="5">
        <v>1.3646761493035879</v>
      </c>
      <c r="R1251" s="6">
        <f>P1251/Q1251</f>
        <v>2.8968121419474429</v>
      </c>
    </row>
    <row r="1252" spans="1:18" x14ac:dyDescent="0.35">
      <c r="A1252" s="9">
        <v>1252</v>
      </c>
      <c r="B1252" s="5">
        <v>0.1</v>
      </c>
      <c r="C1252" s="5">
        <v>6000000</v>
      </c>
      <c r="D1252" s="5">
        <v>20</v>
      </c>
      <c r="E1252" s="5">
        <v>0.25</v>
      </c>
      <c r="F1252" s="5">
        <v>1.4999999999999999E-2</v>
      </c>
      <c r="G1252" s="12">
        <f>(C1252*$U$4)/($U$5*$U$3)</f>
        <v>88.16326530612244</v>
      </c>
      <c r="H1252" s="11">
        <f>G1252*COS(RADIANS(D1252))</f>
        <v>82.846369832553549</v>
      </c>
      <c r="I1252" s="11">
        <f>G1252*SIN(RADIANS(D1252))</f>
        <v>30.153612636058952</v>
      </c>
      <c r="J1252" s="11">
        <v>0.1661</v>
      </c>
      <c r="K1252" s="12">
        <v>80</v>
      </c>
      <c r="L1252" s="12">
        <f>-(F1252*G1252*$U$3)/J1252</f>
        <v>-7.9617638747250847</v>
      </c>
      <c r="M1252" s="11">
        <f>ABS(L1252/$U$6)</f>
        <v>2.3212139576457971E-2</v>
      </c>
      <c r="N1252" s="12">
        <f>L1252*SIN(RADIANS(K1252))</f>
        <v>-7.8408067914817812</v>
      </c>
      <c r="O1252" s="12">
        <f>L1252*COS(RADIANS(K1252))</f>
        <v>-1.3825457878604097</v>
      </c>
      <c r="P1252" s="5">
        <v>1.4225386207351847</v>
      </c>
      <c r="Q1252" s="5">
        <v>0.74321197443395026</v>
      </c>
      <c r="R1252" s="6">
        <f>P1252/Q1252</f>
        <v>1.914041578539726</v>
      </c>
    </row>
    <row r="1253" spans="1:18" x14ac:dyDescent="0.35">
      <c r="A1253" s="9">
        <v>1253</v>
      </c>
      <c r="B1253" s="5">
        <v>0.5</v>
      </c>
      <c r="C1253" s="5">
        <v>6000000</v>
      </c>
      <c r="D1253" s="5">
        <v>5</v>
      </c>
      <c r="E1253" s="5">
        <v>0</v>
      </c>
      <c r="F1253" s="5">
        <v>2.5000000000000001E-2</v>
      </c>
      <c r="G1253" s="12">
        <f>(C1253*$U$4)/($U$5*$U$3)</f>
        <v>88.16326530612244</v>
      </c>
      <c r="H1253" s="11">
        <f>G1253*COS(RADIANS(D1253))</f>
        <v>87.827777464415107</v>
      </c>
      <c r="I1253" s="11">
        <f>G1253*SIN(RADIANS(D1253))</f>
        <v>7.6839348708139434</v>
      </c>
      <c r="J1253" s="12">
        <v>0.23230000000000001</v>
      </c>
      <c r="K1253" s="12">
        <v>0</v>
      </c>
      <c r="L1253" s="12">
        <f>-(F1253*G1253*$U$3)/J1253</f>
        <v>-9.4880827923076243</v>
      </c>
      <c r="M1253" s="11">
        <f>ABS(L1253/$U$6)</f>
        <v>2.7662048957165085E-2</v>
      </c>
      <c r="N1253" s="12">
        <f>L1253*SIN(RADIANS(K1253))</f>
        <v>0</v>
      </c>
      <c r="O1253" s="12">
        <f>L1253*COS(RADIANS(K1253))</f>
        <v>-9.4880827923076243</v>
      </c>
      <c r="P1253" s="5">
        <v>2.508853520931599</v>
      </c>
      <c r="Q1253" s="5">
        <v>0.58776658749362165</v>
      </c>
      <c r="R1253" s="6">
        <f>P1253/Q1253</f>
        <v>4.2684520935937424</v>
      </c>
    </row>
    <row r="1254" spans="1:18" x14ac:dyDescent="0.35">
      <c r="A1254" s="9">
        <v>1254</v>
      </c>
      <c r="B1254" s="5">
        <v>0.5</v>
      </c>
      <c r="C1254" s="5">
        <v>2000000</v>
      </c>
      <c r="D1254" s="5">
        <v>5</v>
      </c>
      <c r="E1254" s="5">
        <v>0.125</v>
      </c>
      <c r="F1254" s="5">
        <v>7.4999999999999997E-2</v>
      </c>
      <c r="G1254" s="12">
        <f>(C1254*$U$4)/($U$5*$U$3)</f>
        <v>29.387755102040813</v>
      </c>
      <c r="H1254" s="11">
        <f>G1254*COS(RADIANS(D1254))</f>
        <v>29.275925821471702</v>
      </c>
      <c r="I1254" s="11">
        <f>G1254*SIN(RADIANS(D1254))</f>
        <v>2.5613116236046478</v>
      </c>
      <c r="J1254" s="12">
        <v>0.23300000000000001</v>
      </c>
      <c r="K1254" s="11">
        <v>27</v>
      </c>
      <c r="L1254" s="12">
        <f>-(F1254*G1254*$U$3)/J1254</f>
        <v>-9.4595778225453255</v>
      </c>
      <c r="M1254" s="11">
        <f>ABS(L1254/$U$6)</f>
        <v>2.7578944089053429E-2</v>
      </c>
      <c r="N1254" s="12">
        <f>L1254*SIN(RADIANS(K1254))</f>
        <v>-4.2945584629824856</v>
      </c>
      <c r="O1254" s="12">
        <f>L1254*COS(RADIANS(K1254))</f>
        <v>-8.4285455559554805</v>
      </c>
      <c r="P1254" s="5">
        <v>4.6652925839536739</v>
      </c>
      <c r="Q1254" s="5">
        <v>0.23528998727052799</v>
      </c>
      <c r="R1254" s="6">
        <f>P1254/Q1254</f>
        <v>19.827841541721398</v>
      </c>
    </row>
    <row r="1255" spans="1:18" x14ac:dyDescent="0.35">
      <c r="A1255" s="9">
        <v>1090</v>
      </c>
      <c r="B1255" s="5">
        <v>0.75</v>
      </c>
      <c r="C1255" s="5">
        <v>6000000</v>
      </c>
      <c r="D1255" s="5">
        <v>30</v>
      </c>
      <c r="E1255" s="5">
        <v>0.375</v>
      </c>
      <c r="F1255" s="5">
        <v>0.15</v>
      </c>
      <c r="G1255" s="12">
        <f>(C1255*$U$4)/($U$5*$U$3)</f>
        <v>88.16326530612244</v>
      </c>
      <c r="H1255" s="11">
        <f>G1255*COS(RADIANS(D1255))</f>
        <v>76.351627435689281</v>
      </c>
      <c r="I1255" s="11">
        <f>G1255*SIN(RADIANS(D1255))</f>
        <v>44.081632653061213</v>
      </c>
      <c r="J1255" s="20">
        <v>0.29299999999999998</v>
      </c>
      <c r="K1255" s="12">
        <v>57</v>
      </c>
      <c r="L1255" s="12">
        <f>-(F1255*G1255*$U$3)/J1255</f>
        <v>-45.134777460472243</v>
      </c>
      <c r="M1255" s="11">
        <f>ABS(L1255/$U$6)</f>
        <v>0.13158827247951091</v>
      </c>
      <c r="N1255" s="12">
        <f>L1255*SIN(RADIANS(K1255))</f>
        <v>-37.853209446864582</v>
      </c>
      <c r="O1255" s="12">
        <f>L1255*COS(RADIANS(K1255))</f>
        <v>-24.582161641689598</v>
      </c>
      <c r="P1255" s="5">
        <v>6.8871715420919024</v>
      </c>
      <c r="Q1255" s="5">
        <v>1.505749662828578</v>
      </c>
      <c r="R1255" s="6">
        <f>P1255/Q1255</f>
        <v>4.573915380564805</v>
      </c>
    </row>
    <row r="1256" spans="1:18" x14ac:dyDescent="0.35">
      <c r="A1256" s="9">
        <v>1256</v>
      </c>
      <c r="B1256" s="5">
        <v>0.75</v>
      </c>
      <c r="C1256" s="5">
        <v>2000000</v>
      </c>
      <c r="D1256" s="5">
        <v>10</v>
      </c>
      <c r="E1256" s="5">
        <v>0</v>
      </c>
      <c r="F1256" s="5">
        <v>3.5000000000000003E-2</v>
      </c>
      <c r="G1256" s="12">
        <f>(C1256*$U$4)/($U$5*$U$3)</f>
        <v>29.387755102040813</v>
      </c>
      <c r="H1256" s="11">
        <f>G1256*COS(RADIANS(D1256))</f>
        <v>28.941289068113864</v>
      </c>
      <c r="I1256" s="11">
        <f>G1256*SIN(RADIANS(D1256))</f>
        <v>5.1031301191914213</v>
      </c>
      <c r="J1256" s="11">
        <v>0.27929999999999999</v>
      </c>
      <c r="K1256" s="12">
        <v>0</v>
      </c>
      <c r="L1256" s="12">
        <f>-(F1256*G1256*$U$3)/J1256</f>
        <v>-3.6826760779499765</v>
      </c>
      <c r="M1256" s="11">
        <f>ABS(L1256/$U$6)</f>
        <v>1.0736664950291477E-2</v>
      </c>
      <c r="N1256" s="12">
        <f>L1256*SIN(RADIANS(K1256))</f>
        <v>0</v>
      </c>
      <c r="O1256" s="12">
        <f>L1256*COS(RADIANS(K1256))</f>
        <v>-3.6826760779499765</v>
      </c>
      <c r="P1256" s="5">
        <v>4.4767455527477562</v>
      </c>
      <c r="Q1256" s="5">
        <v>0.88508390690153915</v>
      </c>
      <c r="R1256" s="6">
        <f>P1256/Q1256</f>
        <v>5.0579900028006834</v>
      </c>
    </row>
    <row r="1257" spans="1:18" x14ac:dyDescent="0.35">
      <c r="A1257" s="9">
        <v>1257</v>
      </c>
      <c r="B1257" s="5">
        <v>0.5</v>
      </c>
      <c r="C1257" s="5">
        <v>4000000</v>
      </c>
      <c r="D1257" s="5">
        <v>15</v>
      </c>
      <c r="E1257" s="5">
        <v>0</v>
      </c>
      <c r="F1257" s="5">
        <v>0.1</v>
      </c>
      <c r="G1257" s="12">
        <f>(C1257*$U$4)/($U$5*$U$3)</f>
        <v>58.775510204081627</v>
      </c>
      <c r="H1257" s="11">
        <f>G1257*COS(RADIANS(D1257))</f>
        <v>56.772783259439109</v>
      </c>
      <c r="I1257" s="11">
        <f>G1257*SIN(RADIANS(D1257))</f>
        <v>15.212221426433871</v>
      </c>
      <c r="J1257" s="12">
        <v>0.23230000000000001</v>
      </c>
      <c r="K1257" s="12">
        <v>0</v>
      </c>
      <c r="L1257" s="12">
        <f>-(F1257*G1257*$U$3)/J1257</f>
        <v>-25.30155411282033</v>
      </c>
      <c r="M1257" s="11">
        <f>ABS(L1257/$U$6)</f>
        <v>7.3765463885773555E-2</v>
      </c>
      <c r="N1257" s="12">
        <f>L1257*SIN(RADIANS(K1257))</f>
        <v>0</v>
      </c>
      <c r="O1257" s="12">
        <f>L1257*COS(RADIANS(K1257))</f>
        <v>-25.30155411282033</v>
      </c>
      <c r="P1257" s="5">
        <v>4.3865785890365325</v>
      </c>
      <c r="Q1257" s="5">
        <v>0.7822742881175907</v>
      </c>
      <c r="R1257" s="6">
        <f>P1257/Q1257</f>
        <v>5.607468704604984</v>
      </c>
    </row>
    <row r="1258" spans="1:18" x14ac:dyDescent="0.35">
      <c r="A1258" s="9">
        <v>256</v>
      </c>
      <c r="B1258" s="5">
        <v>0.25</v>
      </c>
      <c r="C1258" s="5">
        <v>4000000</v>
      </c>
      <c r="D1258" s="5">
        <v>0</v>
      </c>
      <c r="E1258" s="5">
        <v>0.375</v>
      </c>
      <c r="F1258" s="5">
        <v>0.15</v>
      </c>
      <c r="G1258" s="12">
        <f>(C1258*$U$4)/($U$5*$U$3)</f>
        <v>58.775510204081627</v>
      </c>
      <c r="H1258" s="11">
        <f>G1258*COS(RADIANS(D1258))</f>
        <v>58.775510204081627</v>
      </c>
      <c r="I1258" s="11">
        <f>G1258*SIN(RADIANS(D1258))</f>
        <v>0</v>
      </c>
      <c r="J1258" s="11">
        <v>0.1976</v>
      </c>
      <c r="K1258" s="12">
        <v>78</v>
      </c>
      <c r="L1258" s="12">
        <f>-(F1258*G1258*$U$3)/J1258</f>
        <v>-44.617037098240104</v>
      </c>
      <c r="M1258" s="11">
        <f>ABS(L1258/$U$6)</f>
        <v>0.1300788253593006</v>
      </c>
      <c r="N1258" s="12">
        <f>L1258*SIN(RADIANS(K1258))</f>
        <v>-43.642047789494754</v>
      </c>
      <c r="O1258" s="12">
        <f>L1258*COS(RADIANS(K1258))</f>
        <v>-9.2764036223738007</v>
      </c>
      <c r="P1258" s="5">
        <v>2.7205223428286049</v>
      </c>
      <c r="Q1258" s="5">
        <v>-4.8916745541881385E-3</v>
      </c>
      <c r="R1258" s="6">
        <f>P1258/Q1258</f>
        <v>-556.15358558540174</v>
      </c>
    </row>
    <row r="1259" spans="1:18" x14ac:dyDescent="0.35">
      <c r="A1259" s="9">
        <v>1259</v>
      </c>
      <c r="B1259" s="5">
        <v>0.75</v>
      </c>
      <c r="C1259" s="5">
        <v>6000000</v>
      </c>
      <c r="D1259" s="5">
        <v>30</v>
      </c>
      <c r="E1259" s="5">
        <v>0.25</v>
      </c>
      <c r="F1259" s="5">
        <v>3.5000000000000003E-2</v>
      </c>
      <c r="G1259" s="12">
        <f>(C1259*$U$4)/($U$5*$U$3)</f>
        <v>88.16326530612244</v>
      </c>
      <c r="H1259" s="11">
        <f>G1259*COS(RADIANS(D1259))</f>
        <v>76.351627435689281</v>
      </c>
      <c r="I1259" s="11">
        <f>G1259*SIN(RADIANS(D1259))</f>
        <v>44.081632653061213</v>
      </c>
      <c r="J1259" s="12">
        <v>0.28370000000000001</v>
      </c>
      <c r="K1259" s="11">
        <v>38</v>
      </c>
      <c r="L1259" s="12">
        <f>-(F1259*G1259*$U$3)/J1259</f>
        <v>-10.876680598217433</v>
      </c>
      <c r="M1259" s="11">
        <f>ABS(L1259/$U$6)</f>
        <v>3.1710439061858407E-2</v>
      </c>
      <c r="N1259" s="12">
        <f>L1259*SIN(RADIANS(K1259))</f>
        <v>-6.6963532237445085</v>
      </c>
      <c r="O1259" s="12">
        <f>L1259*COS(RADIANS(K1259))</f>
        <v>-8.5709412749409299</v>
      </c>
      <c r="P1259" s="5">
        <v>2.9014665189232711</v>
      </c>
      <c r="Q1259" s="5">
        <v>1.4582304497563108</v>
      </c>
      <c r="R1259" s="6">
        <f>P1259/Q1259</f>
        <v>1.9897174136009461</v>
      </c>
    </row>
    <row r="1260" spans="1:18" x14ac:dyDescent="0.35">
      <c r="A1260" s="9">
        <v>273</v>
      </c>
      <c r="B1260" s="5">
        <v>0.25</v>
      </c>
      <c r="C1260" s="5">
        <v>6000000</v>
      </c>
      <c r="D1260" s="5">
        <v>0</v>
      </c>
      <c r="E1260" s="5">
        <v>0.375</v>
      </c>
      <c r="F1260" s="5">
        <v>0.1</v>
      </c>
      <c r="G1260" s="12">
        <f>(C1260*$U$4)/($U$5*$U$3)</f>
        <v>88.16326530612244</v>
      </c>
      <c r="H1260" s="11">
        <f>G1260*COS(RADIANS(D1260))</f>
        <v>88.16326530612244</v>
      </c>
      <c r="I1260" s="11">
        <f>G1260*SIN(RADIANS(D1260))</f>
        <v>0</v>
      </c>
      <c r="J1260" s="11">
        <v>0.1976</v>
      </c>
      <c r="K1260" s="12">
        <v>78</v>
      </c>
      <c r="L1260" s="12">
        <f>-(F1260*G1260*$U$3)/J1260</f>
        <v>-44.617037098240104</v>
      </c>
      <c r="M1260" s="11">
        <f>ABS(L1260/$U$6)</f>
        <v>0.1300788253593006</v>
      </c>
      <c r="N1260" s="12">
        <f>L1260*SIN(RADIANS(K1260))</f>
        <v>-43.642047789494754</v>
      </c>
      <c r="O1260" s="12">
        <f>L1260*COS(RADIANS(K1260))</f>
        <v>-9.2764036223738007</v>
      </c>
      <c r="P1260" s="5">
        <v>2.4237983547082007</v>
      </c>
      <c r="Q1260" s="5">
        <v>-4.8768027790845284E-2</v>
      </c>
      <c r="R1260" s="6">
        <f>P1260/Q1260</f>
        <v>-49.700561300188468</v>
      </c>
    </row>
    <row r="1261" spans="1:18" x14ac:dyDescent="0.35">
      <c r="A1261" s="9">
        <v>1043</v>
      </c>
      <c r="B1261" s="5">
        <v>0.25</v>
      </c>
      <c r="C1261" s="5">
        <v>4000000</v>
      </c>
      <c r="D1261" s="5">
        <v>20</v>
      </c>
      <c r="E1261" s="5">
        <v>0.375</v>
      </c>
      <c r="F1261" s="5">
        <v>0.15</v>
      </c>
      <c r="G1261" s="12">
        <f>(C1261*$U$4)/($U$5*$U$3)</f>
        <v>58.775510204081627</v>
      </c>
      <c r="H1261" s="11">
        <f>G1261*COS(RADIANS(D1261))</f>
        <v>55.230913221702366</v>
      </c>
      <c r="I1261" s="11">
        <f>G1261*SIN(RADIANS(D1261))</f>
        <v>20.102408424039304</v>
      </c>
      <c r="J1261" s="20">
        <v>0.1976</v>
      </c>
      <c r="K1261" s="12">
        <v>78</v>
      </c>
      <c r="L1261" s="12">
        <f>-(F1261*G1261*$U$3)/J1261</f>
        <v>-44.617037098240104</v>
      </c>
      <c r="M1261" s="11">
        <f>ABS(L1261/$U$6)</f>
        <v>0.1300788253593006</v>
      </c>
      <c r="N1261" s="12">
        <f>L1261*SIN(RADIANS(K1261))</f>
        <v>-43.642047789494754</v>
      </c>
      <c r="O1261" s="12">
        <f>L1261*COS(RADIANS(K1261))</f>
        <v>-9.2764036223738007</v>
      </c>
      <c r="P1261" s="5">
        <v>3.079278847717775</v>
      </c>
      <c r="Q1261" s="5">
        <v>0.71396517438358886</v>
      </c>
      <c r="R1261" s="6">
        <f>P1261/Q1261</f>
        <v>4.3129258375610693</v>
      </c>
    </row>
    <row r="1262" spans="1:18" x14ac:dyDescent="0.35">
      <c r="A1262" s="9">
        <v>1262</v>
      </c>
      <c r="B1262" s="5">
        <v>0.1</v>
      </c>
      <c r="C1262" s="5">
        <v>4000000</v>
      </c>
      <c r="D1262" s="5">
        <v>5</v>
      </c>
      <c r="E1262" s="5">
        <v>0</v>
      </c>
      <c r="F1262" s="5">
        <v>1.4999999999999999E-2</v>
      </c>
      <c r="G1262" s="12">
        <f>(C1262*$U$4)/($U$5*$U$3)</f>
        <v>58.775510204081627</v>
      </c>
      <c r="H1262" s="11">
        <f>G1262*COS(RADIANS(D1262))</f>
        <v>58.551851642943404</v>
      </c>
      <c r="I1262" s="11">
        <f>G1262*SIN(RADIANS(D1262))</f>
        <v>5.1226232472092956</v>
      </c>
      <c r="J1262" s="11">
        <v>0.16569999999999999</v>
      </c>
      <c r="K1262" s="12">
        <v>0</v>
      </c>
      <c r="L1262" s="12">
        <f>-(F1262*G1262*$U$3)/J1262</f>
        <v>-5.3206557215523507</v>
      </c>
      <c r="M1262" s="11">
        <f>ABS(L1262/$U$6)</f>
        <v>1.5512115806275074E-2</v>
      </c>
      <c r="N1262" s="12">
        <f>L1262*SIN(RADIANS(K1262))</f>
        <v>0</v>
      </c>
      <c r="O1262" s="12">
        <f>L1262*COS(RADIANS(K1262))</f>
        <v>-5.3206557215523507</v>
      </c>
      <c r="P1262" s="5">
        <v>1.1624750103390813</v>
      </c>
      <c r="Q1262" s="5">
        <v>0.31057108348440254</v>
      </c>
      <c r="R1262" s="6">
        <f>P1262/Q1262</f>
        <v>3.743023971507196</v>
      </c>
    </row>
    <row r="1263" spans="1:18" x14ac:dyDescent="0.35">
      <c r="A1263" s="9">
        <v>1263</v>
      </c>
      <c r="B1263" s="5">
        <v>0.5</v>
      </c>
      <c r="C1263" s="5">
        <v>4000000</v>
      </c>
      <c r="D1263" s="5">
        <v>15</v>
      </c>
      <c r="E1263" s="5">
        <v>0</v>
      </c>
      <c r="F1263" s="5">
        <v>0.05</v>
      </c>
      <c r="G1263" s="12">
        <f>(C1263*$U$4)/($U$5*$U$3)</f>
        <v>58.775510204081627</v>
      </c>
      <c r="H1263" s="11">
        <f>G1263*COS(RADIANS(D1263))</f>
        <v>56.772783259439109</v>
      </c>
      <c r="I1263" s="11">
        <f>G1263*SIN(RADIANS(D1263))</f>
        <v>15.212221426433871</v>
      </c>
      <c r="J1263" s="12">
        <v>0.23230000000000001</v>
      </c>
      <c r="K1263" s="12">
        <v>0</v>
      </c>
      <c r="L1263" s="12">
        <f>-(F1263*G1263*$U$3)/J1263</f>
        <v>-12.650777056410165</v>
      </c>
      <c r="M1263" s="11">
        <f>ABS(L1263/$U$6)</f>
        <v>3.6882731942886778E-2</v>
      </c>
      <c r="N1263" s="12">
        <f>L1263*SIN(RADIANS(K1263))</f>
        <v>0</v>
      </c>
      <c r="O1263" s="12">
        <f>L1263*COS(RADIANS(K1263))</f>
        <v>-12.650777056410165</v>
      </c>
      <c r="P1263" s="5">
        <v>4.0356888642473177</v>
      </c>
      <c r="Q1263" s="5">
        <v>0.83436355997676148</v>
      </c>
      <c r="R1263" s="6">
        <f>P1263/Q1263</f>
        <v>4.8368469787435577</v>
      </c>
    </row>
    <row r="1264" spans="1:18" x14ac:dyDescent="0.35">
      <c r="A1264" s="9">
        <v>1264</v>
      </c>
      <c r="B1264" s="5">
        <v>0.75</v>
      </c>
      <c r="C1264" s="5">
        <v>6000000</v>
      </c>
      <c r="D1264" s="5">
        <v>30</v>
      </c>
      <c r="E1264" s="5">
        <v>0.375</v>
      </c>
      <c r="F1264" s="5">
        <v>7.4999999999999997E-2</v>
      </c>
      <c r="G1264" s="12">
        <f>(C1264*$U$4)/($U$5*$U$3)</f>
        <v>88.16326530612244</v>
      </c>
      <c r="H1264" s="11">
        <f>G1264*COS(RADIANS(D1264))</f>
        <v>76.351627435689281</v>
      </c>
      <c r="I1264" s="11">
        <f>G1264*SIN(RADIANS(D1264))</f>
        <v>44.081632653061213</v>
      </c>
      <c r="J1264" s="11">
        <v>0.29299999999999998</v>
      </c>
      <c r="K1264" s="12">
        <v>57</v>
      </c>
      <c r="L1264" s="12">
        <f>-(F1264*G1264*$U$3)/J1264</f>
        <v>-22.567388730236122</v>
      </c>
      <c r="M1264" s="11">
        <f>ABS(L1264/$U$6)</f>
        <v>6.5794136239755455E-2</v>
      </c>
      <c r="N1264" s="12">
        <f>L1264*SIN(RADIANS(K1264))</f>
        <v>-18.926604723432291</v>
      </c>
      <c r="O1264" s="12">
        <f>L1264*COS(RADIANS(K1264))</f>
        <v>-12.291080820844799</v>
      </c>
      <c r="P1264" s="5">
        <v>5.5048914244784273</v>
      </c>
      <c r="Q1264" s="5">
        <v>1.3513020083059297</v>
      </c>
      <c r="R1264" s="6">
        <f>P1264/Q1264</f>
        <v>4.0737684030971559</v>
      </c>
    </row>
    <row r="1265" spans="1:18" x14ac:dyDescent="0.35">
      <c r="A1265" s="9">
        <v>1265</v>
      </c>
      <c r="B1265" s="5">
        <v>0.25</v>
      </c>
      <c r="C1265" s="5">
        <v>2000000</v>
      </c>
      <c r="D1265" s="5">
        <v>20</v>
      </c>
      <c r="E1265" s="5">
        <v>0.375</v>
      </c>
      <c r="F1265" s="5">
        <v>0.05</v>
      </c>
      <c r="G1265" s="12">
        <f>(C1265*$U$4)/($U$5*$U$3)</f>
        <v>29.387755102040813</v>
      </c>
      <c r="H1265" s="11">
        <f>G1265*COS(RADIANS(D1265))</f>
        <v>27.615456610851183</v>
      </c>
      <c r="I1265" s="11">
        <f>G1265*SIN(RADIANS(D1265))</f>
        <v>10.051204212019652</v>
      </c>
      <c r="J1265" s="11">
        <v>0.1976</v>
      </c>
      <c r="K1265" s="12">
        <v>78</v>
      </c>
      <c r="L1265" s="12">
        <f>-(F1265*G1265*$U$3)/J1265</f>
        <v>-7.4361728497066837</v>
      </c>
      <c r="M1265" s="11">
        <f>ABS(L1265/$U$6)</f>
        <v>2.1679804226550099E-2</v>
      </c>
      <c r="N1265" s="12">
        <f>L1265*SIN(RADIANS(K1265))</f>
        <v>-7.2736746315824581</v>
      </c>
      <c r="O1265" s="12">
        <f>L1265*COS(RADIANS(K1265))</f>
        <v>-1.5460672703956333</v>
      </c>
      <c r="P1265" s="5">
        <v>2.5629206654760499</v>
      </c>
      <c r="Q1265" s="5">
        <v>0.62645858067949156</v>
      </c>
      <c r="R1265" s="6">
        <f>P1265/Q1265</f>
        <v>4.0911254862151694</v>
      </c>
    </row>
    <row r="1266" spans="1:18" x14ac:dyDescent="0.35">
      <c r="A1266" s="9">
        <v>1266</v>
      </c>
      <c r="B1266" s="5">
        <v>0.25</v>
      </c>
      <c r="C1266" s="5">
        <v>6000000</v>
      </c>
      <c r="D1266" s="5">
        <v>30</v>
      </c>
      <c r="E1266" s="5">
        <v>0.375</v>
      </c>
      <c r="F1266" s="5">
        <v>3.5000000000000003E-2</v>
      </c>
      <c r="G1266" s="12">
        <f>(C1266*$U$4)/($U$5*$U$3)</f>
        <v>88.16326530612244</v>
      </c>
      <c r="H1266" s="11">
        <f>G1266*COS(RADIANS(D1266))</f>
        <v>76.351627435689281</v>
      </c>
      <c r="I1266" s="11">
        <f>G1266*SIN(RADIANS(D1266))</f>
        <v>44.081632653061213</v>
      </c>
      <c r="J1266" s="11">
        <v>0.1976</v>
      </c>
      <c r="K1266" s="12">
        <v>78</v>
      </c>
      <c r="L1266" s="12">
        <f>-(F1266*G1266*$U$3)/J1266</f>
        <v>-15.615962984384037</v>
      </c>
      <c r="M1266" s="11">
        <f>ABS(L1266/$U$6)</f>
        <v>4.5527588875755212E-2</v>
      </c>
      <c r="N1266" s="12">
        <f>L1266*SIN(RADIANS(K1266))</f>
        <v>-15.274716726323165</v>
      </c>
      <c r="O1266" s="12">
        <f>L1266*COS(RADIANS(K1266))</f>
        <v>-3.2467412678308301</v>
      </c>
      <c r="P1266" s="5">
        <v>2.631450453851313</v>
      </c>
      <c r="Q1266" s="5">
        <v>0.96173804091004733</v>
      </c>
      <c r="R1266" s="6">
        <f>P1266/Q1266</f>
        <v>2.7361405517050108</v>
      </c>
    </row>
    <row r="1267" spans="1:18" x14ac:dyDescent="0.35">
      <c r="A1267" s="9">
        <v>1267</v>
      </c>
      <c r="B1267" s="5">
        <v>0.1</v>
      </c>
      <c r="C1267" s="5">
        <v>2000000</v>
      </c>
      <c r="D1267" s="5">
        <v>30</v>
      </c>
      <c r="E1267" s="5">
        <v>0.375</v>
      </c>
      <c r="F1267" s="5">
        <v>1.4999999999999999E-2</v>
      </c>
      <c r="G1267" s="12">
        <f>(C1267*$U$4)/($U$5*$U$3)</f>
        <v>29.387755102040813</v>
      </c>
      <c r="H1267" s="11">
        <f>G1267*COS(RADIANS(D1267))</f>
        <v>25.450542478563094</v>
      </c>
      <c r="I1267" s="11">
        <f>G1267*SIN(RADIANS(D1267))</f>
        <v>14.693877551020405</v>
      </c>
      <c r="J1267" s="12">
        <v>0.16789999999999999</v>
      </c>
      <c r="K1267" s="11">
        <v>85</v>
      </c>
      <c r="L1267" s="12">
        <f>-(F1267*G1267*$U$3)/J1267</f>
        <v>-2.6254694849947122</v>
      </c>
      <c r="M1267" s="11">
        <f>ABS(L1267/$U$6)</f>
        <v>7.6544299854073242E-3</v>
      </c>
      <c r="N1267" s="12">
        <f>L1267*SIN(RADIANS(K1267))</f>
        <v>-2.6154787809533979</v>
      </c>
      <c r="O1267" s="12">
        <f>L1267*COS(RADIANS(K1267))</f>
        <v>-0.22882474302602562</v>
      </c>
      <c r="P1267" s="5">
        <v>1.4247689556874528</v>
      </c>
      <c r="Q1267" s="5">
        <v>1.0845270524197734</v>
      </c>
      <c r="R1267" s="6">
        <f>P1267/Q1267</f>
        <v>1.3137237586729984</v>
      </c>
    </row>
    <row r="1268" spans="1:18" x14ac:dyDescent="0.35">
      <c r="A1268" s="9">
        <v>1268</v>
      </c>
      <c r="B1268" s="5">
        <v>0.1</v>
      </c>
      <c r="C1268" s="5">
        <v>6000000</v>
      </c>
      <c r="D1268" s="5">
        <v>0</v>
      </c>
      <c r="E1268" s="5">
        <v>0</v>
      </c>
      <c r="F1268" s="5">
        <v>0.05</v>
      </c>
      <c r="G1268" s="12">
        <f>(C1268*$U$4)/($U$5*$U$3)</f>
        <v>88.16326530612244</v>
      </c>
      <c r="H1268" s="11">
        <f>G1268*COS(RADIANS(D1268))</f>
        <v>88.16326530612244</v>
      </c>
      <c r="I1268" s="11">
        <f>G1268*SIN(RADIANS(D1268))</f>
        <v>0</v>
      </c>
      <c r="J1268" s="11">
        <v>0.16569999999999999</v>
      </c>
      <c r="K1268" s="12">
        <v>0</v>
      </c>
      <c r="L1268" s="12">
        <f>-(F1268*G1268*$U$3)/J1268</f>
        <v>-26.603278607761752</v>
      </c>
      <c r="M1268" s="11">
        <f>ABS(L1268/$U$6)</f>
        <v>7.7560579031375365E-2</v>
      </c>
      <c r="N1268" s="12">
        <f>L1268*SIN(RADIANS(K1268))</f>
        <v>0</v>
      </c>
      <c r="O1268" s="12">
        <f>L1268*COS(RADIANS(K1268))</f>
        <v>-26.603278607761752</v>
      </c>
      <c r="P1268" s="5">
        <v>1.2203270749908206</v>
      </c>
      <c r="Q1268" s="5">
        <v>0.21403334180539507</v>
      </c>
      <c r="R1268" s="6">
        <f>P1268/Q1268</f>
        <v>5.7015746457875478</v>
      </c>
    </row>
    <row r="1269" spans="1:18" x14ac:dyDescent="0.35">
      <c r="A1269" s="9">
        <v>1269</v>
      </c>
      <c r="B1269" s="5">
        <v>0.5</v>
      </c>
      <c r="C1269" s="5">
        <v>2000000</v>
      </c>
      <c r="D1269" s="5">
        <v>20</v>
      </c>
      <c r="E1269" s="5">
        <v>0</v>
      </c>
      <c r="F1269" s="5">
        <v>3.5000000000000003E-2</v>
      </c>
      <c r="G1269" s="12">
        <f>(C1269*$U$4)/($U$5*$U$3)</f>
        <v>29.387755102040813</v>
      </c>
      <c r="H1269" s="11">
        <f>G1269*COS(RADIANS(D1269))</f>
        <v>27.615456610851183</v>
      </c>
      <c r="I1269" s="11">
        <f>G1269*SIN(RADIANS(D1269))</f>
        <v>10.051204212019652</v>
      </c>
      <c r="J1269" s="12">
        <v>0.23230000000000001</v>
      </c>
      <c r="K1269" s="12">
        <v>0</v>
      </c>
      <c r="L1269" s="12">
        <f>-(F1269*G1269*$U$3)/J1269</f>
        <v>-4.4277719697435574</v>
      </c>
      <c r="M1269" s="11">
        <f>ABS(L1269/$U$6)</f>
        <v>1.2908956180010372E-2</v>
      </c>
      <c r="N1269" s="12">
        <f>L1269*SIN(RADIANS(K1269))</f>
        <v>0</v>
      </c>
      <c r="O1269" s="12">
        <f>L1269*COS(RADIANS(K1269))</f>
        <v>-4.4277719697435574</v>
      </c>
      <c r="P1269" s="5">
        <v>2.8716014259783105</v>
      </c>
      <c r="Q1269" s="5">
        <v>0.93927220178347881</v>
      </c>
      <c r="R1269" s="6">
        <f>P1269/Q1269</f>
        <v>3.0572622297623075</v>
      </c>
    </row>
    <row r="1270" spans="1:18" x14ac:dyDescent="0.35">
      <c r="A1270" s="9">
        <v>1270</v>
      </c>
      <c r="B1270" s="5">
        <v>1</v>
      </c>
      <c r="C1270" s="5">
        <v>4000000</v>
      </c>
      <c r="D1270" s="5">
        <v>30</v>
      </c>
      <c r="E1270" s="5">
        <v>0</v>
      </c>
      <c r="F1270" s="5">
        <v>2.5000000000000001E-2</v>
      </c>
      <c r="G1270" s="12">
        <f>(C1270*$U$4)/($U$5*$U$3)</f>
        <v>58.775510204081627</v>
      </c>
      <c r="H1270" s="11">
        <f>G1270*COS(RADIANS(D1270))</f>
        <v>50.901084957126187</v>
      </c>
      <c r="I1270" s="11">
        <f>G1270*SIN(RADIANS(D1270))</f>
        <v>29.38775510204081</v>
      </c>
      <c r="J1270" s="11">
        <v>0.33379999999999999</v>
      </c>
      <c r="K1270" s="12">
        <v>0</v>
      </c>
      <c r="L1270" s="12">
        <f>-(F1270*G1270*$U$3)/J1270</f>
        <v>-4.4020004646556048</v>
      </c>
      <c r="M1270" s="11">
        <f>ABS(L1270/$U$6)</f>
        <v>1.283382059666357E-2</v>
      </c>
      <c r="N1270" s="12">
        <f>L1270*SIN(RADIANS(K1270))</f>
        <v>0</v>
      </c>
      <c r="O1270" s="12">
        <f>L1270*COS(RADIANS(K1270))</f>
        <v>-4.4020004646556048</v>
      </c>
      <c r="P1270" s="5">
        <v>3.0654791921660074</v>
      </c>
      <c r="Q1270" s="5">
        <v>1.6095573584861285</v>
      </c>
      <c r="R1270" s="6">
        <f>P1270/Q1270</f>
        <v>1.9045479653171531</v>
      </c>
    </row>
    <row r="1271" spans="1:18" x14ac:dyDescent="0.35">
      <c r="A1271" s="9">
        <v>1271</v>
      </c>
      <c r="B1271" s="5">
        <v>0.5</v>
      </c>
      <c r="C1271" s="5">
        <v>6000000</v>
      </c>
      <c r="D1271" s="5">
        <v>30</v>
      </c>
      <c r="E1271" s="5">
        <v>0.375</v>
      </c>
      <c r="F1271" s="5">
        <v>0</v>
      </c>
      <c r="G1271" s="12">
        <f>(C1271*$U$4)/($U$5*$U$3)</f>
        <v>88.16326530612244</v>
      </c>
      <c r="H1271" s="11">
        <f>G1271*COS(RADIANS(D1271))</f>
        <v>76.351627435689281</v>
      </c>
      <c r="I1271" s="11">
        <f>G1271*SIN(RADIANS(D1271))</f>
        <v>44.081632653061213</v>
      </c>
      <c r="J1271" s="12">
        <v>0.24809999999999999</v>
      </c>
      <c r="K1271" s="12">
        <v>67</v>
      </c>
      <c r="L1271" s="12">
        <f>-(F1271*G1271*$U$3)/J1271</f>
        <v>0</v>
      </c>
      <c r="M1271" s="11">
        <f>ABS(L1271/$U$6)</f>
        <v>0</v>
      </c>
      <c r="N1271" s="12">
        <f>L1271*SIN(RADIANS(K1271))</f>
        <v>0</v>
      </c>
      <c r="O1271" s="12">
        <f>L1271*COS(RADIANS(K1271))</f>
        <v>0</v>
      </c>
      <c r="P1271" s="5">
        <v>3.5482030685789256</v>
      </c>
      <c r="Q1271" s="5">
        <v>1.7388692838639013</v>
      </c>
      <c r="R1271" s="6">
        <f>P1271/Q1271</f>
        <v>2.0405231730211173</v>
      </c>
    </row>
    <row r="1272" spans="1:18" x14ac:dyDescent="0.35">
      <c r="A1272" s="9">
        <v>1272</v>
      </c>
      <c r="B1272" s="5">
        <v>0.5</v>
      </c>
      <c r="C1272" s="5">
        <v>6000000</v>
      </c>
      <c r="D1272" s="5">
        <v>20</v>
      </c>
      <c r="E1272" s="5">
        <v>0.25</v>
      </c>
      <c r="F1272" s="5">
        <v>2.5000000000000001E-2</v>
      </c>
      <c r="G1272" s="12">
        <f>(C1272*$U$4)/($U$5*$U$3)</f>
        <v>88.16326530612244</v>
      </c>
      <c r="H1272" s="11">
        <f>G1272*COS(RADIANS(D1272))</f>
        <v>82.846369832553549</v>
      </c>
      <c r="I1272" s="11">
        <f>G1272*SIN(RADIANS(D1272))</f>
        <v>30.153612636058952</v>
      </c>
      <c r="J1272" s="11">
        <v>0.23580000000000001</v>
      </c>
      <c r="K1272" s="11">
        <v>49</v>
      </c>
      <c r="L1272" s="12">
        <f>-(F1272*G1272*$U$3)/J1272</f>
        <v>-9.347250350521886</v>
      </c>
      <c r="M1272" s="11">
        <f>ABS(L1272/$U$6)</f>
        <v>2.7251458747877218E-2</v>
      </c>
      <c r="N1272" s="12">
        <f>L1272*SIN(RADIANS(K1272))</f>
        <v>-7.0544593882795308</v>
      </c>
      <c r="O1272" s="12">
        <f>L1272*COS(RADIANS(K1272))</f>
        <v>-6.1323479886945673</v>
      </c>
      <c r="P1272" s="5">
        <v>3.5212879043331418</v>
      </c>
      <c r="Q1272" s="5">
        <v>0.7907441150489618</v>
      </c>
      <c r="R1272" s="6">
        <f>P1272/Q1272</f>
        <v>4.4531319769798205</v>
      </c>
    </row>
    <row r="1273" spans="1:18" x14ac:dyDescent="0.35">
      <c r="A1273" s="9">
        <v>1273</v>
      </c>
      <c r="B1273" s="5">
        <v>0.1</v>
      </c>
      <c r="C1273" s="5">
        <v>2000000</v>
      </c>
      <c r="D1273" s="5">
        <v>5</v>
      </c>
      <c r="E1273" s="5">
        <v>0.25</v>
      </c>
      <c r="F1273" s="5">
        <v>7.4999999999999997E-2</v>
      </c>
      <c r="G1273" s="12">
        <f>(C1273*$U$4)/($U$5*$U$3)</f>
        <v>29.387755102040813</v>
      </c>
      <c r="H1273" s="11">
        <f>G1273*COS(RADIANS(D1273))</f>
        <v>29.275925821471702</v>
      </c>
      <c r="I1273" s="11">
        <f>G1273*SIN(RADIANS(D1273))</f>
        <v>2.5613116236046478</v>
      </c>
      <c r="J1273" s="11">
        <v>0.1661</v>
      </c>
      <c r="K1273" s="12">
        <v>80</v>
      </c>
      <c r="L1273" s="12">
        <f>-(F1273*G1273*$U$3)/J1273</f>
        <v>-13.269606457875142</v>
      </c>
      <c r="M1273" s="11">
        <f>ABS(L1273/$U$6)</f>
        <v>3.8686899294096626E-2</v>
      </c>
      <c r="N1273" s="12">
        <f>L1273*SIN(RADIANS(K1273))</f>
        <v>-13.068011319136303</v>
      </c>
      <c r="O1273" s="12">
        <f>L1273*COS(RADIANS(K1273))</f>
        <v>-2.3042429797673498</v>
      </c>
      <c r="P1273" s="5">
        <v>1.6870254220060739</v>
      </c>
      <c r="Q1273" s="5">
        <v>0.34483487063487422</v>
      </c>
      <c r="R1273" s="6">
        <f>P1273/Q1273</f>
        <v>4.8922703753831431</v>
      </c>
    </row>
    <row r="1274" spans="1:18" x14ac:dyDescent="0.35">
      <c r="A1274" s="9">
        <v>1274</v>
      </c>
      <c r="B1274" s="5">
        <v>0.5</v>
      </c>
      <c r="C1274" s="5">
        <v>4000000</v>
      </c>
      <c r="D1274" s="5">
        <v>5</v>
      </c>
      <c r="E1274" s="5">
        <v>0.25</v>
      </c>
      <c r="F1274" s="5">
        <v>0.1</v>
      </c>
      <c r="G1274" s="12">
        <f>(C1274*$U$4)/($U$5*$U$3)</f>
        <v>58.775510204081627</v>
      </c>
      <c r="H1274" s="11">
        <f>G1274*COS(RADIANS(D1274))</f>
        <v>58.551851642943404</v>
      </c>
      <c r="I1274" s="11">
        <f>G1274*SIN(RADIANS(D1274))</f>
        <v>5.1226232472092956</v>
      </c>
      <c r="J1274" s="11">
        <v>0.23580000000000001</v>
      </c>
      <c r="K1274" s="11">
        <v>49</v>
      </c>
      <c r="L1274" s="12">
        <f>-(F1274*G1274*$U$3)/J1274</f>
        <v>-24.926000934725032</v>
      </c>
      <c r="M1274" s="11">
        <f>ABS(L1274/$U$6)</f>
        <v>7.2670556661005928E-2</v>
      </c>
      <c r="N1274" s="12">
        <f>L1274*SIN(RADIANS(K1274))</f>
        <v>-18.81189170207875</v>
      </c>
      <c r="O1274" s="12">
        <f>L1274*COS(RADIANS(K1274))</f>
        <v>-16.352927969852182</v>
      </c>
      <c r="P1274" s="5">
        <v>4.9085779896996717</v>
      </c>
      <c r="Q1274" s="5">
        <v>-4.0723714980706101E-2</v>
      </c>
      <c r="R1274" s="6">
        <f>P1274/Q1274</f>
        <v>-120.53364954609951</v>
      </c>
    </row>
    <row r="1275" spans="1:18" x14ac:dyDescent="0.35">
      <c r="A1275" s="9">
        <v>1275</v>
      </c>
      <c r="B1275" s="5">
        <v>0.5</v>
      </c>
      <c r="C1275" s="5">
        <v>2000000</v>
      </c>
      <c r="D1275" s="5">
        <v>5</v>
      </c>
      <c r="E1275" s="5">
        <v>0.25</v>
      </c>
      <c r="F1275" s="5">
        <v>0.1</v>
      </c>
      <c r="G1275" s="12">
        <f>(C1275*$U$4)/($U$5*$U$3)</f>
        <v>29.387755102040813</v>
      </c>
      <c r="H1275" s="11">
        <f>G1275*COS(RADIANS(D1275))</f>
        <v>29.275925821471702</v>
      </c>
      <c r="I1275" s="11">
        <f>G1275*SIN(RADIANS(D1275))</f>
        <v>2.5613116236046478</v>
      </c>
      <c r="J1275" s="11">
        <v>0.23580000000000001</v>
      </c>
      <c r="K1275" s="11">
        <v>49</v>
      </c>
      <c r="L1275" s="12">
        <f>-(F1275*G1275*$U$3)/J1275</f>
        <v>-12.463000467362516</v>
      </c>
      <c r="M1275" s="11">
        <f>ABS(L1275/$U$6)</f>
        <v>3.6335278330502964E-2</v>
      </c>
      <c r="N1275" s="12">
        <f>L1275*SIN(RADIANS(K1275))</f>
        <v>-9.405945851039375</v>
      </c>
      <c r="O1275" s="12">
        <f>L1275*COS(RADIANS(K1275))</f>
        <v>-8.1764639849260909</v>
      </c>
      <c r="P1275" s="5">
        <v>4.8562890126565801</v>
      </c>
      <c r="Q1275" s="5">
        <v>-4.3283911810550545E-2</v>
      </c>
      <c r="R1275" s="6">
        <f>P1275/Q1275</f>
        <v>-112.19616734069885</v>
      </c>
    </row>
    <row r="1276" spans="1:18" x14ac:dyDescent="0.35">
      <c r="A1276" s="9">
        <v>1276</v>
      </c>
      <c r="B1276" s="5">
        <v>0.1</v>
      </c>
      <c r="C1276" s="5">
        <v>6000000</v>
      </c>
      <c r="D1276" s="5">
        <v>30</v>
      </c>
      <c r="E1276" s="5">
        <v>0.375</v>
      </c>
      <c r="F1276" s="5">
        <v>1.4999999999999999E-2</v>
      </c>
      <c r="G1276" s="12">
        <f>(C1276*$U$4)/($U$5*$U$3)</f>
        <v>88.16326530612244</v>
      </c>
      <c r="H1276" s="11">
        <f>G1276*COS(RADIANS(D1276))</f>
        <v>76.351627435689281</v>
      </c>
      <c r="I1276" s="11">
        <f>G1276*SIN(RADIANS(D1276))</f>
        <v>44.081632653061213</v>
      </c>
      <c r="J1276" s="12">
        <v>0.16789999999999999</v>
      </c>
      <c r="K1276" s="11">
        <v>85</v>
      </c>
      <c r="L1276" s="12">
        <f>-(F1276*G1276*$U$3)/J1276</f>
        <v>-7.8764084549841371</v>
      </c>
      <c r="M1276" s="11">
        <f>ABS(L1276/$U$6)</f>
        <v>2.2963289956221974E-2</v>
      </c>
      <c r="N1276" s="12">
        <f>L1276*SIN(RADIANS(K1276))</f>
        <v>-7.8464363428601942</v>
      </c>
      <c r="O1276" s="12">
        <f>L1276*COS(RADIANS(K1276))</f>
        <v>-0.68647422907807698</v>
      </c>
      <c r="P1276" s="5">
        <v>1.4322954682506082</v>
      </c>
      <c r="Q1276" s="5">
        <v>1.0901458805302449</v>
      </c>
      <c r="R1276" s="6">
        <f>P1276/Q1276</f>
        <v>1.3138566992097813</v>
      </c>
    </row>
    <row r="1277" spans="1:18" x14ac:dyDescent="0.35">
      <c r="A1277" s="9">
        <v>1277</v>
      </c>
      <c r="B1277" s="5">
        <v>0.1</v>
      </c>
      <c r="C1277" s="5">
        <v>2000000</v>
      </c>
      <c r="D1277" s="5">
        <v>15</v>
      </c>
      <c r="E1277" s="5">
        <v>0</v>
      </c>
      <c r="F1277" s="5">
        <v>0</v>
      </c>
      <c r="G1277" s="12">
        <f>(C1277*$U$4)/($U$5*$U$3)</f>
        <v>29.387755102040813</v>
      </c>
      <c r="H1277" s="11">
        <f>G1277*COS(RADIANS(D1277))</f>
        <v>28.386391629719554</v>
      </c>
      <c r="I1277" s="11">
        <f>G1277*SIN(RADIANS(D1277))</f>
        <v>7.6061107132169354</v>
      </c>
      <c r="J1277" s="11">
        <v>0.16569999999999999</v>
      </c>
      <c r="K1277" s="12">
        <v>0</v>
      </c>
      <c r="L1277" s="12">
        <f>-(F1277*G1277*$U$3)/J1277</f>
        <v>0</v>
      </c>
      <c r="M1277" s="11">
        <f>ABS(L1277/$U$6)</f>
        <v>0</v>
      </c>
      <c r="N1277" s="12">
        <f>L1277*SIN(RADIANS(K1277))</f>
        <v>0</v>
      </c>
      <c r="O1277" s="12">
        <f>L1277*COS(RADIANS(K1277))</f>
        <v>0</v>
      </c>
      <c r="P1277" s="5">
        <v>1.2588277102465792</v>
      </c>
      <c r="Q1277" s="5">
        <v>0.58532854192596095</v>
      </c>
      <c r="R1277" s="6">
        <f>P1277/Q1277</f>
        <v>2.1506344216609383</v>
      </c>
    </row>
    <row r="1278" spans="1:18" x14ac:dyDescent="0.35">
      <c r="A1278" s="9">
        <v>1101</v>
      </c>
      <c r="B1278" s="5">
        <v>0.25</v>
      </c>
      <c r="C1278" s="5">
        <v>6000000</v>
      </c>
      <c r="D1278" s="5">
        <v>15</v>
      </c>
      <c r="E1278" s="5">
        <v>0.375</v>
      </c>
      <c r="F1278" s="5">
        <v>0.1</v>
      </c>
      <c r="G1278" s="12">
        <f>(C1278*$U$4)/($U$5*$U$3)</f>
        <v>88.16326530612244</v>
      </c>
      <c r="H1278" s="11">
        <f>G1278*COS(RADIANS(D1278))</f>
        <v>85.159174889158663</v>
      </c>
      <c r="I1278" s="11">
        <f>G1278*SIN(RADIANS(D1278))</f>
        <v>22.818332139650806</v>
      </c>
      <c r="J1278" s="20">
        <v>0.1976</v>
      </c>
      <c r="K1278" s="19">
        <v>78</v>
      </c>
      <c r="L1278" s="12">
        <f>-(F1278*G1278*$U$3)/J1278</f>
        <v>-44.617037098240104</v>
      </c>
      <c r="M1278" s="11">
        <f>ABS(L1278/$U$6)</f>
        <v>0.1300788253593006</v>
      </c>
      <c r="N1278" s="12">
        <f>L1278*SIN(RADIANS(K1278))</f>
        <v>-43.642047789494754</v>
      </c>
      <c r="O1278" s="12">
        <f>L1278*COS(RADIANS(K1278))</f>
        <v>-9.2764036223738007</v>
      </c>
      <c r="P1278" s="5">
        <v>2.7274071248981806</v>
      </c>
      <c r="Q1278" s="5">
        <v>0.44161032066489808</v>
      </c>
      <c r="R1278" s="6">
        <f>P1278/Q1278</f>
        <v>6.1760493296255783</v>
      </c>
    </row>
    <row r="1279" spans="1:18" x14ac:dyDescent="0.35">
      <c r="A1279" s="9">
        <v>1279</v>
      </c>
      <c r="B1279" s="5">
        <v>0.75</v>
      </c>
      <c r="C1279" s="5">
        <v>2000000</v>
      </c>
      <c r="D1279" s="5">
        <v>0</v>
      </c>
      <c r="E1279" s="5">
        <v>0.25</v>
      </c>
      <c r="F1279" s="5">
        <v>0.15</v>
      </c>
      <c r="G1279" s="12">
        <f>(C1279*$U$4)/($U$5*$U$3)</f>
        <v>29.387755102040813</v>
      </c>
      <c r="H1279" s="11">
        <f>G1279*COS(RADIANS(D1279))</f>
        <v>29.387755102040813</v>
      </c>
      <c r="I1279" s="11">
        <f>G1279*SIN(RADIANS(D1279))</f>
        <v>0</v>
      </c>
      <c r="J1279" s="12">
        <v>0.28370000000000001</v>
      </c>
      <c r="K1279" s="11">
        <v>38</v>
      </c>
      <c r="L1279" s="12">
        <f>-(F1279*G1279*$U$3)/J1279</f>
        <v>-15.538115140310616</v>
      </c>
      <c r="M1279" s="11">
        <f>ABS(L1279/$U$6)</f>
        <v>4.5300627231226284E-2</v>
      </c>
      <c r="N1279" s="12">
        <f>L1279*SIN(RADIANS(K1279))</f>
        <v>-9.5662188910635813</v>
      </c>
      <c r="O1279" s="12">
        <f>L1279*COS(RADIANS(K1279))</f>
        <v>-12.244201821344184</v>
      </c>
      <c r="P1279" s="5">
        <v>4.4823975067590771</v>
      </c>
      <c r="Q1279" s="5">
        <v>-0.48930520311542147</v>
      </c>
      <c r="R1279" s="6">
        <f>P1279/Q1279</f>
        <v>-9.1607395102678506</v>
      </c>
    </row>
    <row r="1280" spans="1:18" x14ac:dyDescent="0.35">
      <c r="A1280" s="9">
        <v>1280</v>
      </c>
      <c r="B1280" s="5">
        <v>1</v>
      </c>
      <c r="C1280" s="5">
        <v>2000000</v>
      </c>
      <c r="D1280" s="5">
        <v>20</v>
      </c>
      <c r="E1280" s="5">
        <v>0</v>
      </c>
      <c r="F1280" s="5">
        <v>3.5000000000000003E-2</v>
      </c>
      <c r="G1280" s="12">
        <f>(C1280*$U$4)/($U$5*$U$3)</f>
        <v>29.387755102040813</v>
      </c>
      <c r="H1280" s="11">
        <f>G1280*COS(RADIANS(D1280))</f>
        <v>27.615456610851183</v>
      </c>
      <c r="I1280" s="11">
        <f>G1280*SIN(RADIANS(D1280))</f>
        <v>10.051204212019652</v>
      </c>
      <c r="J1280" s="11">
        <v>0.33379999999999999</v>
      </c>
      <c r="K1280" s="12">
        <v>0</v>
      </c>
      <c r="L1280" s="12">
        <f>-(F1280*G1280*$U$3)/J1280</f>
        <v>-3.0814003252589233</v>
      </c>
      <c r="M1280" s="11">
        <f>ABS(L1280/$U$6)</f>
        <v>8.983674417664499E-3</v>
      </c>
      <c r="N1280" s="12">
        <f>L1280*SIN(RADIANS(K1280))</f>
        <v>0</v>
      </c>
      <c r="O1280" s="12">
        <f>L1280*COS(RADIANS(K1280))</f>
        <v>-3.0814003252589233</v>
      </c>
      <c r="P1280" s="5">
        <v>0.13787914460475809</v>
      </c>
      <c r="Q1280" s="5">
        <v>2.0153841874862919</v>
      </c>
      <c r="R1280" s="6">
        <f>P1280/Q1280</f>
        <v>6.8413330550503734E-2</v>
      </c>
    </row>
    <row r="1281" spans="1:18" x14ac:dyDescent="0.35">
      <c r="A1281" s="9">
        <v>1281</v>
      </c>
      <c r="B1281" s="5">
        <v>0.1</v>
      </c>
      <c r="C1281" s="5">
        <v>6000000</v>
      </c>
      <c r="D1281" s="5">
        <v>5</v>
      </c>
      <c r="E1281" s="5">
        <v>0.25</v>
      </c>
      <c r="F1281" s="5">
        <v>2.5000000000000001E-2</v>
      </c>
      <c r="G1281" s="12">
        <f>(C1281*$U$4)/($U$5*$U$3)</f>
        <v>88.16326530612244</v>
      </c>
      <c r="H1281" s="11">
        <f>G1281*COS(RADIANS(D1281))</f>
        <v>87.827777464415107</v>
      </c>
      <c r="I1281" s="11">
        <f>G1281*SIN(RADIANS(D1281))</f>
        <v>7.6839348708139434</v>
      </c>
      <c r="J1281" s="11">
        <v>0.1661</v>
      </c>
      <c r="K1281" s="12">
        <v>80</v>
      </c>
      <c r="L1281" s="12">
        <f>-(F1281*G1281*$U$3)/J1281</f>
        <v>-13.269606457875142</v>
      </c>
      <c r="M1281" s="11">
        <f>ABS(L1281/$U$6)</f>
        <v>3.8686899294096626E-2</v>
      </c>
      <c r="N1281" s="12">
        <f>L1281*SIN(RADIANS(K1281))</f>
        <v>-13.068011319136303</v>
      </c>
      <c r="O1281" s="12">
        <f>L1281*COS(RADIANS(K1281))</f>
        <v>-2.3042429797673498</v>
      </c>
      <c r="P1281" s="5">
        <v>1.5514848788563864</v>
      </c>
      <c r="Q1281" s="5">
        <v>0.34498953316057368</v>
      </c>
      <c r="R1281" s="6">
        <f>P1281/Q1281</f>
        <v>4.4971940587375894</v>
      </c>
    </row>
    <row r="1282" spans="1:18" x14ac:dyDescent="0.35">
      <c r="A1282" s="9">
        <v>1282</v>
      </c>
      <c r="B1282" s="5">
        <v>0.25</v>
      </c>
      <c r="C1282" s="5">
        <v>6000000</v>
      </c>
      <c r="D1282" s="5">
        <v>5</v>
      </c>
      <c r="E1282" s="5">
        <v>0.25</v>
      </c>
      <c r="F1282" s="5">
        <v>1.4999999999999999E-2</v>
      </c>
      <c r="G1282" s="12">
        <f>(C1282*$U$4)/($U$5*$U$3)</f>
        <v>88.16326530612244</v>
      </c>
      <c r="H1282" s="11">
        <f>G1282*COS(RADIANS(D1282))</f>
        <v>87.827777464415107</v>
      </c>
      <c r="I1282" s="11">
        <f>G1282*SIN(RADIANS(D1282))</f>
        <v>7.6839348708139434</v>
      </c>
      <c r="J1282" s="12">
        <v>0.1913</v>
      </c>
      <c r="K1282" s="11">
        <v>67</v>
      </c>
      <c r="L1282" s="12">
        <f>-(F1282*G1282*$U$3)/J1282</f>
        <v>-6.9129585969254395</v>
      </c>
      <c r="M1282" s="11">
        <f>ABS(L1282/$U$6)</f>
        <v>2.0154398241765129E-2</v>
      </c>
      <c r="N1282" s="12">
        <f>L1282*SIN(RADIANS(K1282))</f>
        <v>-6.3634119401856397</v>
      </c>
      <c r="O1282" s="12">
        <f>L1282*COS(RADIANS(K1282))</f>
        <v>-2.7011081137763031</v>
      </c>
      <c r="P1282" s="5">
        <v>2.1077328625222354</v>
      </c>
      <c r="Q1282" s="5">
        <v>0.2778672930796332</v>
      </c>
      <c r="R1282" s="6">
        <f>P1282/Q1282</f>
        <v>7.5853938733199024</v>
      </c>
    </row>
    <row r="1283" spans="1:18" x14ac:dyDescent="0.35">
      <c r="A1283" s="9">
        <v>1283</v>
      </c>
      <c r="B1283" s="5">
        <v>0.5</v>
      </c>
      <c r="C1283" s="5">
        <v>2000000</v>
      </c>
      <c r="D1283" s="5">
        <v>0</v>
      </c>
      <c r="E1283" s="5">
        <v>0.125</v>
      </c>
      <c r="F1283" s="5">
        <v>0</v>
      </c>
      <c r="G1283" s="12">
        <f>(C1283*$U$4)/($U$5*$U$3)</f>
        <v>29.387755102040813</v>
      </c>
      <c r="H1283" s="11">
        <f>G1283*COS(RADIANS(D1283))</f>
        <v>29.387755102040813</v>
      </c>
      <c r="I1283" s="11">
        <f>G1283*SIN(RADIANS(D1283))</f>
        <v>0</v>
      </c>
      <c r="J1283" s="12">
        <v>0.23300000000000001</v>
      </c>
      <c r="K1283" s="11">
        <v>27</v>
      </c>
      <c r="L1283" s="12">
        <f>-(F1283*G1283*$U$3)/J1283</f>
        <v>0</v>
      </c>
      <c r="M1283" s="11">
        <f>ABS(L1283/$U$6)</f>
        <v>0</v>
      </c>
      <c r="N1283" s="12">
        <f>L1283*SIN(RADIANS(K1283))</f>
        <v>0</v>
      </c>
      <c r="O1283" s="12">
        <f>L1283*COS(RADIANS(K1283))</f>
        <v>0</v>
      </c>
      <c r="P1283" s="5">
        <v>4.1704257151571049</v>
      </c>
      <c r="Q1283" s="5">
        <v>0.39514229931430472</v>
      </c>
      <c r="R1283" s="6">
        <f>P1283/Q1283</f>
        <v>10.554237606032297</v>
      </c>
    </row>
    <row r="1284" spans="1:18" x14ac:dyDescent="0.35">
      <c r="A1284" s="9">
        <v>1284</v>
      </c>
      <c r="B1284" s="5">
        <v>0.25</v>
      </c>
      <c r="C1284" s="5">
        <v>6000000</v>
      </c>
      <c r="D1284" s="5">
        <v>20</v>
      </c>
      <c r="E1284" s="5">
        <v>0</v>
      </c>
      <c r="F1284" s="5">
        <v>1.4999999999999999E-2</v>
      </c>
      <c r="G1284" s="12">
        <f>(C1284*$U$4)/($U$5*$U$3)</f>
        <v>88.16326530612244</v>
      </c>
      <c r="H1284" s="11">
        <f>G1284*COS(RADIANS(D1284))</f>
        <v>82.846369832553549</v>
      </c>
      <c r="I1284" s="11">
        <f>G1284*SIN(RADIANS(D1284))</f>
        <v>30.153612636058952</v>
      </c>
      <c r="J1284" s="12">
        <v>0.18990000000000001</v>
      </c>
      <c r="K1284" s="12">
        <v>0</v>
      </c>
      <c r="L1284" s="12">
        <f>-(F1284*G1284*$U$3)/J1284</f>
        <v>-6.9639230099622775</v>
      </c>
      <c r="M1284" s="11">
        <f>ABS(L1284/$U$6)</f>
        <v>2.030298253633317E-2</v>
      </c>
      <c r="N1284" s="12">
        <f>L1284*SIN(RADIANS(K1284))</f>
        <v>0</v>
      </c>
      <c r="O1284" s="12">
        <f>L1284*COS(RADIANS(K1284))</f>
        <v>-6.9639230099622775</v>
      </c>
      <c r="P1284" s="5">
        <v>2.0773866499190592</v>
      </c>
      <c r="Q1284" s="5">
        <v>0.66945910703078815</v>
      </c>
      <c r="R1284" s="6">
        <f>P1284/Q1284</f>
        <v>3.1030822168254124</v>
      </c>
    </row>
    <row r="1285" spans="1:18" x14ac:dyDescent="0.35">
      <c r="A1285" s="9">
        <v>1285</v>
      </c>
      <c r="B1285" s="5">
        <v>0.1</v>
      </c>
      <c r="C1285" s="5">
        <v>2000000</v>
      </c>
      <c r="D1285" s="5">
        <v>15</v>
      </c>
      <c r="E1285" s="5">
        <v>0.125</v>
      </c>
      <c r="F1285" s="5">
        <v>7.4999999999999997E-2</v>
      </c>
      <c r="G1285" s="12">
        <f>(C1285*$U$4)/($U$5*$U$3)</f>
        <v>29.387755102040813</v>
      </c>
      <c r="H1285" s="11">
        <f>G1285*COS(RADIANS(D1285))</f>
        <v>28.386391629719554</v>
      </c>
      <c r="I1285" s="11">
        <f>G1285*SIN(RADIANS(D1285))</f>
        <v>7.6061107132169354</v>
      </c>
      <c r="J1285" s="12">
        <v>0.1658</v>
      </c>
      <c r="K1285" s="12">
        <v>69</v>
      </c>
      <c r="L1285" s="12">
        <f>-(F1285*G1285*$U$3)/J1285</f>
        <v>-13.293616602250067</v>
      </c>
      <c r="M1285" s="11">
        <f>ABS(L1285/$U$6)</f>
        <v>3.8756899715014774E-2</v>
      </c>
      <c r="N1285" s="12">
        <f>L1285*SIN(RADIANS(K1285))</f>
        <v>-12.410660257218899</v>
      </c>
      <c r="O1285" s="12">
        <f>L1285*COS(RADIANS(K1285))</f>
        <v>-4.7640061237897191</v>
      </c>
      <c r="P1285" s="5">
        <v>1.6824295325467431</v>
      </c>
      <c r="Q1285" s="5">
        <v>0.6037092668377595</v>
      </c>
      <c r="R1285" s="6">
        <f>P1285/Q1285</f>
        <v>2.7868207843807675</v>
      </c>
    </row>
    <row r="1286" spans="1:18" x14ac:dyDescent="0.35">
      <c r="A1286" s="9">
        <v>1286</v>
      </c>
      <c r="B1286" s="5">
        <v>0.5</v>
      </c>
      <c r="C1286" s="5">
        <v>4000000</v>
      </c>
      <c r="D1286" s="5">
        <v>15</v>
      </c>
      <c r="E1286" s="5">
        <v>0.25</v>
      </c>
      <c r="F1286" s="5">
        <v>3.5000000000000003E-2</v>
      </c>
      <c r="G1286" s="12">
        <f>(C1286*$U$4)/($U$5*$U$3)</f>
        <v>58.775510204081627</v>
      </c>
      <c r="H1286" s="11">
        <f>G1286*COS(RADIANS(D1286))</f>
        <v>56.772783259439109</v>
      </c>
      <c r="I1286" s="11">
        <f>G1286*SIN(RADIANS(D1286))</f>
        <v>15.212221426433871</v>
      </c>
      <c r="J1286" s="11">
        <v>0.23580000000000001</v>
      </c>
      <c r="K1286" s="11">
        <v>49</v>
      </c>
      <c r="L1286" s="12">
        <f>-(F1286*G1286*$U$3)/J1286</f>
        <v>-8.7241003271537618</v>
      </c>
      <c r="M1286" s="11">
        <f>ABS(L1286/$U$6)</f>
        <v>2.5434694831352075E-2</v>
      </c>
      <c r="N1286" s="12">
        <f>L1286*SIN(RADIANS(K1286))</f>
        <v>-6.5841620957275637</v>
      </c>
      <c r="O1286" s="12">
        <f>L1286*COS(RADIANS(K1286))</f>
        <v>-5.7235247894482635</v>
      </c>
      <c r="P1286" s="5">
        <v>2.8660923381848002</v>
      </c>
      <c r="Q1286" s="5">
        <v>0.55652373226416207</v>
      </c>
      <c r="R1286" s="6">
        <f>P1286/Q1286</f>
        <v>5.1499912259345804</v>
      </c>
    </row>
    <row r="1287" spans="1:18" x14ac:dyDescent="0.35">
      <c r="A1287" s="9">
        <v>1287</v>
      </c>
      <c r="B1287" s="5">
        <v>0.5</v>
      </c>
      <c r="C1287" s="5">
        <v>6000000</v>
      </c>
      <c r="D1287" s="5">
        <v>30</v>
      </c>
      <c r="E1287" s="5">
        <v>0.25</v>
      </c>
      <c r="F1287" s="5">
        <v>0</v>
      </c>
      <c r="G1287" s="12">
        <f>(C1287*$U$4)/($U$5*$U$3)</f>
        <v>88.16326530612244</v>
      </c>
      <c r="H1287" s="11">
        <f>G1287*COS(RADIANS(D1287))</f>
        <v>76.351627435689281</v>
      </c>
      <c r="I1287" s="11">
        <f>G1287*SIN(RADIANS(D1287))</f>
        <v>44.081632653061213</v>
      </c>
      <c r="J1287" s="11">
        <v>0.23580000000000001</v>
      </c>
      <c r="K1287" s="11">
        <v>49</v>
      </c>
      <c r="L1287" s="12">
        <f>-(F1287*G1287*$U$3)/J1287</f>
        <v>0</v>
      </c>
      <c r="M1287" s="11">
        <f>ABS(L1287/$U$6)</f>
        <v>0</v>
      </c>
      <c r="N1287" s="12">
        <f>L1287*SIN(RADIANS(K1287))</f>
        <v>0</v>
      </c>
      <c r="O1287" s="12">
        <f>L1287*COS(RADIANS(K1287))</f>
        <v>0</v>
      </c>
      <c r="P1287" s="5">
        <v>3.4364841399905406</v>
      </c>
      <c r="Q1287" s="5">
        <v>1.7114282507062573</v>
      </c>
      <c r="R1287" s="6">
        <f>P1287/Q1287</f>
        <v>2.0079627285411483</v>
      </c>
    </row>
    <row r="1288" spans="1:18" x14ac:dyDescent="0.35">
      <c r="A1288" s="9">
        <v>1288</v>
      </c>
      <c r="B1288" s="5">
        <v>1</v>
      </c>
      <c r="C1288" s="5">
        <v>4000000</v>
      </c>
      <c r="D1288" s="5">
        <v>15</v>
      </c>
      <c r="E1288" s="5">
        <v>0.375</v>
      </c>
      <c r="F1288" s="5">
        <v>0.1</v>
      </c>
      <c r="G1288" s="12">
        <f>(C1288*$U$4)/($U$5*$U$3)</f>
        <v>58.775510204081627</v>
      </c>
      <c r="H1288" s="11">
        <f>G1288*COS(RADIANS(D1288))</f>
        <v>56.772783259439109</v>
      </c>
      <c r="I1288" s="11">
        <f>G1288*SIN(RADIANS(D1288))</f>
        <v>15.212221426433871</v>
      </c>
      <c r="J1288" s="12">
        <v>0.33379999999999999</v>
      </c>
      <c r="K1288" s="11">
        <v>49</v>
      </c>
      <c r="L1288" s="12">
        <f>-(F1288*G1288*$U$3)/J1288</f>
        <v>-17.608001858622419</v>
      </c>
      <c r="M1288" s="11">
        <f>ABS(L1288/$U$6)</f>
        <v>5.1335282386654281E-2</v>
      </c>
      <c r="N1288" s="12">
        <f>L1288*SIN(RADIANS(K1288))</f>
        <v>-13.288927691282716</v>
      </c>
      <c r="O1288" s="12">
        <f>L1288*COS(RADIANS(K1288))</f>
        <v>-11.551888601830871</v>
      </c>
      <c r="P1288" s="5">
        <v>6.8148267222362282</v>
      </c>
      <c r="Q1288" s="5">
        <v>0.23311636681899911</v>
      </c>
      <c r="R1288" s="6">
        <f>P1288/Q1288</f>
        <v>29.23358327528986</v>
      </c>
    </row>
    <row r="1289" spans="1:18" x14ac:dyDescent="0.35">
      <c r="A1289" s="9">
        <v>1289</v>
      </c>
      <c r="B1289" s="5">
        <v>0.1</v>
      </c>
      <c r="C1289" s="5">
        <v>2000000</v>
      </c>
      <c r="D1289" s="5">
        <v>15</v>
      </c>
      <c r="E1289" s="5">
        <v>0</v>
      </c>
      <c r="F1289" s="5">
        <v>7.4999999999999997E-2</v>
      </c>
      <c r="G1289" s="12">
        <f>(C1289*$U$4)/($U$5*$U$3)</f>
        <v>29.387755102040813</v>
      </c>
      <c r="H1289" s="11">
        <f>G1289*COS(RADIANS(D1289))</f>
        <v>28.386391629719554</v>
      </c>
      <c r="I1289" s="11">
        <f>G1289*SIN(RADIANS(D1289))</f>
        <v>7.6061107132169354</v>
      </c>
      <c r="J1289" s="11">
        <v>0.16569999999999999</v>
      </c>
      <c r="K1289" s="12">
        <v>0</v>
      </c>
      <c r="L1289" s="12">
        <f>-(F1289*G1289*$U$3)/J1289</f>
        <v>-13.301639303880876</v>
      </c>
      <c r="M1289" s="11">
        <f>ABS(L1289/$U$6)</f>
        <v>3.8780289515687683E-2</v>
      </c>
      <c r="N1289" s="12">
        <f>L1289*SIN(RADIANS(K1289))</f>
        <v>0</v>
      </c>
      <c r="O1289" s="12">
        <f>L1289*COS(RADIANS(K1289))</f>
        <v>-13.301639303880876</v>
      </c>
      <c r="P1289" s="5">
        <v>1.6019421537992282</v>
      </c>
      <c r="Q1289" s="5">
        <v>0.54786103831842792</v>
      </c>
      <c r="R1289" s="6">
        <f>P1289/Q1289</f>
        <v>2.9239935709174247</v>
      </c>
    </row>
    <row r="1290" spans="1:18" x14ac:dyDescent="0.35">
      <c r="A1290" s="9">
        <v>1583</v>
      </c>
      <c r="B1290" s="5">
        <v>0.25</v>
      </c>
      <c r="C1290" s="5">
        <v>6000000</v>
      </c>
      <c r="D1290" s="5">
        <v>20</v>
      </c>
      <c r="E1290" s="5">
        <v>0.375</v>
      </c>
      <c r="F1290" s="5">
        <v>0.1</v>
      </c>
      <c r="G1290" s="12">
        <f>(C1290*$U$4)/($U$5*$U$3)</f>
        <v>88.16326530612244</v>
      </c>
      <c r="H1290" s="11">
        <f>G1290*COS(RADIANS(D1290))</f>
        <v>82.846369832553549</v>
      </c>
      <c r="I1290" s="11">
        <f>G1290*SIN(RADIANS(D1290))</f>
        <v>30.153612636058952</v>
      </c>
      <c r="J1290" s="20">
        <v>0.1976</v>
      </c>
      <c r="K1290" s="19">
        <v>78</v>
      </c>
      <c r="L1290" s="12">
        <f>-(F1290*G1290*$U$3)/J1290</f>
        <v>-44.617037098240104</v>
      </c>
      <c r="M1290" s="11">
        <f>ABS(L1290/$U$6)</f>
        <v>0.1300788253593006</v>
      </c>
      <c r="N1290" s="12">
        <f>L1290*SIN(RADIANS(K1290))</f>
        <v>-43.642047789494754</v>
      </c>
      <c r="O1290" s="12">
        <f>L1290*COS(RADIANS(K1290))</f>
        <v>-9.2764036223738007</v>
      </c>
      <c r="P1290" s="5">
        <v>2.8000788677152948</v>
      </c>
      <c r="Q1290" s="5">
        <v>0.61865685516941926</v>
      </c>
      <c r="R1290" s="6">
        <f>P1290/Q1290</f>
        <v>4.5260613283732107</v>
      </c>
    </row>
    <row r="1291" spans="1:18" x14ac:dyDescent="0.35">
      <c r="A1291" s="9">
        <v>1291</v>
      </c>
      <c r="B1291" s="5">
        <v>0.75</v>
      </c>
      <c r="C1291" s="5">
        <v>2000000</v>
      </c>
      <c r="D1291" s="5">
        <v>30</v>
      </c>
      <c r="E1291" s="5">
        <v>0.125</v>
      </c>
      <c r="F1291" s="5">
        <v>1.4999999999999999E-2</v>
      </c>
      <c r="G1291" s="12">
        <f>(C1291*$U$4)/($U$5*$U$3)</f>
        <v>29.387755102040813</v>
      </c>
      <c r="H1291" s="11">
        <f>G1291*COS(RADIANS(D1291))</f>
        <v>25.450542478563094</v>
      </c>
      <c r="I1291" s="11">
        <f>G1291*SIN(RADIANS(D1291))</f>
        <v>14.693877551020405</v>
      </c>
      <c r="J1291" s="12">
        <v>0.2802</v>
      </c>
      <c r="K1291" s="12">
        <v>19</v>
      </c>
      <c r="L1291" s="12">
        <f>-(F1291*G1291*$U$3)/J1291</f>
        <v>-1.5732202945417995</v>
      </c>
      <c r="M1291" s="11">
        <f>ABS(L1291/$U$6)</f>
        <v>4.5866480890431474E-3</v>
      </c>
      <c r="N1291" s="12">
        <f>L1291*SIN(RADIANS(K1291))</f>
        <v>-0.51219042784851809</v>
      </c>
      <c r="O1291" s="12">
        <f>L1291*COS(RADIANS(K1291))</f>
        <v>-1.4875090119990999</v>
      </c>
      <c r="P1291" s="5">
        <v>3.438455509312345</v>
      </c>
      <c r="Q1291" s="5">
        <v>1.372881102768359</v>
      </c>
      <c r="R1291" s="6">
        <f>P1291/Q1291</f>
        <v>2.5045544748040012</v>
      </c>
    </row>
    <row r="1292" spans="1:18" x14ac:dyDescent="0.35">
      <c r="A1292" s="9">
        <v>1292</v>
      </c>
      <c r="B1292" s="5">
        <v>0.1</v>
      </c>
      <c r="C1292" s="5">
        <v>2000000</v>
      </c>
      <c r="D1292" s="5">
        <v>5</v>
      </c>
      <c r="E1292" s="5">
        <v>0.25</v>
      </c>
      <c r="F1292" s="5">
        <v>2.5000000000000001E-2</v>
      </c>
      <c r="G1292" s="12">
        <f>(C1292*$U$4)/($U$5*$U$3)</f>
        <v>29.387755102040813</v>
      </c>
      <c r="H1292" s="11">
        <f>G1292*COS(RADIANS(D1292))</f>
        <v>29.275925821471702</v>
      </c>
      <c r="I1292" s="11">
        <f>G1292*SIN(RADIANS(D1292))</f>
        <v>2.5613116236046478</v>
      </c>
      <c r="J1292" s="11">
        <v>0.1661</v>
      </c>
      <c r="K1292" s="12">
        <v>80</v>
      </c>
      <c r="L1292" s="12">
        <f>-(F1292*G1292*$U$3)/J1292</f>
        <v>-4.4232021526250476</v>
      </c>
      <c r="M1292" s="11">
        <f>ABS(L1292/$U$6)</f>
        <v>1.2895633098032209E-2</v>
      </c>
      <c r="N1292" s="12">
        <f>L1292*SIN(RADIANS(K1292))</f>
        <v>-4.3560037730454351</v>
      </c>
      <c r="O1292" s="12">
        <f>L1292*COS(RADIANS(K1292))</f>
        <v>-0.76808099325578327</v>
      </c>
      <c r="P1292" s="5">
        <v>1.5640872870678084</v>
      </c>
      <c r="Q1292" s="5">
        <v>0.34108569154020679</v>
      </c>
      <c r="R1292" s="6">
        <f>P1292/Q1292</f>
        <v>4.5856138966281899</v>
      </c>
    </row>
    <row r="1293" spans="1:18" x14ac:dyDescent="0.35">
      <c r="A1293" s="9">
        <v>1293</v>
      </c>
      <c r="B1293" s="5">
        <v>0.1</v>
      </c>
      <c r="C1293" s="5">
        <v>6000000</v>
      </c>
      <c r="D1293" s="5">
        <v>20</v>
      </c>
      <c r="E1293" s="5">
        <v>0</v>
      </c>
      <c r="F1293" s="5">
        <v>1.4999999999999999E-2</v>
      </c>
      <c r="G1293" s="12">
        <f>(C1293*$U$4)/($U$5*$U$3)</f>
        <v>88.16326530612244</v>
      </c>
      <c r="H1293" s="11">
        <f>G1293*COS(RADIANS(D1293))</f>
        <v>82.846369832553549</v>
      </c>
      <c r="I1293" s="11">
        <f>G1293*SIN(RADIANS(D1293))</f>
        <v>30.153612636058952</v>
      </c>
      <c r="J1293" s="11">
        <v>0.16569999999999999</v>
      </c>
      <c r="K1293" s="12">
        <v>0</v>
      </c>
      <c r="L1293" s="12">
        <f>-(F1293*G1293*$U$3)/J1293</f>
        <v>-7.980983582328526</v>
      </c>
      <c r="M1293" s="11">
        <f>ABS(L1293/$U$6)</f>
        <v>2.3268173709412612E-2</v>
      </c>
      <c r="N1293" s="12">
        <f>L1293*SIN(RADIANS(K1293))</f>
        <v>0</v>
      </c>
      <c r="O1293" s="12">
        <f>L1293*COS(RADIANS(K1293))</f>
        <v>-7.980983582328526</v>
      </c>
      <c r="P1293" s="5">
        <v>1.1581854993317187</v>
      </c>
      <c r="Q1293" s="5">
        <v>0.60813781594275718</v>
      </c>
      <c r="R1293" s="6">
        <f>P1293/Q1293</f>
        <v>1.9044786707372534</v>
      </c>
    </row>
    <row r="1294" spans="1:18" x14ac:dyDescent="0.35">
      <c r="A1294" s="9">
        <v>1294</v>
      </c>
      <c r="B1294" s="5">
        <v>0.25</v>
      </c>
      <c r="C1294" s="5">
        <v>2000000</v>
      </c>
      <c r="D1294" s="5">
        <v>15</v>
      </c>
      <c r="E1294" s="5">
        <v>0.25</v>
      </c>
      <c r="F1294" s="5">
        <v>0.1</v>
      </c>
      <c r="G1294" s="12">
        <f>(C1294*$U$4)/($U$5*$U$3)</f>
        <v>29.387755102040813</v>
      </c>
      <c r="H1294" s="11">
        <f>G1294*COS(RADIANS(D1294))</f>
        <v>28.386391629719554</v>
      </c>
      <c r="I1294" s="11">
        <f>G1294*SIN(RADIANS(D1294))</f>
        <v>7.6061107132169354</v>
      </c>
      <c r="J1294" s="12">
        <v>0.1913</v>
      </c>
      <c r="K1294" s="11">
        <v>67</v>
      </c>
      <c r="L1294" s="12">
        <f>-(F1294*G1294*$U$3)/J1294</f>
        <v>-15.362130215389866</v>
      </c>
      <c r="M1294" s="11">
        <f>ABS(L1294/$U$6)</f>
        <v>4.4787551648366959E-2</v>
      </c>
      <c r="N1294" s="12">
        <f>L1294*SIN(RADIANS(K1294))</f>
        <v>-14.140915422634755</v>
      </c>
      <c r="O1294" s="12">
        <f>L1294*COS(RADIANS(K1294))</f>
        <v>-6.0024624750584517</v>
      </c>
      <c r="P1294" s="5">
        <v>2.4823498894134661</v>
      </c>
      <c r="Q1294" s="5">
        <v>0.53629068209401598</v>
      </c>
      <c r="R1294" s="6">
        <f>P1294/Q1294</f>
        <v>4.6287395479645692</v>
      </c>
    </row>
    <row r="1295" spans="1:18" x14ac:dyDescent="0.35">
      <c r="A1295" s="9">
        <v>1295</v>
      </c>
      <c r="B1295" s="5">
        <v>1</v>
      </c>
      <c r="C1295" s="5">
        <v>2000000</v>
      </c>
      <c r="D1295" s="5">
        <v>10</v>
      </c>
      <c r="E1295" s="5">
        <v>0.125</v>
      </c>
      <c r="F1295" s="5">
        <v>1.4999999999999999E-2</v>
      </c>
      <c r="G1295" s="12">
        <f>(C1295*$U$4)/($U$5*$U$3)</f>
        <v>29.387755102040813</v>
      </c>
      <c r="H1295" s="11">
        <f>G1295*COS(RADIANS(D1295))</f>
        <v>28.941289068113864</v>
      </c>
      <c r="I1295" s="11">
        <f>G1295*SIN(RADIANS(D1295))</f>
        <v>5.1031301191914213</v>
      </c>
      <c r="J1295" s="11">
        <v>0.33379999999999999</v>
      </c>
      <c r="K1295" s="12">
        <v>14</v>
      </c>
      <c r="L1295" s="12">
        <f>-(F1295*G1295*$U$3)/J1295</f>
        <v>-1.3206001393966813</v>
      </c>
      <c r="M1295" s="11">
        <f>ABS(L1295/$U$6)</f>
        <v>3.8501461789990708E-3</v>
      </c>
      <c r="N1295" s="12">
        <f>L1295*SIN(RADIANS(K1295))</f>
        <v>-0.31948208905203057</v>
      </c>
      <c r="O1295" s="12">
        <f>L1295*COS(RADIANS(K1295))</f>
        <v>-1.2813726713760851</v>
      </c>
      <c r="P1295" s="5">
        <v>2.1242538379503095</v>
      </c>
      <c r="Q1295" s="5">
        <v>1.5536087125957698</v>
      </c>
      <c r="R1295" s="6">
        <f>P1295/Q1295</f>
        <v>1.3673029899536966</v>
      </c>
    </row>
    <row r="1296" spans="1:18" x14ac:dyDescent="0.35">
      <c r="A1296" s="9">
        <v>1296</v>
      </c>
      <c r="B1296" s="5">
        <v>1</v>
      </c>
      <c r="C1296" s="5">
        <v>6000000</v>
      </c>
      <c r="D1296" s="5">
        <v>20</v>
      </c>
      <c r="E1296" s="5">
        <v>0</v>
      </c>
      <c r="F1296" s="5">
        <v>7.4999999999999997E-2</v>
      </c>
      <c r="G1296" s="12">
        <f>(C1296*$U$4)/($U$5*$U$3)</f>
        <v>88.16326530612244</v>
      </c>
      <c r="H1296" s="11">
        <f>G1296*COS(RADIANS(D1296))</f>
        <v>82.846369832553549</v>
      </c>
      <c r="I1296" s="11">
        <f>G1296*SIN(RADIANS(D1296))</f>
        <v>30.153612636058952</v>
      </c>
      <c r="J1296" s="11">
        <v>0.33379999999999999</v>
      </c>
      <c r="K1296" s="12">
        <v>0</v>
      </c>
      <c r="L1296" s="12">
        <f>-(F1296*G1296*$U$3)/J1296</f>
        <v>-19.809002090950219</v>
      </c>
      <c r="M1296" s="11">
        <f>ABS(L1296/$U$6)</f>
        <v>5.7752192684986062E-2</v>
      </c>
      <c r="N1296" s="12">
        <f>L1296*SIN(RADIANS(K1296))</f>
        <v>0</v>
      </c>
      <c r="O1296" s="12">
        <f>L1296*COS(RADIANS(K1296))</f>
        <v>-19.809002090950219</v>
      </c>
      <c r="P1296" s="5">
        <v>7.0666717810476047</v>
      </c>
      <c r="Q1296" s="5">
        <v>1.5611728472666262</v>
      </c>
      <c r="R1296" s="6">
        <f>P1296/Q1296</f>
        <v>4.526514660705419</v>
      </c>
    </row>
    <row r="1297" spans="1:18" x14ac:dyDescent="0.35">
      <c r="A1297" s="9">
        <v>1297</v>
      </c>
      <c r="B1297" s="5">
        <v>0.75</v>
      </c>
      <c r="C1297" s="5">
        <v>4000000</v>
      </c>
      <c r="D1297" s="5">
        <v>20</v>
      </c>
      <c r="E1297" s="5">
        <v>0.25</v>
      </c>
      <c r="F1297" s="5">
        <v>0.15</v>
      </c>
      <c r="G1297" s="12">
        <f>(C1297*$U$4)/($U$5*$U$3)</f>
        <v>58.775510204081627</v>
      </c>
      <c r="H1297" s="11">
        <f>G1297*COS(RADIANS(D1297))</f>
        <v>55.230913221702366</v>
      </c>
      <c r="I1297" s="11">
        <f>G1297*SIN(RADIANS(D1297))</f>
        <v>20.102408424039304</v>
      </c>
      <c r="J1297" s="12">
        <v>0.28370000000000001</v>
      </c>
      <c r="K1297" s="11">
        <v>38</v>
      </c>
      <c r="L1297" s="12">
        <f>-(F1297*G1297*$U$3)/J1297</f>
        <v>-31.076230280621232</v>
      </c>
      <c r="M1297" s="11">
        <f>ABS(L1297/$U$6)</f>
        <v>9.0601254462452568E-2</v>
      </c>
      <c r="N1297" s="12">
        <f>L1297*SIN(RADIANS(K1297))</f>
        <v>-19.132437782127163</v>
      </c>
      <c r="O1297" s="12">
        <f>L1297*COS(RADIANS(K1297))</f>
        <v>-24.488403642688368</v>
      </c>
      <c r="P1297" s="5">
        <v>4.928902064422318</v>
      </c>
      <c r="Q1297" s="5">
        <v>0.63828456259522182</v>
      </c>
      <c r="R1297" s="6">
        <f>P1297/Q1297</f>
        <v>7.7221075884739179</v>
      </c>
    </row>
    <row r="1298" spans="1:18" x14ac:dyDescent="0.35">
      <c r="A1298" s="9">
        <v>1298</v>
      </c>
      <c r="B1298" s="5">
        <v>0.1</v>
      </c>
      <c r="C1298" s="5">
        <v>6000000</v>
      </c>
      <c r="D1298" s="5">
        <v>5</v>
      </c>
      <c r="E1298" s="5">
        <v>0.125</v>
      </c>
      <c r="F1298" s="5">
        <v>0.05</v>
      </c>
      <c r="G1298" s="12">
        <f>(C1298*$U$4)/($U$5*$U$3)</f>
        <v>88.16326530612244</v>
      </c>
      <c r="H1298" s="11">
        <f>G1298*COS(RADIANS(D1298))</f>
        <v>87.827777464415107</v>
      </c>
      <c r="I1298" s="11">
        <f>G1298*SIN(RADIANS(D1298))</f>
        <v>7.6839348708139434</v>
      </c>
      <c r="J1298" s="12">
        <v>0.1658</v>
      </c>
      <c r="K1298" s="12">
        <v>69</v>
      </c>
      <c r="L1298" s="12">
        <f>-(F1298*G1298*$U$3)/J1298</f>
        <v>-26.587233204500134</v>
      </c>
      <c r="M1298" s="11">
        <f>ABS(L1298/$U$6)</f>
        <v>7.7513799430029548E-2</v>
      </c>
      <c r="N1298" s="12">
        <f>L1298*SIN(RADIANS(K1298))</f>
        <v>-24.821320514437797</v>
      </c>
      <c r="O1298" s="12">
        <f>L1298*COS(RADIANS(K1298))</f>
        <v>-9.5280122475794382</v>
      </c>
      <c r="P1298" s="5">
        <v>1.4237549506244296</v>
      </c>
      <c r="Q1298" s="5">
        <v>0.33590599096502216</v>
      </c>
      <c r="R1298" s="6">
        <f>P1298/Q1298</f>
        <v>4.2385518237829967</v>
      </c>
    </row>
    <row r="1299" spans="1:18" x14ac:dyDescent="0.35">
      <c r="A1299" s="9">
        <v>1299</v>
      </c>
      <c r="B1299" s="5">
        <v>0.25</v>
      </c>
      <c r="C1299" s="5">
        <v>4000000</v>
      </c>
      <c r="D1299" s="5">
        <v>0</v>
      </c>
      <c r="E1299" s="5">
        <v>0</v>
      </c>
      <c r="F1299" s="5">
        <v>0.1</v>
      </c>
      <c r="G1299" s="12">
        <f>(C1299*$U$4)/($U$5*$U$3)</f>
        <v>58.775510204081627</v>
      </c>
      <c r="H1299" s="11">
        <f>G1299*COS(RADIANS(D1299))</f>
        <v>58.775510204081627</v>
      </c>
      <c r="I1299" s="11">
        <f>G1299*SIN(RADIANS(D1299))</f>
        <v>0</v>
      </c>
      <c r="J1299" s="12">
        <v>0.18990000000000001</v>
      </c>
      <c r="K1299" s="12">
        <v>0</v>
      </c>
      <c r="L1299" s="12">
        <f>-(F1299*G1299*$U$3)/J1299</f>
        <v>-30.95076893316568</v>
      </c>
      <c r="M1299" s="11">
        <f>ABS(L1299/$U$6)</f>
        <v>9.023547793925854E-2</v>
      </c>
      <c r="N1299" s="12">
        <f>L1299*SIN(RADIANS(K1299))</f>
        <v>0</v>
      </c>
      <c r="O1299" s="12">
        <f>L1299*COS(RADIANS(K1299))</f>
        <v>-30.95076893316568</v>
      </c>
      <c r="P1299" s="5">
        <v>2.2413479688602904</v>
      </c>
      <c r="Q1299" s="5">
        <v>8.7207832407469085E-2</v>
      </c>
      <c r="R1299" s="6">
        <f>P1299/Q1299</f>
        <v>25.701223238617334</v>
      </c>
    </row>
    <row r="1300" spans="1:18" x14ac:dyDescent="0.35">
      <c r="A1300" s="9">
        <v>1300</v>
      </c>
      <c r="B1300" s="5">
        <v>1</v>
      </c>
      <c r="C1300" s="5">
        <v>2000000</v>
      </c>
      <c r="D1300" s="5">
        <v>10</v>
      </c>
      <c r="E1300" s="5">
        <v>0.375</v>
      </c>
      <c r="F1300" s="5">
        <v>2.5000000000000001E-2</v>
      </c>
      <c r="G1300" s="12">
        <f>(C1300*$U$4)/($U$5*$U$3)</f>
        <v>29.387755102040813</v>
      </c>
      <c r="H1300" s="11">
        <f>G1300*COS(RADIANS(D1300))</f>
        <v>28.941289068113864</v>
      </c>
      <c r="I1300" s="11">
        <f>G1300*SIN(RADIANS(D1300))</f>
        <v>5.1031301191914213</v>
      </c>
      <c r="J1300" s="12">
        <v>0.33379999999999999</v>
      </c>
      <c r="K1300" s="11">
        <v>49</v>
      </c>
      <c r="L1300" s="12">
        <f>-(F1300*G1300*$U$3)/J1300</f>
        <v>-2.2010002323278024</v>
      </c>
      <c r="M1300" s="11">
        <f>ABS(L1300/$U$6)</f>
        <v>6.4169102983317851E-3</v>
      </c>
      <c r="N1300" s="12">
        <f>L1300*SIN(RADIANS(K1300))</f>
        <v>-1.6611159614103395</v>
      </c>
      <c r="O1300" s="12">
        <f>L1300*COS(RADIANS(K1300))</f>
        <v>-1.4439860752288589</v>
      </c>
      <c r="P1300" s="5">
        <v>5.0549831654933239</v>
      </c>
      <c r="Q1300" s="5">
        <v>0.11935330619591357</v>
      </c>
      <c r="R1300" s="6">
        <f>P1300/Q1300</f>
        <v>42.353105469870904</v>
      </c>
    </row>
    <row r="1301" spans="1:18" x14ac:dyDescent="0.35">
      <c r="A1301" s="9">
        <v>1301</v>
      </c>
      <c r="B1301" s="5">
        <v>0.5</v>
      </c>
      <c r="C1301" s="5">
        <v>2000000</v>
      </c>
      <c r="D1301" s="5">
        <v>15</v>
      </c>
      <c r="E1301" s="5">
        <v>0</v>
      </c>
      <c r="F1301" s="5">
        <v>3.5000000000000003E-2</v>
      </c>
      <c r="G1301" s="12">
        <f>(C1301*$U$4)/($U$5*$U$3)</f>
        <v>29.387755102040813</v>
      </c>
      <c r="H1301" s="11">
        <f>G1301*COS(RADIANS(D1301))</f>
        <v>28.386391629719554</v>
      </c>
      <c r="I1301" s="11">
        <f>G1301*SIN(RADIANS(D1301))</f>
        <v>7.6061107132169354</v>
      </c>
      <c r="J1301" s="12">
        <v>0.23230000000000001</v>
      </c>
      <c r="K1301" s="12">
        <v>0</v>
      </c>
      <c r="L1301" s="12">
        <f>-(F1301*G1301*$U$3)/J1301</f>
        <v>-4.4277719697435574</v>
      </c>
      <c r="M1301" s="11">
        <f>ABS(L1301/$U$6)</f>
        <v>1.2908956180010372E-2</v>
      </c>
      <c r="N1301" s="12">
        <f>L1301*SIN(RADIANS(K1301))</f>
        <v>0</v>
      </c>
      <c r="O1301" s="12">
        <f>L1301*COS(RADIANS(K1301))</f>
        <v>-4.4277719697435574</v>
      </c>
      <c r="P1301" s="5">
        <v>3.1457394670791041</v>
      </c>
      <c r="Q1301" s="5">
        <v>0.8187368451247532</v>
      </c>
      <c r="R1301" s="6">
        <f>P1301/Q1301</f>
        <v>3.8421862724399305</v>
      </c>
    </row>
    <row r="1302" spans="1:18" x14ac:dyDescent="0.35">
      <c r="A1302" s="9">
        <v>1302</v>
      </c>
      <c r="B1302" s="5">
        <v>0.75</v>
      </c>
      <c r="C1302" s="5">
        <v>4000000</v>
      </c>
      <c r="D1302" s="5">
        <v>15</v>
      </c>
      <c r="E1302" s="5">
        <v>0.375</v>
      </c>
      <c r="F1302" s="5">
        <v>3.5000000000000003E-2</v>
      </c>
      <c r="G1302" s="12">
        <f>(C1302*$U$4)/($U$5*$U$3)</f>
        <v>58.775510204081627</v>
      </c>
      <c r="H1302" s="11">
        <f>G1302*COS(RADIANS(D1302))</f>
        <v>56.772783259439109</v>
      </c>
      <c r="I1302" s="11">
        <f>G1302*SIN(RADIANS(D1302))</f>
        <v>15.212221426433871</v>
      </c>
      <c r="J1302" s="11">
        <v>0.29299999999999998</v>
      </c>
      <c r="K1302" s="12">
        <v>57</v>
      </c>
      <c r="L1302" s="12">
        <f>-(F1302*G1302*$U$3)/J1302</f>
        <v>-7.0209653827401262</v>
      </c>
      <c r="M1302" s="11">
        <f>ABS(L1302/$U$6)</f>
        <v>2.0469286830146139E-2</v>
      </c>
      <c r="N1302" s="12">
        <f>L1302*SIN(RADIANS(K1302))</f>
        <v>-5.8882770250678229</v>
      </c>
      <c r="O1302" s="12">
        <f>L1302*COS(RADIANS(K1302))</f>
        <v>-3.8238918109294926</v>
      </c>
      <c r="P1302" s="5">
        <v>4.0413361221624919</v>
      </c>
      <c r="Q1302" s="5">
        <v>0.49849482403847756</v>
      </c>
      <c r="R1302" s="6">
        <f>P1302/Q1302</f>
        <v>8.1070774003674533</v>
      </c>
    </row>
    <row r="1303" spans="1:18" x14ac:dyDescent="0.35">
      <c r="A1303" s="9">
        <v>1303</v>
      </c>
      <c r="B1303" s="5">
        <v>1</v>
      </c>
      <c r="C1303" s="5">
        <v>6000000</v>
      </c>
      <c r="D1303" s="5">
        <v>0</v>
      </c>
      <c r="E1303" s="5">
        <v>0.375</v>
      </c>
      <c r="F1303" s="5">
        <v>0.1</v>
      </c>
      <c r="G1303" s="12">
        <f>(C1303*$U$4)/($U$5*$U$3)</f>
        <v>88.16326530612244</v>
      </c>
      <c r="H1303" s="11">
        <f>G1303*COS(RADIANS(D1303))</f>
        <v>88.16326530612244</v>
      </c>
      <c r="I1303" s="11">
        <f>G1303*SIN(RADIANS(D1303))</f>
        <v>0</v>
      </c>
      <c r="J1303" s="12">
        <v>0.33379999999999999</v>
      </c>
      <c r="K1303" s="11">
        <v>49</v>
      </c>
      <c r="L1303" s="12">
        <f>-(F1303*G1303*$U$3)/J1303</f>
        <v>-26.412002787933627</v>
      </c>
      <c r="M1303" s="11">
        <f>ABS(L1303/$U$6)</f>
        <v>7.7002923579981425E-2</v>
      </c>
      <c r="N1303" s="12">
        <f>L1303*SIN(RADIANS(K1303))</f>
        <v>-19.933391536924074</v>
      </c>
      <c r="O1303" s="12">
        <f>L1303*COS(RADIANS(K1303))</f>
        <v>-17.327832902746305</v>
      </c>
      <c r="P1303" s="5">
        <v>5.9920038638535313</v>
      </c>
      <c r="Q1303" s="5">
        <v>-0.94443111581120309</v>
      </c>
      <c r="R1303" s="6">
        <f>P1303/Q1303</f>
        <v>-6.3445642181185455</v>
      </c>
    </row>
    <row r="1304" spans="1:18" x14ac:dyDescent="0.35">
      <c r="A1304" s="9">
        <v>1304</v>
      </c>
      <c r="B1304" s="5">
        <v>0.5</v>
      </c>
      <c r="C1304" s="5">
        <v>6000000</v>
      </c>
      <c r="D1304" s="5">
        <v>30</v>
      </c>
      <c r="E1304" s="5">
        <v>0.375</v>
      </c>
      <c r="F1304" s="5">
        <v>1.4999999999999999E-2</v>
      </c>
      <c r="G1304" s="12">
        <f>(C1304*$U$4)/($U$5*$U$3)</f>
        <v>88.16326530612244</v>
      </c>
      <c r="H1304" s="11">
        <f>G1304*COS(RADIANS(D1304))</f>
        <v>76.351627435689281</v>
      </c>
      <c r="I1304" s="11">
        <f>G1304*SIN(RADIANS(D1304))</f>
        <v>44.081632653061213</v>
      </c>
      <c r="J1304" s="12">
        <v>0.24809999999999999</v>
      </c>
      <c r="K1304" s="12">
        <v>67</v>
      </c>
      <c r="L1304" s="12">
        <f>-(F1304*G1304*$U$3)/J1304</f>
        <v>-5.3303062458356978</v>
      </c>
      <c r="M1304" s="11">
        <f>ABS(L1304/$U$6)</f>
        <v>1.5540251445585124E-2</v>
      </c>
      <c r="N1304" s="12">
        <f>L1304*SIN(RADIANS(K1304))</f>
        <v>-4.9065727696796166</v>
      </c>
      <c r="O1304" s="12">
        <f>L1304*COS(RADIANS(K1304))</f>
        <v>-2.0827165746288063</v>
      </c>
      <c r="P1304" s="5">
        <v>3.5389857893779224</v>
      </c>
      <c r="Q1304" s="5">
        <v>1.1364051512865523</v>
      </c>
      <c r="R1304" s="6">
        <f>P1304/Q1304</f>
        <v>3.1141937234016841</v>
      </c>
    </row>
    <row r="1305" spans="1:18" x14ac:dyDescent="0.35">
      <c r="A1305" s="9">
        <v>1305</v>
      </c>
      <c r="B1305" s="5">
        <v>0.5</v>
      </c>
      <c r="C1305" s="5">
        <v>6000000</v>
      </c>
      <c r="D1305" s="5">
        <v>5</v>
      </c>
      <c r="E1305" s="5">
        <v>0</v>
      </c>
      <c r="F1305" s="5">
        <v>1.4999999999999999E-2</v>
      </c>
      <c r="G1305" s="12">
        <f>(C1305*$U$4)/($U$5*$U$3)</f>
        <v>88.16326530612244</v>
      </c>
      <c r="H1305" s="11">
        <f>G1305*COS(RADIANS(D1305))</f>
        <v>87.827777464415107</v>
      </c>
      <c r="I1305" s="11">
        <f>G1305*SIN(RADIANS(D1305))</f>
        <v>7.6839348708139434</v>
      </c>
      <c r="J1305" s="12">
        <v>0.23230000000000001</v>
      </c>
      <c r="K1305" s="12">
        <v>0</v>
      </c>
      <c r="L1305" s="12">
        <f>-(F1305*G1305*$U$3)/J1305</f>
        <v>-5.6928496753845739</v>
      </c>
      <c r="M1305" s="11">
        <f>ABS(L1305/$U$6)</f>
        <v>1.6597229374299048E-2</v>
      </c>
      <c r="N1305" s="12">
        <f>L1305*SIN(RADIANS(K1305))</f>
        <v>0</v>
      </c>
      <c r="O1305" s="12">
        <f>L1305*COS(RADIANS(K1305))</f>
        <v>-5.6928496753845739</v>
      </c>
      <c r="P1305" s="5">
        <v>3.2116451607603187</v>
      </c>
      <c r="Q1305" s="5">
        <v>0.54171406224923946</v>
      </c>
      <c r="R1305" s="6">
        <f>P1305/Q1305</f>
        <v>5.928672309936565</v>
      </c>
    </row>
    <row r="1306" spans="1:18" x14ac:dyDescent="0.35">
      <c r="A1306" s="9">
        <v>1306</v>
      </c>
      <c r="B1306" s="5">
        <v>1</v>
      </c>
      <c r="C1306" s="5">
        <v>6000000</v>
      </c>
      <c r="D1306" s="5">
        <v>20</v>
      </c>
      <c r="E1306" s="5">
        <v>0.375</v>
      </c>
      <c r="F1306" s="5">
        <v>1.4999999999999999E-2</v>
      </c>
      <c r="G1306" s="12">
        <f>(C1306*$U$4)/($U$5*$U$3)</f>
        <v>88.16326530612244</v>
      </c>
      <c r="H1306" s="11">
        <f>G1306*COS(RADIANS(D1306))</f>
        <v>82.846369832553549</v>
      </c>
      <c r="I1306" s="11">
        <f>G1306*SIN(RADIANS(D1306))</f>
        <v>30.153612636058952</v>
      </c>
      <c r="J1306" s="12">
        <v>0.33379999999999999</v>
      </c>
      <c r="K1306" s="11">
        <v>49</v>
      </c>
      <c r="L1306" s="12">
        <f>-(F1306*G1306*$U$3)/J1306</f>
        <v>-3.9618004181900441</v>
      </c>
      <c r="M1306" s="11">
        <f>ABS(L1306/$U$6)</f>
        <v>1.1550438536997214E-2</v>
      </c>
      <c r="N1306" s="12">
        <f>L1306*SIN(RADIANS(K1306))</f>
        <v>-2.9900087305386109</v>
      </c>
      <c r="O1306" s="12">
        <f>L1306*COS(RADIANS(K1306))</f>
        <v>-2.5991749354119462</v>
      </c>
      <c r="P1306" s="5">
        <v>5.2843133718690796</v>
      </c>
      <c r="Q1306" s="5">
        <v>0.74764454178440576</v>
      </c>
      <c r="R1306" s="6">
        <f>P1306/Q1306</f>
        <v>7.0679488400423427</v>
      </c>
    </row>
    <row r="1307" spans="1:18" x14ac:dyDescent="0.35">
      <c r="A1307" s="9">
        <v>1307</v>
      </c>
      <c r="B1307" s="5">
        <v>0.75</v>
      </c>
      <c r="C1307" s="5">
        <v>2000000</v>
      </c>
      <c r="D1307" s="5">
        <v>0</v>
      </c>
      <c r="E1307" s="5">
        <v>0.25</v>
      </c>
      <c r="F1307" s="5">
        <v>1.4999999999999999E-2</v>
      </c>
      <c r="G1307" s="12">
        <f>(C1307*$U$4)/($U$5*$U$3)</f>
        <v>29.387755102040813</v>
      </c>
      <c r="H1307" s="11">
        <f>G1307*COS(RADIANS(D1307))</f>
        <v>29.387755102040813</v>
      </c>
      <c r="I1307" s="11">
        <f>G1307*SIN(RADIANS(D1307))</f>
        <v>0</v>
      </c>
      <c r="J1307" s="12">
        <v>0.28370000000000001</v>
      </c>
      <c r="K1307" s="11">
        <v>38</v>
      </c>
      <c r="L1307" s="12">
        <f>-(F1307*G1307*$U$3)/J1307</f>
        <v>-1.5538115140310615</v>
      </c>
      <c r="M1307" s="11">
        <f>ABS(L1307/$U$6)</f>
        <v>4.5300627231226282E-3</v>
      </c>
      <c r="N1307" s="12">
        <f>L1307*SIN(RADIANS(K1307))</f>
        <v>-0.95662188910635815</v>
      </c>
      <c r="O1307" s="12">
        <f>L1307*COS(RADIANS(K1307))</f>
        <v>-1.2244201821344183</v>
      </c>
      <c r="P1307" s="5">
        <v>4.6100904308041066</v>
      </c>
      <c r="Q1307" s="5">
        <v>-0.25801602162392423</v>
      </c>
      <c r="R1307" s="6">
        <f>P1307/Q1307</f>
        <v>-17.867458004308059</v>
      </c>
    </row>
    <row r="1308" spans="1:18" x14ac:dyDescent="0.35">
      <c r="A1308" s="9">
        <v>1882</v>
      </c>
      <c r="B1308" s="5">
        <v>0.25</v>
      </c>
      <c r="C1308" s="5">
        <v>4000000</v>
      </c>
      <c r="D1308" s="5">
        <v>5</v>
      </c>
      <c r="E1308" s="5">
        <v>0.375</v>
      </c>
      <c r="F1308" s="5">
        <v>0.15</v>
      </c>
      <c r="G1308" s="12">
        <f>(C1308*$U$4)/($U$5*$U$3)</f>
        <v>58.775510204081627</v>
      </c>
      <c r="H1308" s="11">
        <f>G1308*COS(RADIANS(D1308))</f>
        <v>58.551851642943404</v>
      </c>
      <c r="I1308" s="11">
        <f>G1308*SIN(RADIANS(D1308))</f>
        <v>5.1226232472092956</v>
      </c>
      <c r="J1308" s="20">
        <v>0.1976</v>
      </c>
      <c r="K1308" s="19">
        <v>78</v>
      </c>
      <c r="L1308" s="12">
        <f>-(F1308*G1308*$U$3)/J1308</f>
        <v>-44.617037098240104</v>
      </c>
      <c r="M1308" s="11">
        <f>ABS(L1308/$U$6)</f>
        <v>0.1300788253593006</v>
      </c>
      <c r="N1308" s="12">
        <f>L1308*SIN(RADIANS(K1308))</f>
        <v>-43.642047789494754</v>
      </c>
      <c r="O1308" s="12">
        <f>L1308*COS(RADIANS(K1308))</f>
        <v>-9.2764036223738007</v>
      </c>
      <c r="P1308" s="5">
        <v>2.8411190619539539</v>
      </c>
      <c r="Q1308" s="5">
        <v>0.16004464404347624</v>
      </c>
      <c r="R1308" s="6">
        <f>P1308/Q1308</f>
        <v>17.752040869184988</v>
      </c>
    </row>
    <row r="1309" spans="1:18" x14ac:dyDescent="0.35">
      <c r="A1309" s="9">
        <v>1309</v>
      </c>
      <c r="B1309" s="5">
        <v>0.75</v>
      </c>
      <c r="C1309" s="5">
        <v>2000000</v>
      </c>
      <c r="D1309" s="5">
        <v>30</v>
      </c>
      <c r="E1309" s="5">
        <v>0.25</v>
      </c>
      <c r="F1309" s="5">
        <v>0.05</v>
      </c>
      <c r="G1309" s="12">
        <f>(C1309*$U$4)/($U$5*$U$3)</f>
        <v>29.387755102040813</v>
      </c>
      <c r="H1309" s="11">
        <f>G1309*COS(RADIANS(D1309))</f>
        <v>25.450542478563094</v>
      </c>
      <c r="I1309" s="11">
        <f>G1309*SIN(RADIANS(D1309))</f>
        <v>14.693877551020405</v>
      </c>
      <c r="J1309" s="12">
        <v>0.28370000000000001</v>
      </c>
      <c r="K1309" s="11">
        <v>38</v>
      </c>
      <c r="L1309" s="12">
        <f>-(F1309*G1309*$U$3)/J1309</f>
        <v>-5.179371713436872</v>
      </c>
      <c r="M1309" s="11">
        <f>ABS(L1309/$U$6)</f>
        <v>1.5100209077075429E-2</v>
      </c>
      <c r="N1309" s="12">
        <f>L1309*SIN(RADIANS(K1309))</f>
        <v>-3.1887396303545272</v>
      </c>
      <c r="O1309" s="12">
        <f>L1309*COS(RADIANS(K1309))</f>
        <v>-4.0814006071147277</v>
      </c>
      <c r="P1309" s="5">
        <v>3.5056461709166578</v>
      </c>
      <c r="Q1309" s="5">
        <v>1.2679587765152649</v>
      </c>
      <c r="R1309" s="6">
        <f>P1309/Q1309</f>
        <v>2.7647950673532433</v>
      </c>
    </row>
    <row r="1310" spans="1:18" x14ac:dyDescent="0.35">
      <c r="A1310" s="9">
        <v>1310</v>
      </c>
      <c r="B1310" s="5">
        <v>1</v>
      </c>
      <c r="C1310" s="5">
        <v>2000000</v>
      </c>
      <c r="D1310" s="5">
        <v>20</v>
      </c>
      <c r="E1310" s="5">
        <v>0</v>
      </c>
      <c r="F1310" s="5">
        <v>1.4999999999999999E-2</v>
      </c>
      <c r="G1310" s="12">
        <f>(C1310*$U$4)/($U$5*$U$3)</f>
        <v>29.387755102040813</v>
      </c>
      <c r="H1310" s="11">
        <f>G1310*COS(RADIANS(D1310))</f>
        <v>27.615456610851183</v>
      </c>
      <c r="I1310" s="11">
        <f>G1310*SIN(RADIANS(D1310))</f>
        <v>10.051204212019652</v>
      </c>
      <c r="J1310" s="11">
        <v>0.33379999999999999</v>
      </c>
      <c r="K1310" s="12">
        <v>0</v>
      </c>
      <c r="L1310" s="12">
        <f>-(F1310*G1310*$U$3)/J1310</f>
        <v>-1.3206001393966813</v>
      </c>
      <c r="M1310" s="11">
        <f>ABS(L1310/$U$6)</f>
        <v>3.8501461789990708E-3</v>
      </c>
      <c r="N1310" s="12">
        <f>L1310*SIN(RADIANS(K1310))</f>
        <v>0</v>
      </c>
      <c r="O1310" s="12">
        <f>L1310*COS(RADIANS(K1310))</f>
        <v>-1.3206001393966813</v>
      </c>
      <c r="P1310" s="5">
        <v>0.4207484638241723</v>
      </c>
      <c r="Q1310" s="5">
        <v>2.1353529312943333</v>
      </c>
      <c r="R1310" s="6">
        <f>P1310/Q1310</f>
        <v>0.19703930795605659</v>
      </c>
    </row>
    <row r="1311" spans="1:18" x14ac:dyDescent="0.35">
      <c r="A1311" s="9">
        <v>1311</v>
      </c>
      <c r="B1311" s="5">
        <v>0.1</v>
      </c>
      <c r="C1311" s="5">
        <v>4000000</v>
      </c>
      <c r="D1311" s="5">
        <v>15</v>
      </c>
      <c r="E1311" s="5">
        <v>0.25</v>
      </c>
      <c r="F1311" s="5">
        <v>0</v>
      </c>
      <c r="G1311" s="12">
        <f>(C1311*$U$4)/($U$5*$U$3)</f>
        <v>58.775510204081627</v>
      </c>
      <c r="H1311" s="11">
        <f>G1311*COS(RADIANS(D1311))</f>
        <v>56.772783259439109</v>
      </c>
      <c r="I1311" s="11">
        <f>G1311*SIN(RADIANS(D1311))</f>
        <v>15.212221426433871</v>
      </c>
      <c r="J1311" s="11">
        <v>0.1661</v>
      </c>
      <c r="K1311" s="12">
        <v>80</v>
      </c>
      <c r="L1311" s="12">
        <f>-(F1311*G1311*$U$3)/J1311</f>
        <v>0</v>
      </c>
      <c r="M1311" s="11">
        <f>ABS(L1311/$U$6)</f>
        <v>0</v>
      </c>
      <c r="N1311" s="12">
        <f>L1311*SIN(RADIANS(K1311))</f>
        <v>0</v>
      </c>
      <c r="O1311" s="12">
        <f>L1311*COS(RADIANS(K1311))</f>
        <v>0</v>
      </c>
      <c r="P1311" s="5">
        <v>1.5395675094229444</v>
      </c>
      <c r="Q1311" s="5">
        <v>0.65926750100603471</v>
      </c>
      <c r="R1311" s="6">
        <f>P1311/Q1311</f>
        <v>2.3352698367105642</v>
      </c>
    </row>
    <row r="1312" spans="1:18" x14ac:dyDescent="0.35">
      <c r="A1312" s="9">
        <v>1312</v>
      </c>
      <c r="B1312" s="5">
        <v>0.1</v>
      </c>
      <c r="C1312" s="5">
        <v>6000000</v>
      </c>
      <c r="D1312" s="5">
        <v>0</v>
      </c>
      <c r="E1312" s="5">
        <v>0.25</v>
      </c>
      <c r="F1312" s="5">
        <v>3.5000000000000003E-2</v>
      </c>
      <c r="G1312" s="12">
        <f>(C1312*$U$4)/($U$5*$U$3)</f>
        <v>88.16326530612244</v>
      </c>
      <c r="H1312" s="11">
        <f>G1312*COS(RADIANS(D1312))</f>
        <v>88.16326530612244</v>
      </c>
      <c r="I1312" s="11">
        <f>G1312*SIN(RADIANS(D1312))</f>
        <v>0</v>
      </c>
      <c r="J1312" s="11">
        <v>0.1661</v>
      </c>
      <c r="K1312" s="12">
        <v>80</v>
      </c>
      <c r="L1312" s="12">
        <f>-(F1312*G1312*$U$3)/J1312</f>
        <v>-18.577449041025201</v>
      </c>
      <c r="M1312" s="11">
        <f>ABS(L1312/$U$6)</f>
        <v>5.416165901173528E-2</v>
      </c>
      <c r="N1312" s="12">
        <f>L1312*SIN(RADIANS(K1312))</f>
        <v>-18.295215846790825</v>
      </c>
      <c r="O1312" s="12">
        <f>L1312*COS(RADIANS(K1312))</f>
        <v>-3.2259401716742899</v>
      </c>
      <c r="P1312" s="5">
        <v>1.4063053287449307</v>
      </c>
      <c r="Q1312" s="5">
        <v>0.2267756435540548</v>
      </c>
      <c r="R1312" s="6">
        <f>P1312/Q1312</f>
        <v>6.2013067484018425</v>
      </c>
    </row>
    <row r="1313" spans="1:18" x14ac:dyDescent="0.35">
      <c r="A1313" s="9">
        <v>1313</v>
      </c>
      <c r="B1313" s="5">
        <v>0.75</v>
      </c>
      <c r="C1313" s="5">
        <v>2000000</v>
      </c>
      <c r="D1313" s="5">
        <v>30</v>
      </c>
      <c r="E1313" s="5">
        <v>0.375</v>
      </c>
      <c r="F1313" s="5">
        <v>0.1</v>
      </c>
      <c r="G1313" s="12">
        <f>(C1313*$U$4)/($U$5*$U$3)</f>
        <v>29.387755102040813</v>
      </c>
      <c r="H1313" s="11">
        <f>G1313*COS(RADIANS(D1313))</f>
        <v>25.450542478563094</v>
      </c>
      <c r="I1313" s="11">
        <f>G1313*SIN(RADIANS(D1313))</f>
        <v>14.693877551020405</v>
      </c>
      <c r="J1313" s="11">
        <v>0.29299999999999998</v>
      </c>
      <c r="K1313" s="12">
        <v>57</v>
      </c>
      <c r="L1313" s="12">
        <f>-(F1313*G1313*$U$3)/J1313</f>
        <v>-10.029950546771609</v>
      </c>
      <c r="M1313" s="11">
        <f>ABS(L1313/$U$6)</f>
        <v>2.92418383287802E-2</v>
      </c>
      <c r="N1313" s="12">
        <f>L1313*SIN(RADIANS(K1313))</f>
        <v>-8.4118243215254616</v>
      </c>
      <c r="O1313" s="12">
        <f>L1313*COS(RADIANS(K1313))</f>
        <v>-5.4627025870421324</v>
      </c>
      <c r="P1313" s="5">
        <v>5.7798072359287422</v>
      </c>
      <c r="Q1313" s="5">
        <v>1.3992659519378732</v>
      </c>
      <c r="R1313" s="6">
        <f>P1313/Q1313</f>
        <v>4.1305994960601762</v>
      </c>
    </row>
    <row r="1314" spans="1:18" x14ac:dyDescent="0.35">
      <c r="A1314" s="9">
        <v>1314</v>
      </c>
      <c r="B1314" s="5">
        <v>0.25</v>
      </c>
      <c r="C1314" s="5">
        <v>4000000</v>
      </c>
      <c r="D1314" s="5">
        <v>10</v>
      </c>
      <c r="E1314" s="5">
        <v>0.375</v>
      </c>
      <c r="F1314" s="5">
        <v>3.5000000000000003E-2</v>
      </c>
      <c r="G1314" s="12">
        <f>(C1314*$U$4)/($U$5*$U$3)</f>
        <v>58.775510204081627</v>
      </c>
      <c r="H1314" s="11">
        <f>G1314*COS(RADIANS(D1314))</f>
        <v>57.882578136227728</v>
      </c>
      <c r="I1314" s="11">
        <f>G1314*SIN(RADIANS(D1314))</f>
        <v>10.206260238382843</v>
      </c>
      <c r="J1314" s="11">
        <v>0.1976</v>
      </c>
      <c r="K1314" s="12">
        <v>78</v>
      </c>
      <c r="L1314" s="12">
        <f>-(F1314*G1314*$U$3)/J1314</f>
        <v>-10.410641989589356</v>
      </c>
      <c r="M1314" s="11">
        <f>ABS(L1314/$U$6)</f>
        <v>3.0351725917170135E-2</v>
      </c>
      <c r="N1314" s="12">
        <f>L1314*SIN(RADIANS(K1314))</f>
        <v>-10.183144484215441</v>
      </c>
      <c r="O1314" s="12">
        <f>L1314*COS(RADIANS(K1314))</f>
        <v>-2.1644941785538863</v>
      </c>
      <c r="P1314" s="5">
        <v>2.2438600727724727</v>
      </c>
      <c r="Q1314" s="5">
        <v>0.30916651870867362</v>
      </c>
      <c r="R1314" s="6">
        <f>P1314/Q1314</f>
        <v>7.2577719028070211</v>
      </c>
    </row>
    <row r="1315" spans="1:18" x14ac:dyDescent="0.35">
      <c r="A1315" s="9">
        <v>1315</v>
      </c>
      <c r="B1315" s="5">
        <v>0.25</v>
      </c>
      <c r="C1315" s="5">
        <v>4000000</v>
      </c>
      <c r="D1315" s="5">
        <v>15</v>
      </c>
      <c r="E1315" s="5">
        <v>0.125</v>
      </c>
      <c r="F1315" s="5">
        <v>3.5000000000000003E-2</v>
      </c>
      <c r="G1315" s="12">
        <f>(C1315*$U$4)/($U$5*$U$3)</f>
        <v>58.775510204081627</v>
      </c>
      <c r="H1315" s="11">
        <f>G1315*COS(RADIANS(D1315))</f>
        <v>56.772783259439109</v>
      </c>
      <c r="I1315" s="11">
        <f>G1315*SIN(RADIANS(D1315))</f>
        <v>15.212221426433871</v>
      </c>
      <c r="J1315" s="11">
        <v>0.19020000000000001</v>
      </c>
      <c r="K1315" s="12">
        <v>46</v>
      </c>
      <c r="L1315" s="12">
        <f>-(F1315*G1315*$U$3)/J1315</f>
        <v>-10.81568273997296</v>
      </c>
      <c r="M1315" s="11">
        <f>ABS(L1315/$U$6)</f>
        <v>3.1532602740445947E-2</v>
      </c>
      <c r="N1315" s="12">
        <f>L1315*SIN(RADIANS(K1315))</f>
        <v>-7.7801510626983434</v>
      </c>
      <c r="O1315" s="12">
        <f>L1315*COS(RADIANS(K1315))</f>
        <v>-7.5132045475511191</v>
      </c>
      <c r="P1315" s="5">
        <v>2.1877466980061295</v>
      </c>
      <c r="Q1315" s="5">
        <v>0.56556562639024144</v>
      </c>
      <c r="R1315" s="6">
        <f>P1315/Q1315</f>
        <v>3.8682455155019975</v>
      </c>
    </row>
    <row r="1316" spans="1:18" x14ac:dyDescent="0.35">
      <c r="A1316" s="9">
        <v>1316</v>
      </c>
      <c r="B1316" s="5">
        <v>0.25</v>
      </c>
      <c r="C1316" s="5">
        <v>2000000</v>
      </c>
      <c r="D1316" s="5">
        <v>0</v>
      </c>
      <c r="E1316" s="5">
        <v>0.125</v>
      </c>
      <c r="F1316" s="5">
        <v>3.5000000000000003E-2</v>
      </c>
      <c r="G1316" s="12">
        <f>(C1316*$U$4)/($U$5*$U$3)</f>
        <v>29.387755102040813</v>
      </c>
      <c r="H1316" s="11">
        <f>G1316*COS(RADIANS(D1316))</f>
        <v>29.387755102040813</v>
      </c>
      <c r="I1316" s="11">
        <f>G1316*SIN(RADIANS(D1316))</f>
        <v>0</v>
      </c>
      <c r="J1316" s="11">
        <v>0.19020000000000001</v>
      </c>
      <c r="K1316" s="12">
        <v>46</v>
      </c>
      <c r="L1316" s="12">
        <f>-(F1316*G1316*$U$3)/J1316</f>
        <v>-5.40784136998648</v>
      </c>
      <c r="M1316" s="11">
        <f>ABS(L1316/$U$6)</f>
        <v>1.5766301370222974E-2</v>
      </c>
      <c r="N1316" s="12">
        <f>L1316*SIN(RADIANS(K1316))</f>
        <v>-3.8900755313491717</v>
      </c>
      <c r="O1316" s="12">
        <f>L1316*COS(RADIANS(K1316))</f>
        <v>-3.7566022737755596</v>
      </c>
      <c r="P1316" s="5">
        <v>2.0437579636469598</v>
      </c>
      <c r="Q1316" s="5">
        <v>0.19720303531215155</v>
      </c>
      <c r="R1316" s="6">
        <f>P1316/Q1316</f>
        <v>10.363724678029966</v>
      </c>
    </row>
    <row r="1317" spans="1:18" x14ac:dyDescent="0.35">
      <c r="A1317" s="9">
        <v>1317</v>
      </c>
      <c r="B1317" s="5">
        <v>0.5</v>
      </c>
      <c r="C1317" s="5">
        <v>6000000</v>
      </c>
      <c r="D1317" s="5">
        <v>0</v>
      </c>
      <c r="E1317" s="5">
        <v>0</v>
      </c>
      <c r="F1317" s="5">
        <v>7.4999999999999997E-2</v>
      </c>
      <c r="G1317" s="12">
        <f>(C1317*$U$4)/($U$5*$U$3)</f>
        <v>88.16326530612244</v>
      </c>
      <c r="H1317" s="11">
        <f>G1317*COS(RADIANS(D1317))</f>
        <v>88.16326530612244</v>
      </c>
      <c r="I1317" s="11">
        <f>G1317*SIN(RADIANS(D1317))</f>
        <v>0</v>
      </c>
      <c r="J1317" s="12">
        <v>0.23230000000000001</v>
      </c>
      <c r="K1317" s="12">
        <v>0</v>
      </c>
      <c r="L1317" s="12">
        <f>-(F1317*G1317*$U$3)/J1317</f>
        <v>-28.464248376922871</v>
      </c>
      <c r="M1317" s="11">
        <f>ABS(L1317/$U$6)</f>
        <v>8.2986146871495248E-2</v>
      </c>
      <c r="N1317" s="12">
        <f>L1317*SIN(RADIANS(K1317))</f>
        <v>0</v>
      </c>
      <c r="O1317" s="12">
        <f>L1317*COS(RADIANS(K1317))</f>
        <v>-28.464248376922871</v>
      </c>
      <c r="P1317" s="5">
        <v>4.8394676994844517</v>
      </c>
      <c r="Q1317" s="5">
        <v>9.4108210377505691E-2</v>
      </c>
      <c r="R1317" s="6">
        <f>P1317/Q1317</f>
        <v>51.424500371130321</v>
      </c>
    </row>
    <row r="1318" spans="1:18" x14ac:dyDescent="0.35">
      <c r="A1318" s="9">
        <v>1318</v>
      </c>
      <c r="B1318" s="5">
        <v>0.1</v>
      </c>
      <c r="C1318" s="5">
        <v>2000000</v>
      </c>
      <c r="D1318" s="5">
        <v>20</v>
      </c>
      <c r="E1318" s="5">
        <v>0</v>
      </c>
      <c r="F1318" s="5">
        <v>0.15</v>
      </c>
      <c r="G1318" s="12">
        <f>(C1318*$U$4)/($U$5*$U$3)</f>
        <v>29.387755102040813</v>
      </c>
      <c r="H1318" s="11">
        <f>G1318*COS(RADIANS(D1318))</f>
        <v>27.615456610851183</v>
      </c>
      <c r="I1318" s="11">
        <f>G1318*SIN(RADIANS(D1318))</f>
        <v>10.051204212019652</v>
      </c>
      <c r="J1318" s="11">
        <v>0.16569999999999999</v>
      </c>
      <c r="K1318" s="12">
        <v>0</v>
      </c>
      <c r="L1318" s="12">
        <f>-(F1318*G1318*$U$3)/J1318</f>
        <v>-26.603278607761752</v>
      </c>
      <c r="M1318" s="11">
        <f>ABS(L1318/$U$6)</f>
        <v>7.7560579031375365E-2</v>
      </c>
      <c r="N1318" s="12">
        <f>L1318*SIN(RADIANS(K1318))</f>
        <v>0</v>
      </c>
      <c r="O1318" s="12">
        <f>L1318*COS(RADIANS(K1318))</f>
        <v>-26.603278607761752</v>
      </c>
      <c r="P1318" s="5">
        <v>1.9024873194040068</v>
      </c>
      <c r="Q1318" s="5">
        <v>0.71382350203421552</v>
      </c>
      <c r="R1318" s="6">
        <f>P1318/Q1318</f>
        <v>2.6652068949570888</v>
      </c>
    </row>
    <row r="1319" spans="1:18" x14ac:dyDescent="0.35">
      <c r="A1319" s="9">
        <v>1319</v>
      </c>
      <c r="B1319" s="5">
        <v>1</v>
      </c>
      <c r="C1319" s="5">
        <v>6000000</v>
      </c>
      <c r="D1319" s="5">
        <v>0</v>
      </c>
      <c r="E1319" s="5">
        <v>0.125</v>
      </c>
      <c r="F1319" s="5">
        <v>7.4999999999999997E-2</v>
      </c>
      <c r="G1319" s="12">
        <f>(C1319*$U$4)/($U$5*$U$3)</f>
        <v>88.16326530612244</v>
      </c>
      <c r="H1319" s="11">
        <f>G1319*COS(RADIANS(D1319))</f>
        <v>88.16326530612244</v>
      </c>
      <c r="I1319" s="11">
        <f>G1319*SIN(RADIANS(D1319))</f>
        <v>0</v>
      </c>
      <c r="J1319" s="11">
        <v>0.33379999999999999</v>
      </c>
      <c r="K1319" s="12">
        <v>14</v>
      </c>
      <c r="L1319" s="12">
        <f>-(F1319*G1319*$U$3)/J1319</f>
        <v>-19.809002090950219</v>
      </c>
      <c r="M1319" s="11">
        <f>ABS(L1319/$U$6)</f>
        <v>5.7752192684986062E-2</v>
      </c>
      <c r="N1319" s="12">
        <f>L1319*SIN(RADIANS(K1319))</f>
        <v>-4.7922313357804587</v>
      </c>
      <c r="O1319" s="12">
        <f>L1319*COS(RADIANS(K1319))</f>
        <v>-19.220590070641276</v>
      </c>
      <c r="P1319" s="5">
        <v>2.9879856894345855</v>
      </c>
      <c r="Q1319" s="5">
        <v>0.59220996036705531</v>
      </c>
      <c r="R1319" s="6">
        <f>P1319/Q1319</f>
        <v>5.0454836787659127</v>
      </c>
    </row>
    <row r="1320" spans="1:18" x14ac:dyDescent="0.35">
      <c r="A1320" s="9">
        <v>1973</v>
      </c>
      <c r="B1320" s="5">
        <v>0.25</v>
      </c>
      <c r="C1320" s="5">
        <v>6000000</v>
      </c>
      <c r="D1320" s="5">
        <v>30</v>
      </c>
      <c r="E1320" s="5">
        <v>0.375</v>
      </c>
      <c r="F1320" s="5">
        <v>0.1</v>
      </c>
      <c r="G1320" s="12">
        <f>(C1320*$U$4)/($U$5*$U$3)</f>
        <v>88.16326530612244</v>
      </c>
      <c r="H1320" s="11">
        <f>G1320*COS(RADIANS(D1320))</f>
        <v>76.351627435689281</v>
      </c>
      <c r="I1320" s="11">
        <f>G1320*SIN(RADIANS(D1320))</f>
        <v>44.081632653061213</v>
      </c>
      <c r="J1320" s="20">
        <v>0.1976</v>
      </c>
      <c r="K1320" s="19">
        <v>78</v>
      </c>
      <c r="L1320" s="12">
        <f>-(F1320*G1320*$U$3)/J1320</f>
        <v>-44.617037098240104</v>
      </c>
      <c r="M1320" s="11">
        <f>ABS(L1320/$U$6)</f>
        <v>0.1300788253593006</v>
      </c>
      <c r="N1320" s="12">
        <f>L1320*SIN(RADIANS(K1320))</f>
        <v>-43.642047789494754</v>
      </c>
      <c r="O1320" s="12">
        <f>L1320*COS(RADIANS(K1320))</f>
        <v>-9.2764036223738007</v>
      </c>
      <c r="P1320" s="5">
        <v>2.9518463321915864</v>
      </c>
      <c r="Q1320" s="5">
        <v>0.99236265251553291</v>
      </c>
      <c r="R1320" s="6">
        <f>P1320/Q1320</f>
        <v>2.9745641119292152</v>
      </c>
    </row>
    <row r="1321" spans="1:18" x14ac:dyDescent="0.35">
      <c r="A1321" s="9">
        <v>1321</v>
      </c>
      <c r="B1321" s="5">
        <v>0.75</v>
      </c>
      <c r="C1321" s="5">
        <v>2000000</v>
      </c>
      <c r="D1321" s="5">
        <v>10</v>
      </c>
      <c r="E1321" s="5">
        <v>0</v>
      </c>
      <c r="F1321" s="5">
        <v>0.1</v>
      </c>
      <c r="G1321" s="12">
        <f>(C1321*$U$4)/($U$5*$U$3)</f>
        <v>29.387755102040813</v>
      </c>
      <c r="H1321" s="11">
        <f>G1321*COS(RADIANS(D1321))</f>
        <v>28.941289068113864</v>
      </c>
      <c r="I1321" s="11">
        <f>G1321*SIN(RADIANS(D1321))</f>
        <v>5.1031301191914213</v>
      </c>
      <c r="J1321" s="11">
        <v>0.27929999999999999</v>
      </c>
      <c r="K1321" s="12">
        <v>0</v>
      </c>
      <c r="L1321" s="12">
        <f>-(F1321*G1321*$U$3)/J1321</f>
        <v>-10.521931651285648</v>
      </c>
      <c r="M1321" s="11">
        <f>ABS(L1321/$U$6)</f>
        <v>3.0676185572261365E-2</v>
      </c>
      <c r="N1321" s="12">
        <f>L1321*SIN(RADIANS(K1321))</f>
        <v>0</v>
      </c>
      <c r="O1321" s="12">
        <f>L1321*COS(RADIANS(K1321))</f>
        <v>-10.521931651285648</v>
      </c>
      <c r="P1321" s="5">
        <v>5.0478267761611599</v>
      </c>
      <c r="Q1321" s="5">
        <v>0.60324170508391683</v>
      </c>
      <c r="R1321" s="6">
        <f>P1321/Q1321</f>
        <v>8.3678345406489392</v>
      </c>
    </row>
    <row r="1322" spans="1:18" x14ac:dyDescent="0.35">
      <c r="A1322" s="9">
        <v>1322</v>
      </c>
      <c r="B1322" s="5">
        <v>0.75</v>
      </c>
      <c r="C1322" s="5">
        <v>4000000</v>
      </c>
      <c r="D1322" s="5">
        <v>15</v>
      </c>
      <c r="E1322" s="5">
        <v>0.375</v>
      </c>
      <c r="F1322" s="5">
        <v>0.15</v>
      </c>
      <c r="G1322" s="12">
        <f>(C1322*$U$4)/($U$5*$U$3)</f>
        <v>58.775510204081627</v>
      </c>
      <c r="H1322" s="11">
        <f>G1322*COS(RADIANS(D1322))</f>
        <v>56.772783259439109</v>
      </c>
      <c r="I1322" s="11">
        <f>G1322*SIN(RADIANS(D1322))</f>
        <v>15.212221426433871</v>
      </c>
      <c r="J1322" s="11">
        <v>0.29299999999999998</v>
      </c>
      <c r="K1322" s="12">
        <v>57</v>
      </c>
      <c r="L1322" s="12">
        <f>-(F1322*G1322*$U$3)/J1322</f>
        <v>-30.089851640314826</v>
      </c>
      <c r="M1322" s="11">
        <f>ABS(L1322/$U$6)</f>
        <v>8.7725514986340597E-2</v>
      </c>
      <c r="N1322" s="12">
        <f>L1322*SIN(RADIANS(K1322))</f>
        <v>-25.235472964576385</v>
      </c>
      <c r="O1322" s="12">
        <f>L1322*COS(RADIANS(K1322))</f>
        <v>-16.388107761126395</v>
      </c>
      <c r="P1322" s="5">
        <v>6.2559684177563906</v>
      </c>
      <c r="Q1322" s="5">
        <v>0.21939898059544927</v>
      </c>
      <c r="R1322" s="6">
        <f>P1322/Q1322</f>
        <v>28.514117981668281</v>
      </c>
    </row>
    <row r="1323" spans="1:18" x14ac:dyDescent="0.35">
      <c r="A1323" s="9">
        <v>1323</v>
      </c>
      <c r="B1323" s="5">
        <v>0.5</v>
      </c>
      <c r="C1323" s="5">
        <v>6000000</v>
      </c>
      <c r="D1323" s="5">
        <v>5</v>
      </c>
      <c r="E1323" s="5">
        <v>0.125</v>
      </c>
      <c r="F1323" s="5">
        <v>2.5000000000000001E-2</v>
      </c>
      <c r="G1323" s="12">
        <f>(C1323*$U$4)/($U$5*$U$3)</f>
        <v>88.16326530612244</v>
      </c>
      <c r="H1323" s="11">
        <f>G1323*COS(RADIANS(D1323))</f>
        <v>87.827777464415107</v>
      </c>
      <c r="I1323" s="11">
        <f>G1323*SIN(RADIANS(D1323))</f>
        <v>7.6839348708139434</v>
      </c>
      <c r="J1323" s="12">
        <v>0.23300000000000001</v>
      </c>
      <c r="K1323" s="11">
        <v>27</v>
      </c>
      <c r="L1323" s="12">
        <f>-(F1323*G1323*$U$3)/J1323</f>
        <v>-9.4595778225453255</v>
      </c>
      <c r="M1323" s="11">
        <f>ABS(L1323/$U$6)</f>
        <v>2.7578944089053429E-2</v>
      </c>
      <c r="N1323" s="12">
        <f>L1323*SIN(RADIANS(K1323))</f>
        <v>-4.2945584629824856</v>
      </c>
      <c r="O1323" s="12">
        <f>L1323*COS(RADIANS(K1323))</f>
        <v>-8.4285455559554805</v>
      </c>
      <c r="P1323" s="5">
        <v>3.723371161851595</v>
      </c>
      <c r="Q1323" s="5">
        <v>0.36472284581654041</v>
      </c>
      <c r="R1323" s="6">
        <f>P1323/Q1323</f>
        <v>10.208768670675736</v>
      </c>
    </row>
    <row r="1324" spans="1:18" x14ac:dyDescent="0.35">
      <c r="A1324" s="9">
        <v>1324</v>
      </c>
      <c r="B1324" s="5">
        <v>0.1</v>
      </c>
      <c r="C1324" s="5">
        <v>2000000</v>
      </c>
      <c r="D1324" s="5">
        <v>15</v>
      </c>
      <c r="E1324" s="5">
        <v>0.375</v>
      </c>
      <c r="F1324" s="5">
        <v>0.15</v>
      </c>
      <c r="G1324" s="12">
        <f>(C1324*$U$4)/($U$5*$U$3)</f>
        <v>29.387755102040813</v>
      </c>
      <c r="H1324" s="11">
        <f>G1324*COS(RADIANS(D1324))</f>
        <v>28.386391629719554</v>
      </c>
      <c r="I1324" s="11">
        <f>G1324*SIN(RADIANS(D1324))</f>
        <v>7.6061107132169354</v>
      </c>
      <c r="J1324" s="12">
        <v>0.16789999999999999</v>
      </c>
      <c r="K1324" s="11">
        <v>85</v>
      </c>
      <c r="L1324" s="12">
        <f>-(F1324*G1324*$U$3)/J1324</f>
        <v>-26.254694849947125</v>
      </c>
      <c r="M1324" s="11">
        <f>ABS(L1324/$U$6)</f>
        <v>7.6544299854073253E-2</v>
      </c>
      <c r="N1324" s="12">
        <f>L1324*SIN(RADIANS(K1324))</f>
        <v>-26.154787809533982</v>
      </c>
      <c r="O1324" s="12">
        <f>L1324*COS(RADIANS(K1324))</f>
        <v>-2.2882474302602565</v>
      </c>
      <c r="P1324" s="5">
        <v>2.2681010948883809</v>
      </c>
      <c r="Q1324" s="5">
        <v>0.73768122992078045</v>
      </c>
      <c r="R1324" s="6">
        <f>P1324/Q1324</f>
        <v>3.0746357679887724</v>
      </c>
    </row>
    <row r="1325" spans="1:18" x14ac:dyDescent="0.35">
      <c r="A1325" s="9">
        <v>1326</v>
      </c>
      <c r="B1325" s="5">
        <v>0.75</v>
      </c>
      <c r="C1325" s="5">
        <v>6000000</v>
      </c>
      <c r="D1325" s="5">
        <v>0</v>
      </c>
      <c r="E1325" s="5">
        <v>0.25</v>
      </c>
      <c r="F1325" s="5">
        <v>1.4999999999999999E-2</v>
      </c>
      <c r="G1325" s="12">
        <f>(C1325*$U$4)/($U$5*$U$3)</f>
        <v>88.16326530612244</v>
      </c>
      <c r="H1325" s="11">
        <f>G1325*COS(RADIANS(D1325))</f>
        <v>88.16326530612244</v>
      </c>
      <c r="I1325" s="11">
        <f>G1325*SIN(RADIANS(D1325))</f>
        <v>0</v>
      </c>
      <c r="J1325" s="12">
        <v>0.28370000000000001</v>
      </c>
      <c r="K1325" s="11">
        <v>38</v>
      </c>
      <c r="L1325" s="12">
        <f>-(F1325*G1325*$U$3)/J1325</f>
        <v>-4.6614345420931853</v>
      </c>
      <c r="M1325" s="11">
        <f>ABS(L1325/$U$6)</f>
        <v>1.3590188169367887E-2</v>
      </c>
      <c r="N1325" s="12">
        <f>L1325*SIN(RADIANS(K1325))</f>
        <v>-2.869865667319075</v>
      </c>
      <c r="O1325" s="12">
        <f>L1325*COS(RADIANS(K1325))</f>
        <v>-3.6732605464032555</v>
      </c>
      <c r="P1325" s="5">
        <v>4.800195502468549</v>
      </c>
      <c r="Q1325" s="5">
        <v>-0.30801099045403696</v>
      </c>
      <c r="R1325" s="6">
        <f>P1325/Q1325</f>
        <v>-15.584494226626825</v>
      </c>
    </row>
    <row r="1326" spans="1:18" x14ac:dyDescent="0.35">
      <c r="A1326" s="9">
        <v>1327</v>
      </c>
      <c r="B1326" s="5">
        <v>0.25</v>
      </c>
      <c r="C1326" s="5">
        <v>2000000</v>
      </c>
      <c r="D1326" s="5">
        <v>10</v>
      </c>
      <c r="E1326" s="5">
        <v>0.375</v>
      </c>
      <c r="F1326" s="5">
        <v>0.05</v>
      </c>
      <c r="G1326" s="12">
        <f>(C1326*$U$4)/($U$5*$U$3)</f>
        <v>29.387755102040813</v>
      </c>
      <c r="H1326" s="11">
        <f>G1326*COS(RADIANS(D1326))</f>
        <v>28.941289068113864</v>
      </c>
      <c r="I1326" s="11">
        <f>G1326*SIN(RADIANS(D1326))</f>
        <v>5.1031301191914213</v>
      </c>
      <c r="J1326" s="11">
        <v>0.1976</v>
      </c>
      <c r="K1326" s="12">
        <v>78</v>
      </c>
      <c r="L1326" s="12">
        <f>-(F1326*G1326*$U$3)/J1326</f>
        <v>-7.4361728497066837</v>
      </c>
      <c r="M1326" s="11">
        <f>ABS(L1326/$U$6)</f>
        <v>2.1679804226550099E-2</v>
      </c>
      <c r="N1326" s="12">
        <f>L1326*SIN(RADIANS(K1326))</f>
        <v>-7.2736746315824581</v>
      </c>
      <c r="O1326" s="12">
        <f>L1326*COS(RADIANS(K1326))</f>
        <v>-1.5460672703956333</v>
      </c>
      <c r="P1326" s="5">
        <v>2.4667506768734184</v>
      </c>
      <c r="Q1326" s="5">
        <v>0.37780441941827514</v>
      </c>
      <c r="R1326" s="6">
        <f>P1326/Q1326</f>
        <v>6.529173694345876</v>
      </c>
    </row>
    <row r="1327" spans="1:18" x14ac:dyDescent="0.35">
      <c r="A1327" s="9">
        <v>1328</v>
      </c>
      <c r="B1327" s="5">
        <v>1</v>
      </c>
      <c r="C1327" s="5">
        <v>6000000</v>
      </c>
      <c r="D1327" s="5">
        <v>10</v>
      </c>
      <c r="E1327" s="5">
        <v>0</v>
      </c>
      <c r="F1327" s="5">
        <v>1.4999999999999999E-2</v>
      </c>
      <c r="G1327" s="12">
        <f>(C1327*$U$4)/($U$5*$U$3)</f>
        <v>88.16326530612244</v>
      </c>
      <c r="H1327" s="11">
        <f>G1327*COS(RADIANS(D1327))</f>
        <v>86.823867204341596</v>
      </c>
      <c r="I1327" s="11">
        <f>G1327*SIN(RADIANS(D1327))</f>
        <v>15.309390357574264</v>
      </c>
      <c r="J1327" s="11">
        <v>0.33379999999999999</v>
      </c>
      <c r="K1327" s="12">
        <v>0</v>
      </c>
      <c r="L1327" s="12">
        <f>-(F1327*G1327*$U$3)/J1327</f>
        <v>-3.9618004181900441</v>
      </c>
      <c r="M1327" s="11">
        <f>ABS(L1327/$U$6)</f>
        <v>1.1550438536997214E-2</v>
      </c>
      <c r="N1327" s="12">
        <f>L1327*SIN(RADIANS(K1327))</f>
        <v>0</v>
      </c>
      <c r="O1327" s="12">
        <f>L1327*COS(RADIANS(K1327))</f>
        <v>-3.9618004181900441</v>
      </c>
      <c r="P1327" s="5">
        <v>0.74745994592593346</v>
      </c>
      <c r="Q1327" s="5">
        <v>2.3552418046097832</v>
      </c>
      <c r="R1327" s="6">
        <f>P1327/Q1327</f>
        <v>0.31736017272747619</v>
      </c>
    </row>
    <row r="1328" spans="1:18" x14ac:dyDescent="0.35">
      <c r="A1328" s="9">
        <v>1329</v>
      </c>
      <c r="B1328" s="5">
        <v>0.25</v>
      </c>
      <c r="C1328" s="5">
        <v>4000000</v>
      </c>
      <c r="D1328" s="5">
        <v>20</v>
      </c>
      <c r="E1328" s="5">
        <v>0</v>
      </c>
      <c r="F1328" s="5">
        <v>0.05</v>
      </c>
      <c r="G1328" s="12">
        <f>(C1328*$U$4)/($U$5*$U$3)</f>
        <v>58.775510204081627</v>
      </c>
      <c r="H1328" s="11">
        <f>G1328*COS(RADIANS(D1328))</f>
        <v>55.230913221702366</v>
      </c>
      <c r="I1328" s="11">
        <f>G1328*SIN(RADIANS(D1328))</f>
        <v>20.102408424039304</v>
      </c>
      <c r="J1328" s="12">
        <v>0.18990000000000001</v>
      </c>
      <c r="K1328" s="12">
        <v>0</v>
      </c>
      <c r="L1328" s="12">
        <f>-(F1328*G1328*$U$3)/J1328</f>
        <v>-15.47538446658284</v>
      </c>
      <c r="M1328" s="11">
        <f>ABS(L1328/$U$6)</f>
        <v>4.511773896962927E-2</v>
      </c>
      <c r="N1328" s="12">
        <f>L1328*SIN(RADIANS(K1328))</f>
        <v>0</v>
      </c>
      <c r="O1328" s="12">
        <f>L1328*COS(RADIANS(K1328))</f>
        <v>-15.47538446658284</v>
      </c>
      <c r="P1328" s="5">
        <v>2.3227067359409812</v>
      </c>
      <c r="Q1328" s="5">
        <v>0.65210068359714357</v>
      </c>
      <c r="R1328" s="6">
        <f>P1328/Q1328</f>
        <v>3.5618836084151524</v>
      </c>
    </row>
    <row r="1329" spans="1:18" x14ac:dyDescent="0.35">
      <c r="A1329" s="9">
        <v>1330</v>
      </c>
      <c r="B1329" s="5">
        <v>0.75</v>
      </c>
      <c r="C1329" s="5">
        <v>4000000</v>
      </c>
      <c r="D1329" s="5">
        <v>5</v>
      </c>
      <c r="E1329" s="5">
        <v>0.375</v>
      </c>
      <c r="F1329" s="5">
        <v>0</v>
      </c>
      <c r="G1329" s="12">
        <f>(C1329*$U$4)/($U$5*$U$3)</f>
        <v>58.775510204081627</v>
      </c>
      <c r="H1329" s="11">
        <f>G1329*COS(RADIANS(D1329))</f>
        <v>58.551851642943404</v>
      </c>
      <c r="I1329" s="11">
        <f>G1329*SIN(RADIANS(D1329))</f>
        <v>5.1226232472092956</v>
      </c>
      <c r="J1329" s="11">
        <v>0.29299999999999998</v>
      </c>
      <c r="K1329" s="12">
        <v>57</v>
      </c>
      <c r="L1329" s="12">
        <f>-(F1329*G1329*$U$3)/J1329</f>
        <v>0</v>
      </c>
      <c r="M1329" s="11">
        <f>ABS(L1329/$U$6)</f>
        <v>0</v>
      </c>
      <c r="N1329" s="12">
        <f>L1329*SIN(RADIANS(K1329))</f>
        <v>0</v>
      </c>
      <c r="O1329" s="12">
        <f>L1329*COS(RADIANS(K1329))</f>
        <v>0</v>
      </c>
      <c r="P1329" s="5">
        <v>5.1099012256987137</v>
      </c>
      <c r="Q1329" s="5">
        <v>0.67548590554095711</v>
      </c>
      <c r="R1329" s="6">
        <f>P1329/Q1329</f>
        <v>7.5647784561936833</v>
      </c>
    </row>
    <row r="1330" spans="1:18" x14ac:dyDescent="0.35">
      <c r="A1330" s="9">
        <v>1331</v>
      </c>
      <c r="B1330" s="5">
        <v>0.5</v>
      </c>
      <c r="C1330" s="5">
        <v>4000000</v>
      </c>
      <c r="D1330" s="5">
        <v>30</v>
      </c>
      <c r="E1330" s="5">
        <v>0</v>
      </c>
      <c r="F1330" s="5">
        <v>7.4999999999999997E-2</v>
      </c>
      <c r="G1330" s="12">
        <f>(C1330*$U$4)/($U$5*$U$3)</f>
        <v>58.775510204081627</v>
      </c>
      <c r="H1330" s="11">
        <f>G1330*COS(RADIANS(D1330))</f>
        <v>50.901084957126187</v>
      </c>
      <c r="I1330" s="11">
        <f>G1330*SIN(RADIANS(D1330))</f>
        <v>29.38775510204081</v>
      </c>
      <c r="J1330" s="12">
        <v>0.23230000000000001</v>
      </c>
      <c r="K1330" s="12">
        <v>0</v>
      </c>
      <c r="L1330" s="12">
        <f>-(F1330*G1330*$U$3)/J1330</f>
        <v>-18.976165584615249</v>
      </c>
      <c r="M1330" s="11">
        <f>ABS(L1330/$U$6)</f>
        <v>5.532409791433017E-2</v>
      </c>
      <c r="N1330" s="12">
        <f>L1330*SIN(RADIANS(K1330))</f>
        <v>0</v>
      </c>
      <c r="O1330" s="12">
        <f>L1330*COS(RADIANS(K1330))</f>
        <v>-18.976165584615249</v>
      </c>
      <c r="P1330" s="5">
        <v>4.4704242261305156</v>
      </c>
      <c r="Q1330" s="5">
        <v>1.501851624052561</v>
      </c>
      <c r="R1330" s="6">
        <f>P1330/Q1330</f>
        <v>2.9766084442267529</v>
      </c>
    </row>
    <row r="1331" spans="1:18" x14ac:dyDescent="0.35">
      <c r="A1331" s="9">
        <v>1332</v>
      </c>
      <c r="B1331" s="5">
        <v>0.75</v>
      </c>
      <c r="C1331" s="5">
        <v>4000000</v>
      </c>
      <c r="D1331" s="5">
        <v>20</v>
      </c>
      <c r="E1331" s="5">
        <v>0</v>
      </c>
      <c r="F1331" s="5">
        <v>7.4999999999999997E-2</v>
      </c>
      <c r="G1331" s="12">
        <f>(C1331*$U$4)/($U$5*$U$3)</f>
        <v>58.775510204081627</v>
      </c>
      <c r="H1331" s="11">
        <f>G1331*COS(RADIANS(D1331))</f>
        <v>55.230913221702366</v>
      </c>
      <c r="I1331" s="11">
        <f>G1331*SIN(RADIANS(D1331))</f>
        <v>20.102408424039304</v>
      </c>
      <c r="J1331" s="11">
        <v>0.27929999999999999</v>
      </c>
      <c r="K1331" s="12">
        <v>0</v>
      </c>
      <c r="L1331" s="12">
        <f>-(F1331*G1331*$U$3)/J1331</f>
        <v>-15.782897476928472</v>
      </c>
      <c r="M1331" s="11">
        <f>ABS(L1331/$U$6)</f>
        <v>4.6014278358392044E-2</v>
      </c>
      <c r="N1331" s="12">
        <f>L1331*SIN(RADIANS(K1331))</f>
        <v>0</v>
      </c>
      <c r="O1331" s="12">
        <f>L1331*COS(RADIANS(K1331))</f>
        <v>-15.782897476928472</v>
      </c>
      <c r="P1331" s="5">
        <v>2.5240052151927914</v>
      </c>
      <c r="Q1331" s="5">
        <v>1.1084827184716839</v>
      </c>
      <c r="R1331" s="6">
        <f>P1331/Q1331</f>
        <v>2.2769910375082376</v>
      </c>
    </row>
    <row r="1332" spans="1:18" x14ac:dyDescent="0.35">
      <c r="A1332" s="9">
        <v>1333</v>
      </c>
      <c r="B1332" s="5">
        <v>0.1</v>
      </c>
      <c r="C1332" s="5">
        <v>4000000</v>
      </c>
      <c r="D1332" s="5">
        <v>10</v>
      </c>
      <c r="E1332" s="5">
        <v>0.375</v>
      </c>
      <c r="F1332" s="5">
        <v>0</v>
      </c>
      <c r="G1332" s="12">
        <f>(C1332*$U$4)/($U$5*$U$3)</f>
        <v>58.775510204081627</v>
      </c>
      <c r="H1332" s="11">
        <f>G1332*COS(RADIANS(D1332))</f>
        <v>57.882578136227728</v>
      </c>
      <c r="I1332" s="11">
        <f>G1332*SIN(RADIANS(D1332))</f>
        <v>10.206260238382843</v>
      </c>
      <c r="J1332" s="12">
        <v>0.16789999999999999</v>
      </c>
      <c r="K1332" s="11">
        <v>85</v>
      </c>
      <c r="L1332" s="12">
        <f>-(F1332*G1332*$U$3)/J1332</f>
        <v>0</v>
      </c>
      <c r="M1332" s="11">
        <f>ABS(L1332/$U$6)</f>
        <v>0</v>
      </c>
      <c r="N1332" s="12">
        <f>L1332*SIN(RADIANS(K1332))</f>
        <v>0</v>
      </c>
      <c r="O1332" s="12">
        <f>L1332*COS(RADIANS(K1332))</f>
        <v>0</v>
      </c>
      <c r="P1332" s="5">
        <v>1.7460509780340272</v>
      </c>
      <c r="Q1332" s="5">
        <v>0.53500812805921538</v>
      </c>
      <c r="R1332" s="6">
        <f>P1332/Q1332</f>
        <v>3.263597105277571</v>
      </c>
    </row>
    <row r="1333" spans="1:18" x14ac:dyDescent="0.35">
      <c r="A1333" s="9">
        <v>1334</v>
      </c>
      <c r="B1333" s="5">
        <v>1</v>
      </c>
      <c r="C1333" s="5">
        <v>6000000</v>
      </c>
      <c r="D1333" s="5">
        <v>15</v>
      </c>
      <c r="E1333" s="5">
        <v>0</v>
      </c>
      <c r="F1333" s="5">
        <v>0.1</v>
      </c>
      <c r="G1333" s="12">
        <f>(C1333*$U$4)/($U$5*$U$3)</f>
        <v>88.16326530612244</v>
      </c>
      <c r="H1333" s="11">
        <f>G1333*COS(RADIANS(D1333))</f>
        <v>85.159174889158663</v>
      </c>
      <c r="I1333" s="11">
        <f>G1333*SIN(RADIANS(D1333))</f>
        <v>22.818332139650806</v>
      </c>
      <c r="J1333" s="11">
        <v>0.33379999999999999</v>
      </c>
      <c r="K1333" s="12">
        <v>0</v>
      </c>
      <c r="L1333" s="12">
        <f>-(F1333*G1333*$U$3)/J1333</f>
        <v>-26.412002787933627</v>
      </c>
      <c r="M1333" s="11">
        <f>ABS(L1333/$U$6)</f>
        <v>7.7002923579981425E-2</v>
      </c>
      <c r="N1333" s="12">
        <f>L1333*SIN(RADIANS(K1333))</f>
        <v>0</v>
      </c>
      <c r="O1333" s="12">
        <f>L1333*COS(RADIANS(K1333))</f>
        <v>-26.412002787933627</v>
      </c>
      <c r="P1333" s="5">
        <v>2.9375046258684012</v>
      </c>
      <c r="Q1333" s="5">
        <v>1.188736605497301</v>
      </c>
      <c r="R1333" s="6">
        <f>P1333/Q1333</f>
        <v>2.4711148056549614</v>
      </c>
    </row>
    <row r="1334" spans="1:18" x14ac:dyDescent="0.35">
      <c r="A1334" s="9">
        <v>1335</v>
      </c>
      <c r="B1334" s="5">
        <v>0.25</v>
      </c>
      <c r="C1334" s="5">
        <v>4000000</v>
      </c>
      <c r="D1334" s="5">
        <v>30</v>
      </c>
      <c r="E1334" s="5">
        <v>0.375</v>
      </c>
      <c r="F1334" s="5">
        <v>1.4999999999999999E-2</v>
      </c>
      <c r="G1334" s="12">
        <f>(C1334*$U$4)/($U$5*$U$3)</f>
        <v>58.775510204081627</v>
      </c>
      <c r="H1334" s="11">
        <f>G1334*COS(RADIANS(D1334))</f>
        <v>50.901084957126187</v>
      </c>
      <c r="I1334" s="11">
        <f>G1334*SIN(RADIANS(D1334))</f>
        <v>29.38775510204081</v>
      </c>
      <c r="J1334" s="11">
        <v>0.1976</v>
      </c>
      <c r="K1334" s="12">
        <v>78</v>
      </c>
      <c r="L1334" s="12">
        <f>-(F1334*G1334*$U$3)/J1334</f>
        <v>-4.4617037098240102</v>
      </c>
      <c r="M1334" s="11">
        <f>ABS(L1334/$U$6)</f>
        <v>1.3007882535930059E-2</v>
      </c>
      <c r="N1334" s="12">
        <f>L1334*SIN(RADIANS(K1334))</f>
        <v>-4.3642047789494747</v>
      </c>
      <c r="O1334" s="12">
        <f>L1334*COS(RADIANS(K1334))</f>
        <v>-0.92764036223738</v>
      </c>
      <c r="P1334" s="5">
        <v>2.4497728804863974</v>
      </c>
      <c r="Q1334" s="5">
        <v>1.0586307209129733</v>
      </c>
      <c r="R1334" s="6">
        <f>P1334/Q1334</f>
        <v>2.3140957768292325</v>
      </c>
    </row>
    <row r="1335" spans="1:18" x14ac:dyDescent="0.35">
      <c r="A1335" s="9">
        <v>1336</v>
      </c>
      <c r="B1335" s="5">
        <v>1</v>
      </c>
      <c r="C1335" s="5">
        <v>4000000</v>
      </c>
      <c r="D1335" s="5">
        <v>20</v>
      </c>
      <c r="E1335" s="5">
        <v>0.125</v>
      </c>
      <c r="F1335" s="5">
        <v>7.4999999999999997E-2</v>
      </c>
      <c r="G1335" s="12">
        <f>(C1335*$U$4)/($U$5*$U$3)</f>
        <v>58.775510204081627</v>
      </c>
      <c r="H1335" s="11">
        <f>G1335*COS(RADIANS(D1335))</f>
        <v>55.230913221702366</v>
      </c>
      <c r="I1335" s="11">
        <f>G1335*SIN(RADIANS(D1335))</f>
        <v>20.102408424039304</v>
      </c>
      <c r="J1335" s="11">
        <v>0.33379999999999999</v>
      </c>
      <c r="K1335" s="12">
        <v>14</v>
      </c>
      <c r="L1335" s="12">
        <f>-(F1335*G1335*$U$3)/J1335</f>
        <v>-13.206001393966813</v>
      </c>
      <c r="M1335" s="11">
        <f>ABS(L1335/$U$6)</f>
        <v>3.8501461789990712E-2</v>
      </c>
      <c r="N1335" s="12">
        <f>L1335*SIN(RADIANS(K1335))</f>
        <v>-3.1948208905203059</v>
      </c>
      <c r="O1335" s="12">
        <f>L1335*COS(RADIANS(K1335))</f>
        <v>-12.81372671376085</v>
      </c>
      <c r="P1335" s="5">
        <v>2.9305748438095125</v>
      </c>
      <c r="Q1335" s="5">
        <v>1.1074640517695142</v>
      </c>
      <c r="R1335" s="6">
        <f>P1335/Q1335</f>
        <v>2.6462031332999194</v>
      </c>
    </row>
    <row r="1336" spans="1:18" x14ac:dyDescent="0.35">
      <c r="A1336" s="9">
        <v>1337</v>
      </c>
      <c r="B1336" s="5">
        <v>0.5</v>
      </c>
      <c r="C1336" s="5">
        <v>6000000</v>
      </c>
      <c r="D1336" s="5">
        <v>20</v>
      </c>
      <c r="E1336" s="5">
        <v>0</v>
      </c>
      <c r="F1336" s="5">
        <v>7.4999999999999997E-2</v>
      </c>
      <c r="G1336" s="12">
        <f>(C1336*$U$4)/($U$5*$U$3)</f>
        <v>88.16326530612244</v>
      </c>
      <c r="H1336" s="11">
        <f>G1336*COS(RADIANS(D1336))</f>
        <v>82.846369832553549</v>
      </c>
      <c r="I1336" s="11">
        <f>G1336*SIN(RADIANS(D1336))</f>
        <v>30.153612636058952</v>
      </c>
      <c r="J1336" s="12">
        <v>0.23230000000000001</v>
      </c>
      <c r="K1336" s="12">
        <v>0</v>
      </c>
      <c r="L1336" s="12">
        <f>-(F1336*G1336*$U$3)/J1336</f>
        <v>-28.464248376922871</v>
      </c>
      <c r="M1336" s="11">
        <f>ABS(L1336/$U$6)</f>
        <v>8.2986146871495248E-2</v>
      </c>
      <c r="N1336" s="12">
        <f>L1336*SIN(RADIANS(K1336))</f>
        <v>0</v>
      </c>
      <c r="O1336" s="12">
        <f>L1336*COS(RADIANS(K1336))</f>
        <v>-28.464248376922871</v>
      </c>
      <c r="P1336" s="5">
        <v>4.5108172612270856</v>
      </c>
      <c r="Q1336" s="5">
        <v>1.0852058976769468</v>
      </c>
      <c r="R1336" s="6">
        <f>P1336/Q1336</f>
        <v>4.1566464676272004</v>
      </c>
    </row>
    <row r="1337" spans="1:18" x14ac:dyDescent="0.35">
      <c r="A1337" s="9">
        <v>1338</v>
      </c>
      <c r="B1337" s="5">
        <v>1</v>
      </c>
      <c r="C1337" s="5">
        <v>4000000</v>
      </c>
      <c r="D1337" s="5">
        <v>30</v>
      </c>
      <c r="E1337" s="5">
        <v>0</v>
      </c>
      <c r="F1337" s="5">
        <v>0.05</v>
      </c>
      <c r="G1337" s="12">
        <f>(C1337*$U$4)/($U$5*$U$3)</f>
        <v>58.775510204081627</v>
      </c>
      <c r="H1337" s="11">
        <f>G1337*COS(RADIANS(D1337))</f>
        <v>50.901084957126187</v>
      </c>
      <c r="I1337" s="11">
        <f>G1337*SIN(RADIANS(D1337))</f>
        <v>29.38775510204081</v>
      </c>
      <c r="J1337" s="11">
        <v>0.33379999999999999</v>
      </c>
      <c r="K1337" s="12">
        <v>0</v>
      </c>
      <c r="L1337" s="12">
        <f>-(F1337*G1337*$U$3)/J1337</f>
        <v>-8.8040009293112096</v>
      </c>
      <c r="M1337" s="11">
        <f>ABS(L1337/$U$6)</f>
        <v>2.566764119332714E-2</v>
      </c>
      <c r="N1337" s="12">
        <f>L1337*SIN(RADIANS(K1337))</f>
        <v>0</v>
      </c>
      <c r="O1337" s="12">
        <f>L1337*COS(RADIANS(K1337))</f>
        <v>-8.8040009293112096</v>
      </c>
      <c r="P1337" s="5">
        <v>0.82708210182698538</v>
      </c>
      <c r="Q1337" s="5">
        <v>1.6727214048643937</v>
      </c>
      <c r="R1337" s="6">
        <f>P1337/Q1337</f>
        <v>0.49445299104906015</v>
      </c>
    </row>
    <row r="1338" spans="1:18" x14ac:dyDescent="0.35">
      <c r="A1338" s="9">
        <v>1339</v>
      </c>
      <c r="B1338" s="5">
        <v>0.5</v>
      </c>
      <c r="C1338" s="5">
        <v>2000000</v>
      </c>
      <c r="D1338" s="5">
        <v>0</v>
      </c>
      <c r="E1338" s="5">
        <v>0.25</v>
      </c>
      <c r="F1338" s="5">
        <v>1.4999999999999999E-2</v>
      </c>
      <c r="G1338" s="12">
        <f>(C1338*$U$4)/($U$5*$U$3)</f>
        <v>29.387755102040813</v>
      </c>
      <c r="H1338" s="11">
        <f>G1338*COS(RADIANS(D1338))</f>
        <v>29.387755102040813</v>
      </c>
      <c r="I1338" s="11">
        <f>G1338*SIN(RADIANS(D1338))</f>
        <v>0</v>
      </c>
      <c r="J1338" s="11">
        <v>0.23580000000000001</v>
      </c>
      <c r="K1338" s="11">
        <v>49</v>
      </c>
      <c r="L1338" s="12">
        <f>-(F1338*G1338*$U$3)/J1338</f>
        <v>-1.8694500701043775</v>
      </c>
      <c r="M1338" s="11">
        <f>ABS(L1338/$U$6)</f>
        <v>5.4502917495754446E-3</v>
      </c>
      <c r="N1338" s="12">
        <f>L1338*SIN(RADIANS(K1338))</f>
        <v>-1.4108918776559065</v>
      </c>
      <c r="O1338" s="12">
        <f>L1338*COS(RADIANS(K1338))</f>
        <v>-1.2264695977389137</v>
      </c>
      <c r="P1338" s="5">
        <v>3.6642761485965458</v>
      </c>
      <c r="Q1338" s="5">
        <v>-9.670707237628616E-4</v>
      </c>
      <c r="R1338" s="6">
        <f>P1338/Q1338</f>
        <v>-3789.0467145348866</v>
      </c>
    </row>
    <row r="1339" spans="1:18" x14ac:dyDescent="0.35">
      <c r="A1339" s="9">
        <v>1340</v>
      </c>
      <c r="B1339" s="5">
        <v>0.25</v>
      </c>
      <c r="C1339" s="5">
        <v>4000000</v>
      </c>
      <c r="D1339" s="5">
        <v>15</v>
      </c>
      <c r="E1339" s="5">
        <v>0.125</v>
      </c>
      <c r="F1339" s="5">
        <v>2.5000000000000001E-2</v>
      </c>
      <c r="G1339" s="12">
        <f>(C1339*$U$4)/($U$5*$U$3)</f>
        <v>58.775510204081627</v>
      </c>
      <c r="H1339" s="11">
        <f>G1339*COS(RADIANS(D1339))</f>
        <v>56.772783259439109</v>
      </c>
      <c r="I1339" s="11">
        <f>G1339*SIN(RADIANS(D1339))</f>
        <v>15.212221426433871</v>
      </c>
      <c r="J1339" s="11">
        <v>0.19020000000000001</v>
      </c>
      <c r="K1339" s="12">
        <v>46</v>
      </c>
      <c r="L1339" s="12">
        <f>-(F1339*G1339*$U$3)/J1339</f>
        <v>-7.7254876714092564</v>
      </c>
      <c r="M1339" s="11">
        <f>ABS(L1339/$U$6)</f>
        <v>2.2523287671747102E-2</v>
      </c>
      <c r="N1339" s="12">
        <f>L1339*SIN(RADIANS(K1339))</f>
        <v>-5.5572507590702447</v>
      </c>
      <c r="O1339" s="12">
        <f>L1339*COS(RADIANS(K1339))</f>
        <v>-5.3665746768222276</v>
      </c>
      <c r="P1339" s="5">
        <v>2.1319696459605795</v>
      </c>
      <c r="Q1339" s="5">
        <v>0.57514182825736315</v>
      </c>
      <c r="R1339" s="6">
        <f>P1339/Q1339</f>
        <v>3.7068589714997575</v>
      </c>
    </row>
    <row r="1340" spans="1:18" x14ac:dyDescent="0.35">
      <c r="A1340" s="9">
        <v>2023</v>
      </c>
      <c r="B1340" s="5">
        <v>0.25</v>
      </c>
      <c r="C1340" s="5">
        <v>6000000</v>
      </c>
      <c r="D1340" s="5">
        <v>10</v>
      </c>
      <c r="E1340" s="5">
        <v>0.375</v>
      </c>
      <c r="F1340" s="5">
        <v>0.1</v>
      </c>
      <c r="G1340" s="12">
        <f>(C1340*$U$4)/($U$5*$U$3)</f>
        <v>88.16326530612244</v>
      </c>
      <c r="H1340" s="11">
        <f>G1340*COS(RADIANS(D1340))</f>
        <v>86.823867204341596</v>
      </c>
      <c r="I1340" s="11">
        <f>G1340*SIN(RADIANS(D1340))</f>
        <v>15.309390357574264</v>
      </c>
      <c r="J1340" s="11">
        <v>0.1976</v>
      </c>
      <c r="K1340" s="12">
        <v>78</v>
      </c>
      <c r="L1340" s="12">
        <f>-(F1340*G1340*$U$3)/J1340</f>
        <v>-44.617037098240104</v>
      </c>
      <c r="M1340" s="11">
        <f>ABS(L1340/$U$6)</f>
        <v>0.1300788253593006</v>
      </c>
      <c r="N1340" s="12">
        <f>L1340*SIN(RADIANS(K1340))</f>
        <v>-43.642047789494754</v>
      </c>
      <c r="O1340" s="12">
        <f>L1340*COS(RADIANS(K1340))</f>
        <v>-9.2764036223738007</v>
      </c>
      <c r="P1340" s="5">
        <v>2.5482471436596739</v>
      </c>
      <c r="Q1340" s="5">
        <v>0.28151465881289606</v>
      </c>
      <c r="R1340" s="6">
        <f>P1340/Q1340</f>
        <v>9.0519163527939881</v>
      </c>
    </row>
    <row r="1341" spans="1:18" x14ac:dyDescent="0.35">
      <c r="A1341" s="9">
        <v>1342</v>
      </c>
      <c r="B1341" s="5">
        <v>0.75</v>
      </c>
      <c r="C1341" s="5">
        <v>6000000</v>
      </c>
      <c r="D1341" s="5">
        <v>0</v>
      </c>
      <c r="E1341" s="5">
        <v>0.375</v>
      </c>
      <c r="F1341" s="5">
        <v>7.4999999999999997E-2</v>
      </c>
      <c r="G1341" s="12">
        <f>(C1341*$U$4)/($U$5*$U$3)</f>
        <v>88.16326530612244</v>
      </c>
      <c r="H1341" s="11">
        <f>G1341*COS(RADIANS(D1341))</f>
        <v>88.16326530612244</v>
      </c>
      <c r="I1341" s="11">
        <f>G1341*SIN(RADIANS(D1341))</f>
        <v>0</v>
      </c>
      <c r="J1341" s="11">
        <v>0.29299999999999998</v>
      </c>
      <c r="K1341" s="12">
        <v>57</v>
      </c>
      <c r="L1341" s="12">
        <f>-(F1341*G1341*$U$3)/J1341</f>
        <v>-22.567388730236122</v>
      </c>
      <c r="M1341" s="11">
        <f>ABS(L1341/$U$6)</f>
        <v>6.5794136239755455E-2</v>
      </c>
      <c r="N1341" s="12">
        <f>L1341*SIN(RADIANS(K1341))</f>
        <v>-18.926604723432291</v>
      </c>
      <c r="O1341" s="12">
        <f>L1341*COS(RADIANS(K1341))</f>
        <v>-12.291080820844799</v>
      </c>
      <c r="P1341" s="5">
        <v>4.7143984653127351</v>
      </c>
      <c r="Q1341" s="5">
        <v>-0.64029228998821919</v>
      </c>
      <c r="R1341" s="6">
        <f>P1341/Q1341</f>
        <v>-7.3628849496211739</v>
      </c>
    </row>
    <row r="1342" spans="1:18" x14ac:dyDescent="0.35">
      <c r="A1342" s="9">
        <v>1343</v>
      </c>
      <c r="B1342" s="5">
        <v>1</v>
      </c>
      <c r="C1342" s="5">
        <v>6000000</v>
      </c>
      <c r="D1342" s="5">
        <v>0</v>
      </c>
      <c r="E1342" s="5">
        <v>0.375</v>
      </c>
      <c r="F1342" s="5">
        <v>2.5000000000000001E-2</v>
      </c>
      <c r="G1342" s="12">
        <f>(C1342*$U$4)/($U$5*$U$3)</f>
        <v>88.16326530612244</v>
      </c>
      <c r="H1342" s="11">
        <f>G1342*COS(RADIANS(D1342))</f>
        <v>88.16326530612244</v>
      </c>
      <c r="I1342" s="11">
        <f>G1342*SIN(RADIANS(D1342))</f>
        <v>0</v>
      </c>
      <c r="J1342" s="12">
        <v>0.33379999999999999</v>
      </c>
      <c r="K1342" s="11">
        <v>49</v>
      </c>
      <c r="L1342" s="12">
        <f>-(F1342*G1342*$U$3)/J1342</f>
        <v>-6.6030006969834067</v>
      </c>
      <c r="M1342" s="11">
        <f>ABS(L1342/$U$6)</f>
        <v>1.9250730894995356E-2</v>
      </c>
      <c r="N1342" s="12">
        <f>L1342*SIN(RADIANS(K1342))</f>
        <v>-4.9833478842310184</v>
      </c>
      <c r="O1342" s="12">
        <f>L1342*COS(RADIANS(K1342))</f>
        <v>-4.3319582256865763</v>
      </c>
      <c r="P1342" s="5">
        <v>4.7810419179695609</v>
      </c>
      <c r="Q1342" s="5">
        <v>-0.44048668074611563</v>
      </c>
      <c r="R1342" s="6">
        <f>P1342/Q1342</f>
        <v>-10.853998831181961</v>
      </c>
    </row>
    <row r="1343" spans="1:18" x14ac:dyDescent="0.35">
      <c r="A1343" s="9">
        <v>1344</v>
      </c>
      <c r="B1343" s="5">
        <v>0.75</v>
      </c>
      <c r="C1343" s="5">
        <v>4000000</v>
      </c>
      <c r="D1343" s="5">
        <v>30</v>
      </c>
      <c r="E1343" s="5">
        <v>0.125</v>
      </c>
      <c r="F1343" s="5">
        <v>2.5000000000000001E-2</v>
      </c>
      <c r="G1343" s="12">
        <f>(C1343*$U$4)/($U$5*$U$3)</f>
        <v>58.775510204081627</v>
      </c>
      <c r="H1343" s="11">
        <f>G1343*COS(RADIANS(D1343))</f>
        <v>50.901084957126187</v>
      </c>
      <c r="I1343" s="11">
        <f>G1343*SIN(RADIANS(D1343))</f>
        <v>29.38775510204081</v>
      </c>
      <c r="J1343" s="12">
        <v>0.2802</v>
      </c>
      <c r="K1343" s="12">
        <v>19</v>
      </c>
      <c r="L1343" s="12">
        <f>-(F1343*G1343*$U$3)/J1343</f>
        <v>-5.2440676484726643</v>
      </c>
      <c r="M1343" s="11">
        <f>ABS(L1343/$U$6)</f>
        <v>1.5288826963477156E-2</v>
      </c>
      <c r="N1343" s="12">
        <f>L1343*SIN(RADIANS(K1343))</f>
        <v>-1.707301426161727</v>
      </c>
      <c r="O1343" s="12">
        <f>L1343*COS(RADIANS(K1343))</f>
        <v>-4.9583633733303323</v>
      </c>
      <c r="P1343" s="5">
        <v>3.8742102080118204</v>
      </c>
      <c r="Q1343" s="5">
        <v>1.3101784605810085</v>
      </c>
      <c r="R1343" s="6">
        <f>P1343/Q1343</f>
        <v>2.9570095407413222</v>
      </c>
    </row>
    <row r="1344" spans="1:18" x14ac:dyDescent="0.35">
      <c r="A1344" s="9">
        <v>1345</v>
      </c>
      <c r="B1344" s="5">
        <v>0.75</v>
      </c>
      <c r="C1344" s="5">
        <v>2000000</v>
      </c>
      <c r="D1344" s="5">
        <v>10</v>
      </c>
      <c r="E1344" s="5">
        <v>0.125</v>
      </c>
      <c r="F1344" s="5">
        <v>7.4999999999999997E-2</v>
      </c>
      <c r="G1344" s="12">
        <f>(C1344*$U$4)/($U$5*$U$3)</f>
        <v>29.387755102040813</v>
      </c>
      <c r="H1344" s="11">
        <f>G1344*COS(RADIANS(D1344))</f>
        <v>28.941289068113864</v>
      </c>
      <c r="I1344" s="11">
        <f>G1344*SIN(RADIANS(D1344))</f>
        <v>5.1031301191914213</v>
      </c>
      <c r="J1344" s="12">
        <v>0.2802</v>
      </c>
      <c r="K1344" s="12">
        <v>19</v>
      </c>
      <c r="L1344" s="12">
        <f>-(F1344*G1344*$U$3)/J1344</f>
        <v>-7.8661014727089968</v>
      </c>
      <c r="M1344" s="11">
        <f>ABS(L1344/$U$6)</f>
        <v>2.2933240445215733E-2</v>
      </c>
      <c r="N1344" s="12">
        <f>L1344*SIN(RADIANS(K1344))</f>
        <v>-2.5609521392425907</v>
      </c>
      <c r="O1344" s="12">
        <f>L1344*COS(RADIANS(K1344))</f>
        <v>-7.4375450599954993</v>
      </c>
      <c r="P1344" s="5">
        <v>6.1597136521336466</v>
      </c>
      <c r="Q1344" s="5">
        <v>0.37176392864580543</v>
      </c>
      <c r="R1344" s="6">
        <f>P1344/Q1344</f>
        <v>16.568884653686386</v>
      </c>
    </row>
    <row r="1345" spans="1:18" x14ac:dyDescent="0.35">
      <c r="A1345" s="9">
        <v>1346</v>
      </c>
      <c r="B1345" s="5">
        <v>0.25</v>
      </c>
      <c r="C1345" s="5">
        <v>2000000</v>
      </c>
      <c r="D1345" s="5">
        <v>30</v>
      </c>
      <c r="E1345" s="5">
        <v>0.125</v>
      </c>
      <c r="F1345" s="5">
        <v>3.5000000000000003E-2</v>
      </c>
      <c r="G1345" s="12">
        <f>(C1345*$U$4)/($U$5*$U$3)</f>
        <v>29.387755102040813</v>
      </c>
      <c r="H1345" s="11">
        <f>G1345*COS(RADIANS(D1345))</f>
        <v>25.450542478563094</v>
      </c>
      <c r="I1345" s="11">
        <f>G1345*SIN(RADIANS(D1345))</f>
        <v>14.693877551020405</v>
      </c>
      <c r="J1345" s="11">
        <v>0.19020000000000001</v>
      </c>
      <c r="K1345" s="12">
        <v>46</v>
      </c>
      <c r="L1345" s="12">
        <f>-(F1345*G1345*$U$3)/J1345</f>
        <v>-5.40784136998648</v>
      </c>
      <c r="M1345" s="11">
        <f>ABS(L1345/$U$6)</f>
        <v>1.5766301370222974E-2</v>
      </c>
      <c r="N1345" s="12">
        <f>L1345*SIN(RADIANS(K1345))</f>
        <v>-3.8900755313491717</v>
      </c>
      <c r="O1345" s="12">
        <f>L1345*COS(RADIANS(K1345))</f>
        <v>-3.7566022737755596</v>
      </c>
      <c r="P1345" s="5">
        <v>2.2890661869819349</v>
      </c>
      <c r="Q1345" s="5">
        <v>0.9444956565093261</v>
      </c>
      <c r="R1345" s="6">
        <f>P1345/Q1345</f>
        <v>2.4235857213381822</v>
      </c>
    </row>
    <row r="1346" spans="1:18" x14ac:dyDescent="0.35">
      <c r="A1346" s="9">
        <v>1347</v>
      </c>
      <c r="B1346" s="5">
        <v>1</v>
      </c>
      <c r="C1346" s="5">
        <v>6000000</v>
      </c>
      <c r="D1346" s="5">
        <v>10</v>
      </c>
      <c r="E1346" s="5">
        <v>0.125</v>
      </c>
      <c r="F1346" s="5">
        <v>2.5000000000000001E-2</v>
      </c>
      <c r="G1346" s="12">
        <f>(C1346*$U$4)/($U$5*$U$3)</f>
        <v>88.16326530612244</v>
      </c>
      <c r="H1346" s="11">
        <f>G1346*COS(RADIANS(D1346))</f>
        <v>86.823867204341596</v>
      </c>
      <c r="I1346" s="11">
        <f>G1346*SIN(RADIANS(D1346))</f>
        <v>15.309390357574264</v>
      </c>
      <c r="J1346" s="11">
        <v>0.33379999999999999</v>
      </c>
      <c r="K1346" s="12">
        <v>14</v>
      </c>
      <c r="L1346" s="12">
        <f>-(F1346*G1346*$U$3)/J1346</f>
        <v>-6.6030006969834067</v>
      </c>
      <c r="M1346" s="11">
        <f>ABS(L1346/$U$6)</f>
        <v>1.9250730894995356E-2</v>
      </c>
      <c r="N1346" s="12">
        <f>L1346*SIN(RADIANS(K1346))</f>
        <v>-1.597410445260153</v>
      </c>
      <c r="O1346" s="12">
        <f>L1346*COS(RADIANS(K1346))</f>
        <v>-6.4068633568804252</v>
      </c>
      <c r="P1346" s="5">
        <v>3.7367262095130971</v>
      </c>
      <c r="Q1346" s="5">
        <v>0.86556342574437861</v>
      </c>
      <c r="R1346" s="6">
        <f>P1346/Q1346</f>
        <v>4.3171027083307481</v>
      </c>
    </row>
    <row r="1347" spans="1:18" x14ac:dyDescent="0.35">
      <c r="A1347" s="9">
        <v>1348</v>
      </c>
      <c r="B1347" s="5">
        <v>0.5</v>
      </c>
      <c r="C1347" s="5">
        <v>4000000</v>
      </c>
      <c r="D1347" s="5">
        <v>5</v>
      </c>
      <c r="E1347" s="5">
        <v>0.375</v>
      </c>
      <c r="F1347" s="5">
        <v>7.4999999999999997E-2</v>
      </c>
      <c r="G1347" s="12">
        <f>(C1347*$U$4)/($U$5*$U$3)</f>
        <v>58.775510204081627</v>
      </c>
      <c r="H1347" s="11">
        <f>G1347*COS(RADIANS(D1347))</f>
        <v>58.551851642943404</v>
      </c>
      <c r="I1347" s="11">
        <f>G1347*SIN(RADIANS(D1347))</f>
        <v>5.1226232472092956</v>
      </c>
      <c r="J1347" s="12">
        <v>0.24809999999999999</v>
      </c>
      <c r="K1347" s="12">
        <v>67</v>
      </c>
      <c r="L1347" s="12">
        <f>-(F1347*G1347*$U$3)/J1347</f>
        <v>-17.767687486118994</v>
      </c>
      <c r="M1347" s="11">
        <f>ABS(L1347/$U$6)</f>
        <v>5.1800838151950419E-2</v>
      </c>
      <c r="N1347" s="12">
        <f>L1347*SIN(RADIANS(K1347))</f>
        <v>-16.355242565598722</v>
      </c>
      <c r="O1347" s="12">
        <f>L1347*COS(RADIANS(K1347))</f>
        <v>-6.9423885820960214</v>
      </c>
      <c r="P1347" s="5">
        <v>3.8038550417358401</v>
      </c>
      <c r="Q1347" s="5">
        <v>-0.12499156062922614</v>
      </c>
      <c r="R1347" s="6">
        <f>P1347/Q1347</f>
        <v>-30.432895009764394</v>
      </c>
    </row>
    <row r="1348" spans="1:18" x14ac:dyDescent="0.35">
      <c r="A1348" s="9">
        <v>2114</v>
      </c>
      <c r="B1348" s="5">
        <v>0.25</v>
      </c>
      <c r="C1348" s="5">
        <v>4000000</v>
      </c>
      <c r="D1348" s="5">
        <v>30</v>
      </c>
      <c r="E1348" s="5">
        <v>0.375</v>
      </c>
      <c r="F1348" s="5">
        <v>0.15</v>
      </c>
      <c r="G1348" s="12">
        <f>(C1348*$U$4)/($U$5*$U$3)</f>
        <v>58.775510204081627</v>
      </c>
      <c r="H1348" s="11">
        <f>G1348*COS(RADIANS(D1348))</f>
        <v>50.901084957126187</v>
      </c>
      <c r="I1348" s="11">
        <f>G1348*SIN(RADIANS(D1348))</f>
        <v>29.38775510204081</v>
      </c>
      <c r="J1348" s="20">
        <v>0.1976</v>
      </c>
      <c r="K1348" s="12">
        <v>78</v>
      </c>
      <c r="L1348" s="12">
        <f>-(F1348*G1348*$U$3)/J1348</f>
        <v>-44.617037098240104</v>
      </c>
      <c r="M1348" s="11">
        <f>ABS(L1348/$U$6)</f>
        <v>0.1300788253593006</v>
      </c>
      <c r="N1348" s="12">
        <f>L1348*SIN(RADIANS(K1348))</f>
        <v>-43.642047789494754</v>
      </c>
      <c r="O1348" s="12">
        <f>L1348*COS(RADIANS(K1348))</f>
        <v>-9.2764036223738007</v>
      </c>
      <c r="P1348" s="5">
        <v>3.2074000625323666</v>
      </c>
      <c r="Q1348" s="5">
        <v>1.1017844271119615</v>
      </c>
      <c r="R1348" s="6">
        <f>P1348/Q1348</f>
        <v>2.9110958401724045</v>
      </c>
    </row>
    <row r="1349" spans="1:18" x14ac:dyDescent="0.35">
      <c r="A1349" s="9">
        <v>1350</v>
      </c>
      <c r="B1349" s="5">
        <v>0.5</v>
      </c>
      <c r="C1349" s="5">
        <v>2000000</v>
      </c>
      <c r="D1349" s="5">
        <v>0</v>
      </c>
      <c r="E1349" s="5">
        <v>0.375</v>
      </c>
      <c r="F1349" s="5">
        <v>7.4999999999999997E-2</v>
      </c>
      <c r="G1349" s="12">
        <f>(C1349*$U$4)/($U$5*$U$3)</f>
        <v>29.387755102040813</v>
      </c>
      <c r="H1349" s="11">
        <f>G1349*COS(RADIANS(D1349))</f>
        <v>29.387755102040813</v>
      </c>
      <c r="I1349" s="11">
        <f>G1349*SIN(RADIANS(D1349))</f>
        <v>0</v>
      </c>
      <c r="J1349" s="12">
        <v>0.24809999999999999</v>
      </c>
      <c r="K1349" s="12">
        <v>67</v>
      </c>
      <c r="L1349" s="12">
        <f>-(F1349*G1349*$U$3)/J1349</f>
        <v>-8.8838437430594972</v>
      </c>
      <c r="M1349" s="11">
        <f>ABS(L1349/$U$6)</f>
        <v>2.590041907597521E-2</v>
      </c>
      <c r="N1349" s="12">
        <f>L1349*SIN(RADIANS(K1349))</f>
        <v>-8.1776212827993611</v>
      </c>
      <c r="O1349" s="12">
        <f>L1349*COS(RADIANS(K1349))</f>
        <v>-3.4711942910480107</v>
      </c>
      <c r="P1349" s="5">
        <v>3.575565512995087</v>
      </c>
      <c r="Q1349" s="5">
        <v>-0.33994682738221832</v>
      </c>
      <c r="R1349" s="6">
        <f>P1349/Q1349</f>
        <v>-10.518014068638179</v>
      </c>
    </row>
    <row r="1350" spans="1:18" x14ac:dyDescent="0.35">
      <c r="A1350" s="9">
        <v>1351</v>
      </c>
      <c r="B1350" s="5">
        <v>0.25</v>
      </c>
      <c r="C1350" s="5">
        <v>2000000</v>
      </c>
      <c r="D1350" s="5">
        <v>15</v>
      </c>
      <c r="E1350" s="5">
        <v>0.375</v>
      </c>
      <c r="F1350" s="5">
        <v>2.5000000000000001E-2</v>
      </c>
      <c r="G1350" s="12">
        <f>(C1350*$U$4)/($U$5*$U$3)</f>
        <v>29.387755102040813</v>
      </c>
      <c r="H1350" s="11">
        <f>G1350*COS(RADIANS(D1350))</f>
        <v>28.386391629719554</v>
      </c>
      <c r="I1350" s="11">
        <f>G1350*SIN(RADIANS(D1350))</f>
        <v>7.6061107132169354</v>
      </c>
      <c r="J1350" s="11">
        <v>0.1976</v>
      </c>
      <c r="K1350" s="12">
        <v>78</v>
      </c>
      <c r="L1350" s="12">
        <f>-(F1350*G1350*$U$3)/J1350</f>
        <v>-3.7180864248533418</v>
      </c>
      <c r="M1350" s="11">
        <f>ABS(L1350/$U$6)</f>
        <v>1.0839902113275049E-2</v>
      </c>
      <c r="N1350" s="12">
        <f>L1350*SIN(RADIANS(K1350))</f>
        <v>-3.636837315791229</v>
      </c>
      <c r="O1350" s="12">
        <f>L1350*COS(RADIANS(K1350))</f>
        <v>-0.77303363519781665</v>
      </c>
      <c r="P1350" s="5">
        <v>2.2959494213278968</v>
      </c>
      <c r="Q1350" s="5">
        <v>0.47796042992900101</v>
      </c>
      <c r="R1350" s="6">
        <f>P1350/Q1350</f>
        <v>4.803639124830795</v>
      </c>
    </row>
    <row r="1351" spans="1:18" x14ac:dyDescent="0.35">
      <c r="A1351" s="9">
        <v>1352</v>
      </c>
      <c r="B1351" s="5">
        <v>0.75</v>
      </c>
      <c r="C1351" s="5">
        <v>6000000</v>
      </c>
      <c r="D1351" s="5">
        <v>20</v>
      </c>
      <c r="E1351" s="5">
        <v>0</v>
      </c>
      <c r="F1351" s="5">
        <v>1.4999999999999999E-2</v>
      </c>
      <c r="G1351" s="12">
        <f>(C1351*$U$4)/($U$5*$U$3)</f>
        <v>88.16326530612244</v>
      </c>
      <c r="H1351" s="11">
        <f>G1351*COS(RADIANS(D1351))</f>
        <v>82.846369832553549</v>
      </c>
      <c r="I1351" s="11">
        <f>G1351*SIN(RADIANS(D1351))</f>
        <v>30.153612636058952</v>
      </c>
      <c r="J1351" s="11">
        <v>0.27929999999999999</v>
      </c>
      <c r="K1351" s="12">
        <v>0</v>
      </c>
      <c r="L1351" s="12">
        <f>-(F1351*G1351*$U$3)/J1351</f>
        <v>-4.7348692430785411</v>
      </c>
      <c r="M1351" s="11">
        <f>ABS(L1351/$U$6)</f>
        <v>1.3804283507517612E-2</v>
      </c>
      <c r="N1351" s="12">
        <f>L1351*SIN(RADIANS(K1351))</f>
        <v>0</v>
      </c>
      <c r="O1351" s="12">
        <f>L1351*COS(RADIANS(K1351))</f>
        <v>-4.7348692430785411</v>
      </c>
      <c r="P1351" s="5">
        <v>2.2498900833270272</v>
      </c>
      <c r="Q1351" s="5">
        <v>1.3275984442853144</v>
      </c>
      <c r="R1351" s="6">
        <f>P1351/Q1351</f>
        <v>1.6947067790051606</v>
      </c>
    </row>
    <row r="1352" spans="1:18" x14ac:dyDescent="0.35">
      <c r="A1352" s="9">
        <v>1353</v>
      </c>
      <c r="B1352" s="5">
        <v>0.25</v>
      </c>
      <c r="C1352" s="5">
        <v>4000000</v>
      </c>
      <c r="D1352" s="5">
        <v>20</v>
      </c>
      <c r="E1352" s="5">
        <v>0.25</v>
      </c>
      <c r="F1352" s="5">
        <v>2.5000000000000001E-2</v>
      </c>
      <c r="G1352" s="12">
        <f>(C1352*$U$4)/($U$5*$U$3)</f>
        <v>58.775510204081627</v>
      </c>
      <c r="H1352" s="11">
        <f>G1352*COS(RADIANS(D1352))</f>
        <v>55.230913221702366</v>
      </c>
      <c r="I1352" s="11">
        <f>G1352*SIN(RADIANS(D1352))</f>
        <v>20.102408424039304</v>
      </c>
      <c r="J1352" s="12">
        <v>0.1913</v>
      </c>
      <c r="K1352" s="11">
        <v>67</v>
      </c>
      <c r="L1352" s="12">
        <f>-(F1352*G1352*$U$3)/J1352</f>
        <v>-7.6810651076949332</v>
      </c>
      <c r="M1352" s="11">
        <f>ABS(L1352/$U$6)</f>
        <v>2.239377582418348E-2</v>
      </c>
      <c r="N1352" s="12">
        <f>L1352*SIN(RADIANS(K1352))</f>
        <v>-7.0704577113173777</v>
      </c>
      <c r="O1352" s="12">
        <f>L1352*COS(RADIANS(K1352))</f>
        <v>-3.0012312375292258</v>
      </c>
      <c r="P1352" s="5">
        <v>2.1477809088713262</v>
      </c>
      <c r="Q1352" s="5">
        <v>0.65450679503486819</v>
      </c>
      <c r="R1352" s="6">
        <f>P1352/Q1352</f>
        <v>3.2815257613282767</v>
      </c>
    </row>
    <row r="1353" spans="1:18" x14ac:dyDescent="0.35">
      <c r="A1353" s="9">
        <v>1354</v>
      </c>
      <c r="B1353" s="5">
        <v>0.25</v>
      </c>
      <c r="C1353" s="5">
        <v>6000000</v>
      </c>
      <c r="D1353" s="5">
        <v>20</v>
      </c>
      <c r="E1353" s="5">
        <v>0.125</v>
      </c>
      <c r="F1353" s="5">
        <v>0.05</v>
      </c>
      <c r="G1353" s="12">
        <f>(C1353*$U$4)/($U$5*$U$3)</f>
        <v>88.16326530612244</v>
      </c>
      <c r="H1353" s="11">
        <f>G1353*COS(RADIANS(D1353))</f>
        <v>82.846369832553549</v>
      </c>
      <c r="I1353" s="11">
        <f>G1353*SIN(RADIANS(D1353))</f>
        <v>30.153612636058952</v>
      </c>
      <c r="J1353" s="11">
        <v>0.19020000000000001</v>
      </c>
      <c r="K1353" s="12">
        <v>46</v>
      </c>
      <c r="L1353" s="12">
        <f>-(F1353*G1353*$U$3)/J1353</f>
        <v>-23.176463014227771</v>
      </c>
      <c r="M1353" s="11">
        <f>ABS(L1353/$U$6)</f>
        <v>6.7569863015241316E-2</v>
      </c>
      <c r="N1353" s="12">
        <f>L1353*SIN(RADIANS(K1353))</f>
        <v>-16.671752277210736</v>
      </c>
      <c r="O1353" s="12">
        <f>L1353*COS(RADIANS(K1353))</f>
        <v>-16.099724030466682</v>
      </c>
      <c r="P1353" s="5">
        <v>2.2940715971690619</v>
      </c>
      <c r="Q1353" s="5">
        <v>0.68507388026552185</v>
      </c>
      <c r="R1353" s="6">
        <f>P1353/Q1353</f>
        <v>3.3486484644253589</v>
      </c>
    </row>
    <row r="1354" spans="1:18" x14ac:dyDescent="0.35">
      <c r="A1354" s="9">
        <v>1355</v>
      </c>
      <c r="B1354" s="5">
        <v>0.5</v>
      </c>
      <c r="C1354" s="5">
        <v>6000000</v>
      </c>
      <c r="D1354" s="5">
        <v>30</v>
      </c>
      <c r="E1354" s="5">
        <v>0.125</v>
      </c>
      <c r="F1354" s="5">
        <v>1.4999999999999999E-2</v>
      </c>
      <c r="G1354" s="12">
        <f>(C1354*$U$4)/($U$5*$U$3)</f>
        <v>88.16326530612244</v>
      </c>
      <c r="H1354" s="11">
        <f>G1354*COS(RADIANS(D1354))</f>
        <v>76.351627435689281</v>
      </c>
      <c r="I1354" s="11">
        <f>G1354*SIN(RADIANS(D1354))</f>
        <v>44.081632653061213</v>
      </c>
      <c r="J1354" s="12">
        <v>0.23300000000000001</v>
      </c>
      <c r="K1354" s="11">
        <v>27</v>
      </c>
      <c r="L1354" s="12">
        <f>-(F1354*G1354*$U$3)/J1354</f>
        <v>-5.6757466935271959</v>
      </c>
      <c r="M1354" s="11">
        <f>ABS(L1354/$U$6)</f>
        <v>1.6547366453432057E-2</v>
      </c>
      <c r="N1354" s="12">
        <f>L1354*SIN(RADIANS(K1354))</f>
        <v>-2.5767350777894915</v>
      </c>
      <c r="O1354" s="12">
        <f>L1354*COS(RADIANS(K1354))</f>
        <v>-5.0571273335732885</v>
      </c>
      <c r="P1354" s="5">
        <v>2.9424272418978239</v>
      </c>
      <c r="Q1354" s="5">
        <v>1.225609593369791</v>
      </c>
      <c r="R1354" s="6">
        <f>P1354/Q1354</f>
        <v>2.4007867250840249</v>
      </c>
    </row>
    <row r="1355" spans="1:18" x14ac:dyDescent="0.35">
      <c r="A1355" s="9">
        <v>1356</v>
      </c>
      <c r="B1355" s="5">
        <v>0.25</v>
      </c>
      <c r="C1355" s="5">
        <v>2000000</v>
      </c>
      <c r="D1355" s="5">
        <v>30</v>
      </c>
      <c r="E1355" s="5">
        <v>0.375</v>
      </c>
      <c r="F1355" s="5">
        <v>3.5000000000000003E-2</v>
      </c>
      <c r="G1355" s="12">
        <f>(C1355*$U$4)/($U$5*$U$3)</f>
        <v>29.387755102040813</v>
      </c>
      <c r="H1355" s="11">
        <f>G1355*COS(RADIANS(D1355))</f>
        <v>25.450542478563094</v>
      </c>
      <c r="I1355" s="11">
        <f>G1355*SIN(RADIANS(D1355))</f>
        <v>14.693877551020405</v>
      </c>
      <c r="J1355" s="11">
        <v>0.1976</v>
      </c>
      <c r="K1355" s="12">
        <v>78</v>
      </c>
      <c r="L1355" s="12">
        <f>-(F1355*G1355*$U$3)/J1355</f>
        <v>-5.2053209947946781</v>
      </c>
      <c r="M1355" s="11">
        <f>ABS(L1355/$U$6)</f>
        <v>1.5175862958585067E-2</v>
      </c>
      <c r="N1355" s="12">
        <f>L1355*SIN(RADIANS(K1355))</f>
        <v>-5.0915722421077207</v>
      </c>
      <c r="O1355" s="12">
        <f>L1355*COS(RADIANS(K1355))</f>
        <v>-1.0822470892769431</v>
      </c>
      <c r="P1355" s="5">
        <v>2.6176976953422053</v>
      </c>
      <c r="Q1355" s="5">
        <v>0.95828248155150775</v>
      </c>
      <c r="R1355" s="6">
        <f>P1355/Q1355</f>
        <v>2.7316555877177473</v>
      </c>
    </row>
    <row r="1356" spans="1:18" x14ac:dyDescent="0.35">
      <c r="A1356" s="9">
        <v>1357</v>
      </c>
      <c r="B1356" s="5">
        <v>1</v>
      </c>
      <c r="C1356" s="5">
        <v>4000000</v>
      </c>
      <c r="D1356" s="5">
        <v>5</v>
      </c>
      <c r="E1356" s="5">
        <v>0.25</v>
      </c>
      <c r="F1356" s="5">
        <v>2.5000000000000001E-2</v>
      </c>
      <c r="G1356" s="12">
        <f>(C1356*$U$4)/($U$5*$U$3)</f>
        <v>58.775510204081627</v>
      </c>
      <c r="H1356" s="11">
        <f>G1356*COS(RADIANS(D1356))</f>
        <v>58.551851642943404</v>
      </c>
      <c r="I1356" s="11">
        <f>G1356*SIN(RADIANS(D1356))</f>
        <v>5.1226232472092956</v>
      </c>
      <c r="J1356" s="13">
        <v>0.33379999999999999</v>
      </c>
      <c r="K1356" s="12">
        <v>30</v>
      </c>
      <c r="L1356" s="12">
        <f>-(F1356*G1356*$U$3)/J1356</f>
        <v>-4.4020004646556048</v>
      </c>
      <c r="M1356" s="11">
        <f>ABS(L1356/$U$6)</f>
        <v>1.283382059666357E-2</v>
      </c>
      <c r="N1356" s="12">
        <f>L1356*SIN(RADIANS(K1356))</f>
        <v>-2.201000232327802</v>
      </c>
      <c r="O1356" s="12">
        <f>L1356*COS(RADIANS(K1356))</f>
        <v>-3.8122442298626571</v>
      </c>
      <c r="P1356" s="5">
        <v>4.5412919619711056</v>
      </c>
      <c r="Q1356" s="5">
        <v>7.6368102907027502E-2</v>
      </c>
      <c r="R1356" s="6">
        <f>P1356/Q1356</f>
        <v>59.465821319403361</v>
      </c>
    </row>
    <row r="1357" spans="1:18" x14ac:dyDescent="0.35">
      <c r="A1357" s="9">
        <v>1358</v>
      </c>
      <c r="B1357" s="5">
        <v>0.1</v>
      </c>
      <c r="C1357" s="5">
        <v>6000000</v>
      </c>
      <c r="D1357" s="5">
        <v>15</v>
      </c>
      <c r="E1357" s="5">
        <v>0.375</v>
      </c>
      <c r="F1357" s="5">
        <v>0</v>
      </c>
      <c r="G1357" s="12">
        <f>(C1357*$U$4)/($U$5*$U$3)</f>
        <v>88.16326530612244</v>
      </c>
      <c r="H1357" s="11">
        <f>G1357*COS(RADIANS(D1357))</f>
        <v>85.159174889158663</v>
      </c>
      <c r="I1357" s="11">
        <f>G1357*SIN(RADIANS(D1357))</f>
        <v>22.818332139650806</v>
      </c>
      <c r="J1357" s="12">
        <v>0.16789999999999999</v>
      </c>
      <c r="K1357" s="11">
        <v>85</v>
      </c>
      <c r="L1357" s="12">
        <f>-(F1357*G1357*$U$3)/J1357</f>
        <v>0</v>
      </c>
      <c r="M1357" s="11">
        <f>ABS(L1357/$U$6)</f>
        <v>0</v>
      </c>
      <c r="N1357" s="12">
        <f>L1357*SIN(RADIANS(K1357))</f>
        <v>0</v>
      </c>
      <c r="O1357" s="12">
        <f>L1357*COS(RADIANS(K1357))</f>
        <v>0</v>
      </c>
      <c r="P1357" s="5">
        <v>1.7670129740884013</v>
      </c>
      <c r="Q1357" s="5">
        <v>0.72091516957909985</v>
      </c>
      <c r="R1357" s="6">
        <f>P1357/Q1357</f>
        <v>2.4510692084896157</v>
      </c>
    </row>
    <row r="1358" spans="1:18" x14ac:dyDescent="0.35">
      <c r="A1358" s="9">
        <v>1359</v>
      </c>
      <c r="B1358" s="5">
        <v>0.75</v>
      </c>
      <c r="C1358" s="5">
        <v>4000000</v>
      </c>
      <c r="D1358" s="5">
        <v>20</v>
      </c>
      <c r="E1358" s="5">
        <v>0.125</v>
      </c>
      <c r="F1358" s="5">
        <v>7.4999999999999997E-2</v>
      </c>
      <c r="G1358" s="12">
        <f>(C1358*$U$4)/($U$5*$U$3)</f>
        <v>58.775510204081627</v>
      </c>
      <c r="H1358" s="11">
        <f>G1358*COS(RADIANS(D1358))</f>
        <v>55.230913221702366</v>
      </c>
      <c r="I1358" s="11">
        <f>G1358*SIN(RADIANS(D1358))</f>
        <v>20.102408424039304</v>
      </c>
      <c r="J1358" s="12">
        <v>0.2802</v>
      </c>
      <c r="K1358" s="12">
        <v>19</v>
      </c>
      <c r="L1358" s="12">
        <f>-(F1358*G1358*$U$3)/J1358</f>
        <v>-15.732202945417994</v>
      </c>
      <c r="M1358" s="11">
        <f>ABS(L1358/$U$6)</f>
        <v>4.5866480890431466E-2</v>
      </c>
      <c r="N1358" s="12">
        <f>L1358*SIN(RADIANS(K1358))</f>
        <v>-5.1219042784851814</v>
      </c>
      <c r="O1358" s="12">
        <f>L1358*COS(RADIANS(K1358))</f>
        <v>-14.875090119990999</v>
      </c>
      <c r="P1358" s="5">
        <v>6.1327463759837482</v>
      </c>
      <c r="Q1358" s="5">
        <v>1.0197335442818325</v>
      </c>
      <c r="R1358" s="6">
        <f>P1358/Q1358</f>
        <v>6.0140675084910109</v>
      </c>
    </row>
    <row r="1359" spans="1:18" x14ac:dyDescent="0.35">
      <c r="A1359" s="9">
        <v>1360</v>
      </c>
      <c r="B1359" s="5">
        <v>0.5</v>
      </c>
      <c r="C1359" s="5">
        <v>2000000</v>
      </c>
      <c r="D1359" s="5">
        <v>10</v>
      </c>
      <c r="E1359" s="5">
        <v>0.25</v>
      </c>
      <c r="F1359" s="5">
        <v>0.1</v>
      </c>
      <c r="G1359" s="12">
        <f>(C1359*$U$4)/($U$5*$U$3)</f>
        <v>29.387755102040813</v>
      </c>
      <c r="H1359" s="11">
        <f>G1359*COS(RADIANS(D1359))</f>
        <v>28.941289068113864</v>
      </c>
      <c r="I1359" s="11">
        <f>G1359*SIN(RADIANS(D1359))</f>
        <v>5.1031301191914213</v>
      </c>
      <c r="J1359" s="11">
        <v>0.23580000000000001</v>
      </c>
      <c r="K1359" s="11">
        <v>49</v>
      </c>
      <c r="L1359" s="12">
        <f>-(F1359*G1359*$U$3)/J1359</f>
        <v>-12.463000467362516</v>
      </c>
      <c r="M1359" s="11">
        <f>ABS(L1359/$U$6)</f>
        <v>3.6335278330502964E-2</v>
      </c>
      <c r="N1359" s="12">
        <f>L1359*SIN(RADIANS(K1359))</f>
        <v>-9.405945851039375</v>
      </c>
      <c r="O1359" s="12">
        <f>L1359*COS(RADIANS(K1359))</f>
        <v>-8.1764639849260909</v>
      </c>
      <c r="P1359" s="5">
        <v>4.9907434985702448</v>
      </c>
      <c r="Q1359" s="5">
        <v>0.2355021207921095</v>
      </c>
      <c r="R1359" s="6">
        <f>P1359/Q1359</f>
        <v>21.191925923146336</v>
      </c>
    </row>
    <row r="1360" spans="1:18" x14ac:dyDescent="0.35">
      <c r="A1360" s="9">
        <v>1361</v>
      </c>
      <c r="B1360" s="5">
        <v>0.1</v>
      </c>
      <c r="C1360" s="5">
        <v>2000000</v>
      </c>
      <c r="D1360" s="5">
        <v>10</v>
      </c>
      <c r="E1360" s="5">
        <v>0</v>
      </c>
      <c r="F1360" s="5">
        <v>2.5000000000000001E-2</v>
      </c>
      <c r="G1360" s="12">
        <f>(C1360*$U$4)/($U$5*$U$3)</f>
        <v>29.387755102040813</v>
      </c>
      <c r="H1360" s="11">
        <f>G1360*COS(RADIANS(D1360))</f>
        <v>28.941289068113864</v>
      </c>
      <c r="I1360" s="11">
        <f>G1360*SIN(RADIANS(D1360))</f>
        <v>5.1031301191914213</v>
      </c>
      <c r="J1360" s="11">
        <v>0.16569999999999999</v>
      </c>
      <c r="K1360" s="12">
        <v>0</v>
      </c>
      <c r="L1360" s="12">
        <f>-(F1360*G1360*$U$3)/J1360</f>
        <v>-4.4338797679602919</v>
      </c>
      <c r="M1360" s="11">
        <f>ABS(L1360/$U$6)</f>
        <v>1.2926763171895894E-2</v>
      </c>
      <c r="N1360" s="12">
        <f>L1360*SIN(RADIANS(K1360))</f>
        <v>0</v>
      </c>
      <c r="O1360" s="12">
        <f>L1360*COS(RADIANS(K1360))</f>
        <v>-4.4338797679602919</v>
      </c>
      <c r="P1360" s="5">
        <v>1.2952561032510561</v>
      </c>
      <c r="Q1360" s="5">
        <v>0.40643282750061366</v>
      </c>
      <c r="R1360" s="6">
        <f>P1360/Q1360</f>
        <v>3.186888498196176</v>
      </c>
    </row>
    <row r="1361" spans="1:18" x14ac:dyDescent="0.35">
      <c r="A1361" s="9">
        <v>1362</v>
      </c>
      <c r="B1361" s="5">
        <v>0.5</v>
      </c>
      <c r="C1361" s="5">
        <v>6000000</v>
      </c>
      <c r="D1361" s="5">
        <v>20</v>
      </c>
      <c r="E1361" s="5">
        <v>0.375</v>
      </c>
      <c r="F1361" s="5">
        <v>0.05</v>
      </c>
      <c r="G1361" s="12">
        <f>(C1361*$U$4)/($U$5*$U$3)</f>
        <v>88.16326530612244</v>
      </c>
      <c r="H1361" s="11">
        <f>G1361*COS(RADIANS(D1361))</f>
        <v>82.846369832553549</v>
      </c>
      <c r="I1361" s="11">
        <f>G1361*SIN(RADIANS(D1361))</f>
        <v>30.153612636058952</v>
      </c>
      <c r="J1361" s="12">
        <v>0.24809999999999999</v>
      </c>
      <c r="K1361" s="12">
        <v>67</v>
      </c>
      <c r="L1361" s="12">
        <f>-(F1361*G1361*$U$3)/J1361</f>
        <v>-17.767687486118994</v>
      </c>
      <c r="M1361" s="11">
        <f>ABS(L1361/$U$6)</f>
        <v>5.1800838151950419E-2</v>
      </c>
      <c r="N1361" s="12">
        <f>L1361*SIN(RADIANS(K1361))</f>
        <v>-16.355242565598722</v>
      </c>
      <c r="O1361" s="12">
        <f>L1361*COS(RADIANS(K1361))</f>
        <v>-6.9423885820960214</v>
      </c>
      <c r="P1361" s="5">
        <v>3.8034052832124146</v>
      </c>
      <c r="Q1361" s="5">
        <v>0.64744529807427553</v>
      </c>
      <c r="R1361" s="6">
        <f>P1361/Q1361</f>
        <v>5.8744812797699621</v>
      </c>
    </row>
    <row r="1362" spans="1:18" x14ac:dyDescent="0.35">
      <c r="A1362" s="9">
        <v>1363</v>
      </c>
      <c r="B1362" s="5">
        <v>0.75</v>
      </c>
      <c r="C1362" s="5">
        <v>6000000</v>
      </c>
      <c r="D1362" s="5">
        <v>20</v>
      </c>
      <c r="E1362" s="5">
        <v>0.25</v>
      </c>
      <c r="F1362" s="5">
        <v>1.4999999999999999E-2</v>
      </c>
      <c r="G1362" s="12">
        <f>(C1362*$U$4)/($U$5*$U$3)</f>
        <v>88.16326530612244</v>
      </c>
      <c r="H1362" s="11">
        <f>G1362*COS(RADIANS(D1362))</f>
        <v>82.846369832553549</v>
      </c>
      <c r="I1362" s="11">
        <f>G1362*SIN(RADIANS(D1362))</f>
        <v>30.153612636058952</v>
      </c>
      <c r="J1362" s="12">
        <v>0.28370000000000001</v>
      </c>
      <c r="K1362" s="11">
        <v>38</v>
      </c>
      <c r="L1362" s="12">
        <f>-(F1362*G1362*$U$3)/J1362</f>
        <v>-4.6614345420931853</v>
      </c>
      <c r="M1362" s="11">
        <f>ABS(L1362/$U$6)</f>
        <v>1.3590188169367887E-2</v>
      </c>
      <c r="N1362" s="12">
        <f>L1362*SIN(RADIANS(K1362))</f>
        <v>-2.869865667319075</v>
      </c>
      <c r="O1362" s="12">
        <f>L1362*COS(RADIANS(K1362))</f>
        <v>-3.6732605464032555</v>
      </c>
      <c r="P1362" s="5">
        <v>4.4499213852939681</v>
      </c>
      <c r="Q1362" s="5">
        <v>0.8704847602575212</v>
      </c>
      <c r="R1362" s="6">
        <f>P1362/Q1362</f>
        <v>5.1120037804883784</v>
      </c>
    </row>
    <row r="1363" spans="1:18" x14ac:dyDescent="0.35">
      <c r="A1363" s="9">
        <v>1364</v>
      </c>
      <c r="B1363" s="5">
        <v>0.5</v>
      </c>
      <c r="C1363" s="5">
        <v>6000000</v>
      </c>
      <c r="D1363" s="5">
        <v>20</v>
      </c>
      <c r="E1363" s="5">
        <v>0</v>
      </c>
      <c r="F1363" s="5">
        <v>1.4999999999999999E-2</v>
      </c>
      <c r="G1363" s="12">
        <f>(C1363*$U$4)/($U$5*$U$3)</f>
        <v>88.16326530612244</v>
      </c>
      <c r="H1363" s="11">
        <f>G1363*COS(RADIANS(D1363))</f>
        <v>82.846369832553549</v>
      </c>
      <c r="I1363" s="11">
        <f>G1363*SIN(RADIANS(D1363))</f>
        <v>30.153612636058952</v>
      </c>
      <c r="J1363" s="12">
        <v>0.23230000000000001</v>
      </c>
      <c r="K1363" s="12">
        <v>0</v>
      </c>
      <c r="L1363" s="12">
        <f>-(F1363*G1363*$U$3)/J1363</f>
        <v>-5.6928496753845739</v>
      </c>
      <c r="M1363" s="11">
        <f>ABS(L1363/$U$6)</f>
        <v>1.6597229374299048E-2</v>
      </c>
      <c r="N1363" s="12">
        <f>L1363*SIN(RADIANS(K1363))</f>
        <v>0</v>
      </c>
      <c r="O1363" s="12">
        <f>L1363*COS(RADIANS(K1363))</f>
        <v>-5.6928496753845739</v>
      </c>
      <c r="P1363" s="5">
        <v>2.6657609269970117</v>
      </c>
      <c r="Q1363" s="5">
        <v>0.98939367854037208</v>
      </c>
      <c r="R1363" s="6">
        <f>P1363/Q1363</f>
        <v>2.6943379413235617</v>
      </c>
    </row>
    <row r="1364" spans="1:18" x14ac:dyDescent="0.35">
      <c r="A1364" s="9">
        <v>2189</v>
      </c>
      <c r="B1364" s="5">
        <v>0.25</v>
      </c>
      <c r="C1364" s="5">
        <v>6000000</v>
      </c>
      <c r="D1364" s="5">
        <v>5</v>
      </c>
      <c r="E1364" s="5">
        <v>0.375</v>
      </c>
      <c r="F1364" s="5">
        <v>0.1</v>
      </c>
      <c r="G1364" s="12">
        <f>(C1364*$U$4)/($U$5*$U$3)</f>
        <v>88.16326530612244</v>
      </c>
      <c r="H1364" s="11">
        <f>G1364*COS(RADIANS(D1364))</f>
        <v>87.827777464415107</v>
      </c>
      <c r="I1364" s="11">
        <f>G1364*SIN(RADIANS(D1364))</f>
        <v>7.6839348708139434</v>
      </c>
      <c r="J1364" s="11">
        <v>0.1976</v>
      </c>
      <c r="K1364" s="12">
        <v>78</v>
      </c>
      <c r="L1364" s="12">
        <f>-(F1364*G1364*$U$3)/J1364</f>
        <v>-44.617037098240104</v>
      </c>
      <c r="M1364" s="11">
        <f>ABS(L1364/$U$6)</f>
        <v>0.1300788253593006</v>
      </c>
      <c r="N1364" s="12">
        <f>L1364*SIN(RADIANS(K1364))</f>
        <v>-43.642047789494754</v>
      </c>
      <c r="O1364" s="12">
        <f>L1364*COS(RADIANS(K1364))</f>
        <v>-9.2764036223738007</v>
      </c>
      <c r="P1364" s="5">
        <v>2.5477757139843331</v>
      </c>
      <c r="Q1364" s="5">
        <v>0.10320678691245062</v>
      </c>
      <c r="R1364" s="6">
        <f>P1364/Q1364</f>
        <v>24.686125691962371</v>
      </c>
    </row>
    <row r="1365" spans="1:18" x14ac:dyDescent="0.35">
      <c r="A1365" s="9">
        <v>2277</v>
      </c>
      <c r="B1365" s="5">
        <v>0.25</v>
      </c>
      <c r="C1365" s="5">
        <v>4000000</v>
      </c>
      <c r="D1365" s="5">
        <v>15</v>
      </c>
      <c r="E1365" s="5">
        <v>0.375</v>
      </c>
      <c r="F1365" s="5">
        <v>0.15</v>
      </c>
      <c r="G1365" s="12">
        <f>(C1365*$U$4)/($U$5*$U$3)</f>
        <v>58.775510204081627</v>
      </c>
      <c r="H1365" s="11">
        <f>G1365*COS(RADIANS(D1365))</f>
        <v>56.772783259439109</v>
      </c>
      <c r="I1365" s="11">
        <f>G1365*SIN(RADIANS(D1365))</f>
        <v>15.212221426433871</v>
      </c>
      <c r="J1365" s="20">
        <v>0.1976</v>
      </c>
      <c r="K1365" s="12">
        <v>78</v>
      </c>
      <c r="L1365" s="12">
        <f>-(F1365*G1365*$U$3)/J1365</f>
        <v>-44.617037098240104</v>
      </c>
      <c r="M1365" s="11">
        <f>ABS(L1365/$U$6)</f>
        <v>0.1300788253593006</v>
      </c>
      <c r="N1365" s="12">
        <f>L1365*SIN(RADIANS(K1365))</f>
        <v>-43.642047789494754</v>
      </c>
      <c r="O1365" s="12">
        <f>L1365*COS(RADIANS(K1365))</f>
        <v>-9.2764036223738007</v>
      </c>
      <c r="P1365" s="5">
        <v>3.0184406799733723</v>
      </c>
      <c r="Q1365" s="5">
        <v>0.52488326944731734</v>
      </c>
      <c r="R1365" s="6">
        <f>P1365/Q1365</f>
        <v>5.7506894497736205</v>
      </c>
    </row>
    <row r="1366" spans="1:18" x14ac:dyDescent="0.35">
      <c r="A1366" s="9">
        <v>1367</v>
      </c>
      <c r="B1366" s="5">
        <v>1</v>
      </c>
      <c r="C1366" s="5">
        <v>2000000</v>
      </c>
      <c r="D1366" s="5">
        <v>20</v>
      </c>
      <c r="E1366" s="5">
        <v>0</v>
      </c>
      <c r="F1366" s="5">
        <v>0.15</v>
      </c>
      <c r="G1366" s="12">
        <f>(C1366*$U$4)/($U$5*$U$3)</f>
        <v>29.387755102040813</v>
      </c>
      <c r="H1366" s="11">
        <f>G1366*COS(RADIANS(D1366))</f>
        <v>27.615456610851183</v>
      </c>
      <c r="I1366" s="11">
        <f>G1366*SIN(RADIANS(D1366))</f>
        <v>10.051204212019652</v>
      </c>
      <c r="J1366" s="11">
        <v>0.33379999999999999</v>
      </c>
      <c r="K1366" s="12">
        <v>0</v>
      </c>
      <c r="L1366" s="12">
        <f>-(F1366*G1366*$U$3)/J1366</f>
        <v>-13.206001393966813</v>
      </c>
      <c r="M1366" s="11">
        <f>ABS(L1366/$U$6)</f>
        <v>3.8501461789990712E-2</v>
      </c>
      <c r="N1366" s="12">
        <f>L1366*SIN(RADIANS(K1366))</f>
        <v>0</v>
      </c>
      <c r="O1366" s="12">
        <f>L1366*COS(RADIANS(K1366))</f>
        <v>-13.206001393966813</v>
      </c>
      <c r="P1366" s="5">
        <v>1.8140387038593144</v>
      </c>
      <c r="Q1366" s="5">
        <v>1.3923671765633778</v>
      </c>
      <c r="R1366" s="6">
        <f>P1366/Q1366</f>
        <v>1.3028450644295571</v>
      </c>
    </row>
    <row r="1367" spans="1:18" x14ac:dyDescent="0.35">
      <c r="A1367" s="9">
        <v>1368</v>
      </c>
      <c r="B1367" s="5">
        <v>0.75</v>
      </c>
      <c r="C1367" s="5">
        <v>2000000</v>
      </c>
      <c r="D1367" s="5">
        <v>5</v>
      </c>
      <c r="E1367" s="5">
        <v>0.25</v>
      </c>
      <c r="F1367" s="5">
        <v>0.05</v>
      </c>
      <c r="G1367" s="12">
        <f>(C1367*$U$4)/($U$5*$U$3)</f>
        <v>29.387755102040813</v>
      </c>
      <c r="H1367" s="11">
        <f>G1367*COS(RADIANS(D1367))</f>
        <v>29.275925821471702</v>
      </c>
      <c r="I1367" s="11">
        <f>G1367*SIN(RADIANS(D1367))</f>
        <v>2.5613116236046478</v>
      </c>
      <c r="J1367" s="12">
        <v>0.28370000000000001</v>
      </c>
      <c r="K1367" s="11">
        <v>38</v>
      </c>
      <c r="L1367" s="12">
        <f>-(F1367*G1367*$U$3)/J1367</f>
        <v>-5.179371713436872</v>
      </c>
      <c r="M1367" s="11">
        <f>ABS(L1367/$U$6)</f>
        <v>1.5100209077075429E-2</v>
      </c>
      <c r="N1367" s="12">
        <f>L1367*SIN(RADIANS(K1367))</f>
        <v>-3.1887396303545272</v>
      </c>
      <c r="O1367" s="12">
        <f>L1367*COS(RADIANS(K1367))</f>
        <v>-4.0814006071147277</v>
      </c>
      <c r="P1367" s="5">
        <v>3.0875395925877442</v>
      </c>
      <c r="Q1367" s="5">
        <v>0.47289941452279322</v>
      </c>
      <c r="R1367" s="6">
        <f>P1367/Q1367</f>
        <v>6.528956259553433</v>
      </c>
    </row>
    <row r="1368" spans="1:18" x14ac:dyDescent="0.35">
      <c r="A1368" s="9">
        <v>1369</v>
      </c>
      <c r="B1368" s="5">
        <v>1</v>
      </c>
      <c r="C1368" s="5">
        <v>6000000</v>
      </c>
      <c r="D1368" s="5">
        <v>15</v>
      </c>
      <c r="E1368" s="5">
        <v>0.25</v>
      </c>
      <c r="F1368" s="5">
        <v>0.1</v>
      </c>
      <c r="G1368" s="12">
        <f>(C1368*$U$4)/($U$5*$U$3)</f>
        <v>88.16326530612244</v>
      </c>
      <c r="H1368" s="11">
        <f>G1368*COS(RADIANS(D1368))</f>
        <v>85.159174889158663</v>
      </c>
      <c r="I1368" s="11">
        <f>G1368*SIN(RADIANS(D1368))</f>
        <v>22.818332139650806</v>
      </c>
      <c r="J1368" s="13">
        <v>0.33379999999999999</v>
      </c>
      <c r="K1368" s="12">
        <v>30</v>
      </c>
      <c r="L1368" s="12">
        <f>-(F1368*G1368*$U$3)/J1368</f>
        <v>-26.412002787933627</v>
      </c>
      <c r="M1368" s="11">
        <f>ABS(L1368/$U$6)</f>
        <v>7.7002923579981425E-2</v>
      </c>
      <c r="N1368" s="12">
        <f>L1368*SIN(RADIANS(K1368))</f>
        <v>-13.206001393966812</v>
      </c>
      <c r="O1368" s="12">
        <f>L1368*COS(RADIANS(K1368))</f>
        <v>-22.87346537917594</v>
      </c>
      <c r="P1368" s="5">
        <v>9.5989182715540053</v>
      </c>
      <c r="Q1368" s="5">
        <v>-0.10331586940629799</v>
      </c>
      <c r="R1368" s="6">
        <f>P1368/Q1368</f>
        <v>-92.908459530118122</v>
      </c>
    </row>
    <row r="1369" spans="1:18" x14ac:dyDescent="0.35">
      <c r="A1369" s="9">
        <v>1370</v>
      </c>
      <c r="B1369" s="5">
        <v>0.75</v>
      </c>
      <c r="C1369" s="5">
        <v>2000000</v>
      </c>
      <c r="D1369" s="5">
        <v>15</v>
      </c>
      <c r="E1369" s="5">
        <v>0.375</v>
      </c>
      <c r="F1369" s="5">
        <v>7.4999999999999997E-2</v>
      </c>
      <c r="G1369" s="12">
        <f>(C1369*$U$4)/($U$5*$U$3)</f>
        <v>29.387755102040813</v>
      </c>
      <c r="H1369" s="11">
        <f>G1369*COS(RADIANS(D1369))</f>
        <v>28.386391629719554</v>
      </c>
      <c r="I1369" s="11">
        <f>G1369*SIN(RADIANS(D1369))</f>
        <v>7.6061107132169354</v>
      </c>
      <c r="J1369" s="11">
        <v>0.29299999999999998</v>
      </c>
      <c r="K1369" s="12">
        <v>57</v>
      </c>
      <c r="L1369" s="12">
        <f>-(F1369*G1369*$U$3)/J1369</f>
        <v>-7.5224629100787066</v>
      </c>
      <c r="M1369" s="11">
        <f>ABS(L1369/$U$6)</f>
        <v>2.1931378746585149E-2</v>
      </c>
      <c r="N1369" s="12">
        <f>L1369*SIN(RADIANS(K1369))</f>
        <v>-6.3088682411440962</v>
      </c>
      <c r="O1369" s="12">
        <f>L1369*COS(RADIANS(K1369))</f>
        <v>-4.0970269402815989</v>
      </c>
      <c r="P1369" s="5">
        <v>5.1205237254435438</v>
      </c>
      <c r="Q1369" s="5">
        <v>0.31857684993947338</v>
      </c>
      <c r="R1369" s="6">
        <f>P1369/Q1369</f>
        <v>16.073119331854762</v>
      </c>
    </row>
    <row r="1370" spans="1:18" x14ac:dyDescent="0.35">
      <c r="A1370" s="9">
        <v>298</v>
      </c>
      <c r="B1370" s="5">
        <v>0.1</v>
      </c>
      <c r="C1370" s="5">
        <v>6000000</v>
      </c>
      <c r="D1370" s="5">
        <v>5</v>
      </c>
      <c r="E1370" s="5">
        <v>0</v>
      </c>
      <c r="F1370" s="5">
        <v>7.4999999999999997E-2</v>
      </c>
      <c r="G1370" s="12">
        <f>(C1370*$U$4)/($U$5*$U$3)</f>
        <v>88.16326530612244</v>
      </c>
      <c r="H1370" s="11">
        <f>G1370*COS(RADIANS(D1370))</f>
        <v>87.827777464415107</v>
      </c>
      <c r="I1370" s="11">
        <f>G1370*SIN(RADIANS(D1370))</f>
        <v>7.6839348708139434</v>
      </c>
      <c r="J1370" s="20">
        <v>0.16569999999999999</v>
      </c>
      <c r="K1370" s="12">
        <v>0</v>
      </c>
      <c r="L1370" s="12">
        <f>-(F1370*G1370*$U$3)/J1370</f>
        <v>-39.904917911642627</v>
      </c>
      <c r="M1370" s="11">
        <f>ABS(L1370/$U$6)</f>
        <v>0.11634086854706305</v>
      </c>
      <c r="N1370" s="12">
        <f>L1370*SIN(RADIANS(K1370))</f>
        <v>0</v>
      </c>
      <c r="O1370" s="12">
        <f>L1370*COS(RADIANS(K1370))</f>
        <v>-39.904917911642627</v>
      </c>
      <c r="P1370" s="5">
        <v>1.4006823160999013</v>
      </c>
      <c r="Q1370" s="5">
        <v>0.29625252163422749</v>
      </c>
      <c r="R1370" s="6">
        <f>P1370/Q1370</f>
        <v>4.7280013293161911</v>
      </c>
    </row>
    <row r="1371" spans="1:18" x14ac:dyDescent="0.35">
      <c r="A1371" s="9">
        <v>1372</v>
      </c>
      <c r="B1371" s="5">
        <v>0.25</v>
      </c>
      <c r="C1371" s="5">
        <v>2000000</v>
      </c>
      <c r="D1371" s="5">
        <v>20</v>
      </c>
      <c r="E1371" s="5">
        <v>0</v>
      </c>
      <c r="F1371" s="5">
        <v>3.5000000000000003E-2</v>
      </c>
      <c r="G1371" s="12">
        <f>(C1371*$U$4)/($U$5*$U$3)</f>
        <v>29.387755102040813</v>
      </c>
      <c r="H1371" s="11">
        <f>G1371*COS(RADIANS(D1371))</f>
        <v>27.615456610851183</v>
      </c>
      <c r="I1371" s="11">
        <f>G1371*SIN(RADIANS(D1371))</f>
        <v>10.051204212019652</v>
      </c>
      <c r="J1371" s="12">
        <v>0.18990000000000001</v>
      </c>
      <c r="K1371" s="12">
        <v>0</v>
      </c>
      <c r="L1371" s="12">
        <f>-(F1371*G1371*$U$3)/J1371</f>
        <v>-5.4163845633039935</v>
      </c>
      <c r="M1371" s="11">
        <f>ABS(L1371/$U$6)</f>
        <v>1.5791208639370245E-2</v>
      </c>
      <c r="N1371" s="12">
        <f>L1371*SIN(RADIANS(K1371))</f>
        <v>0</v>
      </c>
      <c r="O1371" s="12">
        <f>L1371*COS(RADIANS(K1371))</f>
        <v>-5.4163845633039935</v>
      </c>
      <c r="P1371" s="5">
        <v>2.1672359345001042</v>
      </c>
      <c r="Q1371" s="5">
        <v>0.64962370876661968</v>
      </c>
      <c r="R1371" s="6">
        <f>P1371/Q1371</f>
        <v>3.3361404537017809</v>
      </c>
    </row>
    <row r="1372" spans="1:18" x14ac:dyDescent="0.35">
      <c r="A1372" s="9">
        <v>1373</v>
      </c>
      <c r="B1372" s="5">
        <v>1</v>
      </c>
      <c r="C1372" s="5">
        <v>4000000</v>
      </c>
      <c r="D1372" s="5">
        <v>20</v>
      </c>
      <c r="E1372" s="5">
        <v>0.375</v>
      </c>
      <c r="F1372" s="5">
        <v>0.05</v>
      </c>
      <c r="G1372" s="12">
        <f>(C1372*$U$4)/($U$5*$U$3)</f>
        <v>58.775510204081627</v>
      </c>
      <c r="H1372" s="11">
        <f>G1372*COS(RADIANS(D1372))</f>
        <v>55.230913221702366</v>
      </c>
      <c r="I1372" s="11">
        <f>G1372*SIN(RADIANS(D1372))</f>
        <v>20.102408424039304</v>
      </c>
      <c r="J1372" s="12">
        <v>0.33379999999999999</v>
      </c>
      <c r="K1372" s="11">
        <v>49</v>
      </c>
      <c r="L1372" s="12">
        <f>-(F1372*G1372*$U$3)/J1372</f>
        <v>-8.8040009293112096</v>
      </c>
      <c r="M1372" s="11">
        <f>ABS(L1372/$U$6)</f>
        <v>2.566764119332714E-2</v>
      </c>
      <c r="N1372" s="12">
        <f>L1372*SIN(RADIANS(K1372))</f>
        <v>-6.6444638456413578</v>
      </c>
      <c r="O1372" s="12">
        <f>L1372*COS(RADIANS(K1372))</f>
        <v>-5.7759443009154356</v>
      </c>
      <c r="P1372" s="5">
        <v>5.3995505035222298</v>
      </c>
      <c r="Q1372" s="5">
        <v>0.75827385742428333</v>
      </c>
      <c r="R1372" s="6">
        <f>P1372/Q1372</f>
        <v>7.1208448644972524</v>
      </c>
    </row>
    <row r="1373" spans="1:18" x14ac:dyDescent="0.35">
      <c r="A1373" s="9">
        <v>1374</v>
      </c>
      <c r="B1373" s="5">
        <v>0.25</v>
      </c>
      <c r="C1373" s="5">
        <v>4000000</v>
      </c>
      <c r="D1373" s="5">
        <v>10</v>
      </c>
      <c r="E1373" s="5">
        <v>0.25</v>
      </c>
      <c r="F1373" s="5">
        <v>3.5000000000000003E-2</v>
      </c>
      <c r="G1373" s="12">
        <f>(C1373*$U$4)/($U$5*$U$3)</f>
        <v>58.775510204081627</v>
      </c>
      <c r="H1373" s="11">
        <f>G1373*COS(RADIANS(D1373))</f>
        <v>57.882578136227728</v>
      </c>
      <c r="I1373" s="11">
        <f>G1373*SIN(RADIANS(D1373))</f>
        <v>10.206260238382843</v>
      </c>
      <c r="J1373" s="12">
        <v>0.1913</v>
      </c>
      <c r="K1373" s="11">
        <v>67</v>
      </c>
      <c r="L1373" s="12">
        <f>-(F1373*G1373*$U$3)/J1373</f>
        <v>-10.753491150772906</v>
      </c>
      <c r="M1373" s="11">
        <f>ABS(L1373/$U$6)</f>
        <v>3.1351286153856871E-2</v>
      </c>
      <c r="N1373" s="12">
        <f>L1373*SIN(RADIANS(K1373))</f>
        <v>-9.8986407958443277</v>
      </c>
      <c r="O1373" s="12">
        <f>L1373*COS(RADIANS(K1373))</f>
        <v>-4.2017237325409162</v>
      </c>
      <c r="P1373" s="5">
        <v>2.1430313298437418</v>
      </c>
      <c r="Q1373" s="5">
        <v>0.3940029031790509</v>
      </c>
      <c r="R1373" s="6">
        <f>P1373/Q1373</f>
        <v>5.4391257337255237</v>
      </c>
    </row>
    <row r="1374" spans="1:18" x14ac:dyDescent="0.35">
      <c r="A1374" s="9">
        <v>1375</v>
      </c>
      <c r="B1374" s="5">
        <v>0.75</v>
      </c>
      <c r="C1374" s="5">
        <v>6000000</v>
      </c>
      <c r="D1374" s="5">
        <v>15</v>
      </c>
      <c r="E1374" s="5">
        <v>0</v>
      </c>
      <c r="F1374" s="5">
        <v>0.05</v>
      </c>
      <c r="G1374" s="12">
        <f>(C1374*$U$4)/($U$5*$U$3)</f>
        <v>88.16326530612244</v>
      </c>
      <c r="H1374" s="11">
        <f>G1374*COS(RADIANS(D1374))</f>
        <v>85.159174889158663</v>
      </c>
      <c r="I1374" s="11">
        <f>G1374*SIN(RADIANS(D1374))</f>
        <v>22.818332139650806</v>
      </c>
      <c r="J1374" s="11">
        <v>0.27929999999999999</v>
      </c>
      <c r="K1374" s="12">
        <v>0</v>
      </c>
      <c r="L1374" s="12">
        <f>-(F1374*G1374*$U$3)/J1374</f>
        <v>-15.782897476928472</v>
      </c>
      <c r="M1374" s="11">
        <f>ABS(L1374/$U$6)</f>
        <v>4.6014278358392044E-2</v>
      </c>
      <c r="N1374" s="12">
        <f>L1374*SIN(RADIANS(K1374))</f>
        <v>0</v>
      </c>
      <c r="O1374" s="12">
        <f>L1374*COS(RADIANS(K1374))</f>
        <v>-15.782897476928472</v>
      </c>
      <c r="P1374" s="5">
        <v>4.0085805132865913</v>
      </c>
      <c r="Q1374" s="5">
        <v>1.0442947434221619</v>
      </c>
      <c r="R1374" s="6">
        <f>P1374/Q1374</f>
        <v>3.8385528018176576</v>
      </c>
    </row>
    <row r="1375" spans="1:18" x14ac:dyDescent="0.35">
      <c r="A1375" s="9">
        <v>1376</v>
      </c>
      <c r="B1375" s="5">
        <v>0.1</v>
      </c>
      <c r="C1375" s="5">
        <v>2000000</v>
      </c>
      <c r="D1375" s="5">
        <v>10</v>
      </c>
      <c r="E1375" s="5">
        <v>0.25</v>
      </c>
      <c r="F1375" s="5">
        <v>1.4999999999999999E-2</v>
      </c>
      <c r="G1375" s="12">
        <f>(C1375*$U$4)/($U$5*$U$3)</f>
        <v>29.387755102040813</v>
      </c>
      <c r="H1375" s="11">
        <f>G1375*COS(RADIANS(D1375))</f>
        <v>28.941289068113864</v>
      </c>
      <c r="I1375" s="11">
        <f>G1375*SIN(RADIANS(D1375))</f>
        <v>5.1031301191914213</v>
      </c>
      <c r="J1375" s="11">
        <v>0.1661</v>
      </c>
      <c r="K1375" s="12">
        <v>80</v>
      </c>
      <c r="L1375" s="12">
        <f>-(F1375*G1375*$U$3)/J1375</f>
        <v>-2.6539212915750285</v>
      </c>
      <c r="M1375" s="11">
        <f>ABS(L1375/$U$6)</f>
        <v>7.7373798588193255E-3</v>
      </c>
      <c r="N1375" s="12">
        <f>L1375*SIN(RADIANS(K1375))</f>
        <v>-2.6136022638272607</v>
      </c>
      <c r="O1375" s="12">
        <f>L1375*COS(RADIANS(K1375))</f>
        <v>-0.46084859595347</v>
      </c>
      <c r="P1375" s="5">
        <v>1.4979402884705508</v>
      </c>
      <c r="Q1375" s="5">
        <v>0.47861249923409971</v>
      </c>
      <c r="R1375" s="6">
        <f>P1375/Q1375</f>
        <v>3.1297558899268862</v>
      </c>
    </row>
    <row r="1376" spans="1:18" x14ac:dyDescent="0.35">
      <c r="A1376" s="9">
        <v>1377</v>
      </c>
      <c r="B1376" s="5">
        <v>0.25</v>
      </c>
      <c r="C1376" s="5">
        <v>4000000</v>
      </c>
      <c r="D1376" s="5">
        <v>0</v>
      </c>
      <c r="E1376" s="5">
        <v>0.375</v>
      </c>
      <c r="F1376" s="5">
        <v>0.1</v>
      </c>
      <c r="G1376" s="12">
        <f>(C1376*$U$4)/($U$5*$U$3)</f>
        <v>58.775510204081627</v>
      </c>
      <c r="H1376" s="11">
        <f>G1376*COS(RADIANS(D1376))</f>
        <v>58.775510204081627</v>
      </c>
      <c r="I1376" s="11">
        <f>G1376*SIN(RADIANS(D1376))</f>
        <v>0</v>
      </c>
      <c r="J1376" s="11">
        <v>0.1976</v>
      </c>
      <c r="K1376" s="12">
        <v>78</v>
      </c>
      <c r="L1376" s="12">
        <f>-(F1376*G1376*$U$3)/J1376</f>
        <v>-29.744691398826735</v>
      </c>
      <c r="M1376" s="11">
        <f>ABS(L1376/$U$6)</f>
        <v>8.6719216906200394E-2</v>
      </c>
      <c r="N1376" s="12">
        <f>L1376*SIN(RADIANS(K1376))</f>
        <v>-29.094698526329832</v>
      </c>
      <c r="O1376" s="12">
        <f>L1376*COS(RADIANS(K1376))</f>
        <v>-6.1842690815825332</v>
      </c>
      <c r="P1376" s="5">
        <v>2.4225571356792188</v>
      </c>
      <c r="Q1376" s="5">
        <v>-4.4626043529131076E-2</v>
      </c>
      <c r="R1376" s="6">
        <f>P1376/Q1376</f>
        <v>-54.285725197615093</v>
      </c>
    </row>
    <row r="1377" spans="1:18" x14ac:dyDescent="0.35">
      <c r="A1377" s="9">
        <v>1423</v>
      </c>
      <c r="B1377" s="5">
        <v>0.1</v>
      </c>
      <c r="C1377" s="5">
        <v>6000000</v>
      </c>
      <c r="D1377" s="5">
        <v>15</v>
      </c>
      <c r="E1377" s="5">
        <v>0</v>
      </c>
      <c r="F1377" s="5">
        <v>7.4999999999999997E-2</v>
      </c>
      <c r="G1377" s="12">
        <f>(C1377*$U$4)/($U$5*$U$3)</f>
        <v>88.16326530612244</v>
      </c>
      <c r="H1377" s="11">
        <f>G1377*COS(RADIANS(D1377))</f>
        <v>85.159174889158663</v>
      </c>
      <c r="I1377" s="11">
        <f>G1377*SIN(RADIANS(D1377))</f>
        <v>22.818332139650806</v>
      </c>
      <c r="J1377" s="20">
        <v>0.16569999999999999</v>
      </c>
      <c r="K1377" s="19">
        <v>0</v>
      </c>
      <c r="L1377" s="12">
        <f>-(F1377*G1377*$U$3)/J1377</f>
        <v>-39.904917911642627</v>
      </c>
      <c r="M1377" s="11">
        <f>ABS(L1377/$U$6)</f>
        <v>0.11634086854706305</v>
      </c>
      <c r="N1377" s="12">
        <f>L1377*SIN(RADIANS(K1377))</f>
        <v>0</v>
      </c>
      <c r="O1377" s="12">
        <f>L1377*COS(RADIANS(K1377))</f>
        <v>-39.904917911642627</v>
      </c>
      <c r="P1377" s="5">
        <v>1.6058905289011933</v>
      </c>
      <c r="Q1377" s="5">
        <v>0.54921190264918762</v>
      </c>
      <c r="R1377" s="6">
        <f>P1377/Q1377</f>
        <v>2.9239907604969835</v>
      </c>
    </row>
    <row r="1378" spans="1:18" x14ac:dyDescent="0.35">
      <c r="A1378" s="9">
        <v>1379</v>
      </c>
      <c r="B1378" s="5">
        <v>0.1</v>
      </c>
      <c r="C1378" s="5">
        <v>6000000</v>
      </c>
      <c r="D1378" s="5">
        <v>5</v>
      </c>
      <c r="E1378" s="5">
        <v>0.25</v>
      </c>
      <c r="F1378" s="5">
        <v>0</v>
      </c>
      <c r="G1378" s="12">
        <f>(C1378*$U$4)/($U$5*$U$3)</f>
        <v>88.16326530612244</v>
      </c>
      <c r="H1378" s="11">
        <f>G1378*COS(RADIANS(D1378))</f>
        <v>87.827777464415107</v>
      </c>
      <c r="I1378" s="11">
        <f>G1378*SIN(RADIANS(D1378))</f>
        <v>7.6839348708139434</v>
      </c>
      <c r="J1378" s="11">
        <v>0.1661</v>
      </c>
      <c r="K1378" s="12">
        <v>80</v>
      </c>
      <c r="L1378" s="12">
        <f>-(F1378*G1378*$U$3)/J1378</f>
        <v>0</v>
      </c>
      <c r="M1378" s="11">
        <f>ABS(L1378/$U$6)</f>
        <v>0</v>
      </c>
      <c r="N1378" s="12">
        <f>L1378*SIN(RADIANS(K1378))</f>
        <v>0</v>
      </c>
      <c r="O1378" s="12">
        <f>L1378*COS(RADIANS(K1378))</f>
        <v>0</v>
      </c>
      <c r="P1378" s="5">
        <v>1.5045494215723316</v>
      </c>
      <c r="Q1378" s="5">
        <v>0.35559299277826589</v>
      </c>
      <c r="R1378" s="6">
        <f>P1378/Q1378</f>
        <v>4.2310997464185434</v>
      </c>
    </row>
    <row r="1379" spans="1:18" x14ac:dyDescent="0.35">
      <c r="A1379" s="9">
        <v>1380</v>
      </c>
      <c r="B1379" s="5">
        <v>0.5</v>
      </c>
      <c r="C1379" s="5">
        <v>2000000</v>
      </c>
      <c r="D1379" s="5">
        <v>30</v>
      </c>
      <c r="E1379" s="5">
        <v>0.125</v>
      </c>
      <c r="F1379" s="5">
        <v>0</v>
      </c>
      <c r="G1379" s="12">
        <f>(C1379*$U$4)/($U$5*$U$3)</f>
        <v>29.387755102040813</v>
      </c>
      <c r="H1379" s="11">
        <f>G1379*COS(RADIANS(D1379))</f>
        <v>25.450542478563094</v>
      </c>
      <c r="I1379" s="11">
        <f>G1379*SIN(RADIANS(D1379))</f>
        <v>14.693877551020405</v>
      </c>
      <c r="J1379" s="12">
        <v>0.23300000000000001</v>
      </c>
      <c r="K1379" s="11">
        <v>27</v>
      </c>
      <c r="L1379" s="12">
        <f>-(F1379*G1379*$U$3)/J1379</f>
        <v>0</v>
      </c>
      <c r="M1379" s="11">
        <f>ABS(L1379/$U$6)</f>
        <v>0</v>
      </c>
      <c r="N1379" s="12">
        <f>L1379*SIN(RADIANS(K1379))</f>
        <v>0</v>
      </c>
      <c r="O1379" s="12">
        <f>L1379*COS(RADIANS(K1379))</f>
        <v>0</v>
      </c>
      <c r="P1379" s="5">
        <v>3.3944321893230001</v>
      </c>
      <c r="Q1379" s="5">
        <v>1.6940091196948686</v>
      </c>
      <c r="R1379" s="6">
        <f>P1379/Q1379</f>
        <v>2.003786254665747</v>
      </c>
    </row>
    <row r="1380" spans="1:18" x14ac:dyDescent="0.35">
      <c r="A1380" s="9">
        <v>1492</v>
      </c>
      <c r="B1380" s="5">
        <v>0.1</v>
      </c>
      <c r="C1380" s="5">
        <v>6000000</v>
      </c>
      <c r="D1380" s="5">
        <v>10</v>
      </c>
      <c r="E1380" s="5">
        <v>0</v>
      </c>
      <c r="F1380" s="5">
        <v>7.4999999999999997E-2</v>
      </c>
      <c r="G1380" s="12">
        <f>(C1380*$U$4)/($U$5*$U$3)</f>
        <v>88.16326530612244</v>
      </c>
      <c r="H1380" s="11">
        <f>G1380*COS(RADIANS(D1380))</f>
        <v>86.823867204341596</v>
      </c>
      <c r="I1380" s="11">
        <f>G1380*SIN(RADIANS(D1380))</f>
        <v>15.309390357574264</v>
      </c>
      <c r="J1380" s="20">
        <v>0.16569999999999999</v>
      </c>
      <c r="K1380" s="19">
        <v>0</v>
      </c>
      <c r="L1380" s="12">
        <f>-(F1380*G1380*$U$3)/J1380</f>
        <v>-39.904917911642627</v>
      </c>
      <c r="M1380" s="11">
        <f>ABS(L1380/$U$6)</f>
        <v>0.11634086854706305</v>
      </c>
      <c r="N1380" s="12">
        <f>L1380*SIN(RADIANS(K1380))</f>
        <v>0</v>
      </c>
      <c r="O1380" s="12">
        <f>L1380*COS(RADIANS(K1380))</f>
        <v>-39.904917911642627</v>
      </c>
      <c r="P1380" s="5">
        <v>1.5175698785951566</v>
      </c>
      <c r="Q1380" s="5">
        <v>0.41423839630079012</v>
      </c>
      <c r="R1380" s="6">
        <f>P1380/Q1380</f>
        <v>3.6635181387029281</v>
      </c>
    </row>
    <row r="1381" spans="1:18" x14ac:dyDescent="0.35">
      <c r="A1381" s="9">
        <v>1382</v>
      </c>
      <c r="B1381" s="5">
        <v>0.25</v>
      </c>
      <c r="C1381" s="5">
        <v>4000000</v>
      </c>
      <c r="D1381" s="5">
        <v>15</v>
      </c>
      <c r="E1381" s="5">
        <v>0.375</v>
      </c>
      <c r="F1381" s="5">
        <v>2.5000000000000001E-2</v>
      </c>
      <c r="G1381" s="12">
        <f>(C1381*$U$4)/($U$5*$U$3)</f>
        <v>58.775510204081627</v>
      </c>
      <c r="H1381" s="11">
        <f>G1381*COS(RADIANS(D1381))</f>
        <v>56.772783259439109</v>
      </c>
      <c r="I1381" s="11">
        <f>G1381*SIN(RADIANS(D1381))</f>
        <v>15.212221426433871</v>
      </c>
      <c r="J1381" s="11">
        <v>0.1976</v>
      </c>
      <c r="K1381" s="12">
        <v>78</v>
      </c>
      <c r="L1381" s="12">
        <f>-(F1381*G1381*$U$3)/J1381</f>
        <v>-7.4361728497066837</v>
      </c>
      <c r="M1381" s="11">
        <f>ABS(L1381/$U$6)</f>
        <v>2.1679804226550099E-2</v>
      </c>
      <c r="N1381" s="12">
        <f>L1381*SIN(RADIANS(K1381))</f>
        <v>-7.2736746315824581</v>
      </c>
      <c r="O1381" s="12">
        <f>L1381*COS(RADIANS(K1381))</f>
        <v>-1.5460672703956333</v>
      </c>
      <c r="P1381" s="5">
        <v>2.2226519500479784</v>
      </c>
      <c r="Q1381" s="5">
        <v>0.48697112351307603</v>
      </c>
      <c r="R1381" s="6">
        <f>P1381/Q1381</f>
        <v>4.5642376780238312</v>
      </c>
    </row>
    <row r="1382" spans="1:18" x14ac:dyDescent="0.35">
      <c r="A1382" s="9">
        <v>2084</v>
      </c>
      <c r="B1382" s="5">
        <v>0.1</v>
      </c>
      <c r="C1382" s="5">
        <v>6000000</v>
      </c>
      <c r="D1382" s="5">
        <v>30</v>
      </c>
      <c r="E1382" s="5">
        <v>0</v>
      </c>
      <c r="F1382" s="5">
        <v>7.4999999999999997E-2</v>
      </c>
      <c r="G1382" s="12">
        <f>(C1382*$U$4)/($U$5*$U$3)</f>
        <v>88.16326530612244</v>
      </c>
      <c r="H1382" s="11">
        <f>G1382*COS(RADIANS(D1382))</f>
        <v>76.351627435689281</v>
      </c>
      <c r="I1382" s="11">
        <f>G1382*SIN(RADIANS(D1382))</f>
        <v>44.081632653061213</v>
      </c>
      <c r="J1382" s="20">
        <v>0.16569999999999999</v>
      </c>
      <c r="K1382" s="12">
        <v>0</v>
      </c>
      <c r="L1382" s="12">
        <f>-(F1382*G1382*$U$3)/J1382</f>
        <v>-39.904917911642627</v>
      </c>
      <c r="M1382" s="11">
        <f>ABS(L1382/$U$6)</f>
        <v>0.11634086854706305</v>
      </c>
      <c r="N1382" s="12">
        <f>L1382*SIN(RADIANS(K1382))</f>
        <v>0</v>
      </c>
      <c r="O1382" s="12">
        <f>L1382*COS(RADIANS(K1382))</f>
        <v>-39.904917911642627</v>
      </c>
      <c r="P1382" s="5">
        <v>1.7466318081313528</v>
      </c>
      <c r="Q1382" s="5">
        <v>1.0142195424955762</v>
      </c>
      <c r="R1382" s="6">
        <f>P1382/Q1382</f>
        <v>1.7221437124289796</v>
      </c>
    </row>
    <row r="1383" spans="1:18" x14ac:dyDescent="0.35">
      <c r="A1383" s="9">
        <v>1384</v>
      </c>
      <c r="B1383" s="5">
        <v>0.1</v>
      </c>
      <c r="C1383" s="5">
        <v>6000000</v>
      </c>
      <c r="D1383" s="5">
        <v>30</v>
      </c>
      <c r="E1383" s="5">
        <v>0.375</v>
      </c>
      <c r="F1383" s="5">
        <v>2.5000000000000001E-2</v>
      </c>
      <c r="G1383" s="12">
        <f>(C1383*$U$4)/($U$5*$U$3)</f>
        <v>88.16326530612244</v>
      </c>
      <c r="H1383" s="11">
        <f>G1383*COS(RADIANS(D1383))</f>
        <v>76.351627435689281</v>
      </c>
      <c r="I1383" s="11">
        <f>G1383*SIN(RADIANS(D1383))</f>
        <v>44.081632653061213</v>
      </c>
      <c r="J1383" s="12">
        <v>0.16789999999999999</v>
      </c>
      <c r="K1383" s="11">
        <v>85</v>
      </c>
      <c r="L1383" s="12">
        <f>-(F1383*G1383*$U$3)/J1383</f>
        <v>-13.127347424973562</v>
      </c>
      <c r="M1383" s="11">
        <f>ABS(L1383/$U$6)</f>
        <v>3.8272149927036626E-2</v>
      </c>
      <c r="N1383" s="12">
        <f>L1383*SIN(RADIANS(K1383))</f>
        <v>-13.077393904766991</v>
      </c>
      <c r="O1383" s="12">
        <f>L1383*COS(RADIANS(K1383))</f>
        <v>-1.1441237151301282</v>
      </c>
      <c r="P1383" s="5">
        <v>1.4369504496991097</v>
      </c>
      <c r="Q1383" s="5">
        <v>1.0883368842418648</v>
      </c>
      <c r="R1383" s="6">
        <f>P1383/Q1383</f>
        <v>1.32031769804447</v>
      </c>
    </row>
    <row r="1384" spans="1:18" x14ac:dyDescent="0.35">
      <c r="A1384" s="9">
        <v>1385</v>
      </c>
      <c r="B1384" s="5">
        <v>0.5</v>
      </c>
      <c r="C1384" s="5">
        <v>2000000</v>
      </c>
      <c r="D1384" s="5">
        <v>5</v>
      </c>
      <c r="E1384" s="5">
        <v>0</v>
      </c>
      <c r="F1384" s="5">
        <v>0.1</v>
      </c>
      <c r="G1384" s="12">
        <f>(C1384*$U$4)/($U$5*$U$3)</f>
        <v>29.387755102040813</v>
      </c>
      <c r="H1384" s="11">
        <f>G1384*COS(RADIANS(D1384))</f>
        <v>29.275925821471702</v>
      </c>
      <c r="I1384" s="11">
        <f>G1384*SIN(RADIANS(D1384))</f>
        <v>2.5613116236046478</v>
      </c>
      <c r="J1384" s="12">
        <v>0.23230000000000001</v>
      </c>
      <c r="K1384" s="12">
        <v>0</v>
      </c>
      <c r="L1384" s="12">
        <f>-(F1384*G1384*$U$3)/J1384</f>
        <v>-12.650777056410165</v>
      </c>
      <c r="M1384" s="11">
        <f>ABS(L1384/$U$6)</f>
        <v>3.6882731942886778E-2</v>
      </c>
      <c r="N1384" s="12">
        <f>L1384*SIN(RADIANS(K1384))</f>
        <v>0</v>
      </c>
      <c r="O1384" s="12">
        <f>L1384*COS(RADIANS(K1384))</f>
        <v>-12.650777056410165</v>
      </c>
      <c r="P1384" s="5">
        <v>4.5337473175776228</v>
      </c>
      <c r="Q1384" s="5">
        <v>0.28512184213152464</v>
      </c>
      <c r="R1384" s="6">
        <f>P1384/Q1384</f>
        <v>15.901087351582969</v>
      </c>
    </row>
    <row r="1385" spans="1:18" x14ac:dyDescent="0.35">
      <c r="A1385" s="9">
        <v>1386</v>
      </c>
      <c r="B1385" s="5">
        <v>1</v>
      </c>
      <c r="C1385" s="5">
        <v>4000000</v>
      </c>
      <c r="D1385" s="5">
        <v>15</v>
      </c>
      <c r="E1385" s="5">
        <v>0.125</v>
      </c>
      <c r="F1385" s="5">
        <v>3.5000000000000003E-2</v>
      </c>
      <c r="G1385" s="12">
        <f>(C1385*$U$4)/($U$5*$U$3)</f>
        <v>58.775510204081627</v>
      </c>
      <c r="H1385" s="11">
        <f>G1385*COS(RADIANS(D1385))</f>
        <v>56.772783259439109</v>
      </c>
      <c r="I1385" s="11">
        <f>G1385*SIN(RADIANS(D1385))</f>
        <v>15.212221426433871</v>
      </c>
      <c r="J1385" s="11">
        <v>0.33379999999999999</v>
      </c>
      <c r="K1385" s="12">
        <v>14</v>
      </c>
      <c r="L1385" s="12">
        <f>-(F1385*G1385*$U$3)/J1385</f>
        <v>-6.1628006505178465</v>
      </c>
      <c r="M1385" s="11">
        <f>ABS(L1385/$U$6)</f>
        <v>1.7967348835328998E-2</v>
      </c>
      <c r="N1385" s="12">
        <f>L1385*SIN(RADIANS(K1385))</f>
        <v>-1.4909164155761427</v>
      </c>
      <c r="O1385" s="12">
        <f>L1385*COS(RADIANS(K1385))</f>
        <v>-5.9797391330883976</v>
      </c>
      <c r="P1385" s="5">
        <v>4.583886930092544</v>
      </c>
      <c r="Q1385" s="5">
        <v>0.67528973261938285</v>
      </c>
      <c r="R1385" s="6">
        <f>P1385/Q1385</f>
        <v>6.7880299502142503</v>
      </c>
    </row>
    <row r="1386" spans="1:18" x14ac:dyDescent="0.35">
      <c r="A1386" s="9">
        <v>2118</v>
      </c>
      <c r="B1386" s="5">
        <v>0.1</v>
      </c>
      <c r="C1386" s="5">
        <v>6000000</v>
      </c>
      <c r="D1386" s="5">
        <v>0</v>
      </c>
      <c r="E1386" s="5">
        <v>0</v>
      </c>
      <c r="F1386" s="5">
        <v>7.4999999999999997E-2</v>
      </c>
      <c r="G1386" s="12">
        <f>(C1386*$U$4)/($U$5*$U$3)</f>
        <v>88.16326530612244</v>
      </c>
      <c r="H1386" s="11">
        <f>G1386*COS(RADIANS(D1386))</f>
        <v>88.16326530612244</v>
      </c>
      <c r="I1386" s="11">
        <f>G1386*SIN(RADIANS(D1386))</f>
        <v>0</v>
      </c>
      <c r="J1386" s="11">
        <v>0.16569999999999999</v>
      </c>
      <c r="K1386" s="19">
        <v>0</v>
      </c>
      <c r="L1386" s="12">
        <f>-(F1386*G1386*$U$3)/J1386</f>
        <v>-39.904917911642627</v>
      </c>
      <c r="M1386" s="11">
        <f>ABS(L1386/$U$6)</f>
        <v>0.11634086854706305</v>
      </c>
      <c r="N1386" s="12">
        <f>L1386*SIN(RADIANS(K1386))</f>
        <v>0</v>
      </c>
      <c r="O1386" s="12">
        <f>L1386*COS(RADIANS(K1386))</f>
        <v>-39.904917911642627</v>
      </c>
      <c r="P1386" s="5">
        <v>1.2810330486158277</v>
      </c>
      <c r="Q1386" s="5">
        <v>0.19818869576055212</v>
      </c>
      <c r="R1386" s="6">
        <f>P1386/Q1386</f>
        <v>6.4637039145943413</v>
      </c>
    </row>
    <row r="1387" spans="1:18" x14ac:dyDescent="0.35">
      <c r="A1387" s="9">
        <v>1388</v>
      </c>
      <c r="B1387" s="5">
        <v>1</v>
      </c>
      <c r="C1387" s="5">
        <v>6000000</v>
      </c>
      <c r="D1387" s="5">
        <v>5</v>
      </c>
      <c r="E1387" s="5">
        <v>0.375</v>
      </c>
      <c r="F1387" s="5">
        <v>3.5000000000000003E-2</v>
      </c>
      <c r="G1387" s="12">
        <f>(C1387*$U$4)/($U$5*$U$3)</f>
        <v>88.16326530612244</v>
      </c>
      <c r="H1387" s="11">
        <f>G1387*COS(RADIANS(D1387))</f>
        <v>87.827777464415107</v>
      </c>
      <c r="I1387" s="11">
        <f>G1387*SIN(RADIANS(D1387))</f>
        <v>7.6839348708139434</v>
      </c>
      <c r="J1387" s="12">
        <v>0.33379999999999999</v>
      </c>
      <c r="K1387" s="11">
        <v>49</v>
      </c>
      <c r="L1387" s="12">
        <f>-(F1387*G1387*$U$3)/J1387</f>
        <v>-9.2442009757767707</v>
      </c>
      <c r="M1387" s="11">
        <f>ABS(L1387/$U$6)</f>
        <v>2.6951023252993502E-2</v>
      </c>
      <c r="N1387" s="12">
        <f>L1387*SIN(RADIANS(K1387))</f>
        <v>-6.9766870379234263</v>
      </c>
      <c r="O1387" s="12">
        <f>L1387*COS(RADIANS(K1387))</f>
        <v>-6.0647415159612077</v>
      </c>
      <c r="P1387" s="5">
        <v>4.6230744328408377</v>
      </c>
      <c r="Q1387" s="5">
        <v>-0.15308949684234932</v>
      </c>
      <c r="R1387" s="6">
        <f>P1387/Q1387</f>
        <v>-30.198508246464833</v>
      </c>
    </row>
    <row r="1388" spans="1:18" x14ac:dyDescent="0.35">
      <c r="A1388" s="9">
        <v>1389</v>
      </c>
      <c r="B1388" s="5">
        <v>0.1</v>
      </c>
      <c r="C1388" s="5">
        <v>2000000</v>
      </c>
      <c r="D1388" s="5">
        <v>30</v>
      </c>
      <c r="E1388" s="5">
        <v>0.125</v>
      </c>
      <c r="F1388" s="5">
        <v>2.5000000000000001E-2</v>
      </c>
      <c r="G1388" s="12">
        <f>(C1388*$U$4)/($U$5*$U$3)</f>
        <v>29.387755102040813</v>
      </c>
      <c r="H1388" s="11">
        <f>G1388*COS(RADIANS(D1388))</f>
        <v>25.450542478563094</v>
      </c>
      <c r="I1388" s="11">
        <f>G1388*SIN(RADIANS(D1388))</f>
        <v>14.693877551020405</v>
      </c>
      <c r="J1388" s="12">
        <v>0.1658</v>
      </c>
      <c r="K1388" s="12">
        <v>69</v>
      </c>
      <c r="L1388" s="12">
        <f>-(F1388*G1388*$U$3)/J1388</f>
        <v>-4.4312055340833556</v>
      </c>
      <c r="M1388" s="11">
        <f>ABS(L1388/$U$6)</f>
        <v>1.2918966571671591E-2</v>
      </c>
      <c r="N1388" s="12">
        <f>L1388*SIN(RADIANS(K1388))</f>
        <v>-4.1368867524062995</v>
      </c>
      <c r="O1388" s="12">
        <f>L1388*COS(RADIANS(K1388))</f>
        <v>-1.5880020412632398</v>
      </c>
      <c r="P1388" s="5">
        <v>1.0648105494320332</v>
      </c>
      <c r="Q1388" s="5">
        <v>0.88573667259302746</v>
      </c>
      <c r="R1388" s="6">
        <f>P1388/Q1388</f>
        <v>1.2021750734501715</v>
      </c>
    </row>
    <row r="1389" spans="1:18" x14ac:dyDescent="0.35">
      <c r="A1389" s="9">
        <v>1390</v>
      </c>
      <c r="B1389" s="5">
        <v>0.75</v>
      </c>
      <c r="C1389" s="5">
        <v>2000000</v>
      </c>
      <c r="D1389" s="5">
        <v>30</v>
      </c>
      <c r="E1389" s="5">
        <v>0</v>
      </c>
      <c r="F1389" s="5">
        <v>2.5000000000000001E-2</v>
      </c>
      <c r="G1389" s="12">
        <f>(C1389*$U$4)/($U$5*$U$3)</f>
        <v>29.387755102040813</v>
      </c>
      <c r="H1389" s="11">
        <f>G1389*COS(RADIANS(D1389))</f>
        <v>25.450542478563094</v>
      </c>
      <c r="I1389" s="11">
        <f>G1389*SIN(RADIANS(D1389))</f>
        <v>14.693877551020405</v>
      </c>
      <c r="J1389" s="11">
        <v>0.27929999999999999</v>
      </c>
      <c r="K1389" s="12">
        <v>0</v>
      </c>
      <c r="L1389" s="12">
        <f>-(F1389*G1389*$U$3)/J1389</f>
        <v>-2.630482912821412</v>
      </c>
      <c r="M1389" s="11">
        <f>ABS(L1389/$U$6)</f>
        <v>7.6690463930653412E-3</v>
      </c>
      <c r="N1389" s="12">
        <f>L1389*SIN(RADIANS(K1389))</f>
        <v>0</v>
      </c>
      <c r="O1389" s="12">
        <f>L1389*COS(RADIANS(K1389))</f>
        <v>-2.630482912821412</v>
      </c>
      <c r="P1389" s="5">
        <v>0.78514801233805198</v>
      </c>
      <c r="Q1389" s="5">
        <v>1.4050642192078877</v>
      </c>
      <c r="R1389" s="6">
        <f>P1389/Q1389</f>
        <v>0.55879866671196232</v>
      </c>
    </row>
    <row r="1390" spans="1:18" x14ac:dyDescent="0.35">
      <c r="A1390" s="9">
        <v>2212</v>
      </c>
      <c r="B1390" s="5">
        <v>0.1</v>
      </c>
      <c r="C1390" s="5">
        <v>6000000</v>
      </c>
      <c r="D1390" s="5">
        <v>20</v>
      </c>
      <c r="E1390" s="5">
        <v>0</v>
      </c>
      <c r="F1390" s="5">
        <v>7.4999999999999997E-2</v>
      </c>
      <c r="G1390" s="12">
        <f>(C1390*$U$4)/($U$5*$U$3)</f>
        <v>88.16326530612244</v>
      </c>
      <c r="H1390" s="11">
        <f>G1390*COS(RADIANS(D1390))</f>
        <v>82.846369832553549</v>
      </c>
      <c r="I1390" s="11">
        <f>G1390*SIN(RADIANS(D1390))</f>
        <v>30.153612636058952</v>
      </c>
      <c r="J1390" s="11">
        <v>0.16569999999999999</v>
      </c>
      <c r="K1390" s="12">
        <v>0</v>
      </c>
      <c r="L1390" s="12">
        <f>-(F1390*G1390*$U$3)/J1390</f>
        <v>-39.904917911642627</v>
      </c>
      <c r="M1390" s="11">
        <f>ABS(L1390/$U$6)</f>
        <v>0.11634086854706305</v>
      </c>
      <c r="N1390" s="12">
        <f>L1390*SIN(RADIANS(K1390))</f>
        <v>0</v>
      </c>
      <c r="O1390" s="12">
        <f>L1390*COS(RADIANS(K1390))</f>
        <v>-39.904917911642627</v>
      </c>
      <c r="P1390" s="5">
        <v>1.6846231122778188</v>
      </c>
      <c r="Q1390" s="5">
        <v>0.70088648810756671</v>
      </c>
      <c r="R1390" s="6">
        <f>P1390/Q1390</f>
        <v>2.4035605491930609</v>
      </c>
    </row>
    <row r="1391" spans="1:18" x14ac:dyDescent="0.35">
      <c r="A1391" s="9">
        <v>1392</v>
      </c>
      <c r="B1391" s="5">
        <v>1</v>
      </c>
      <c r="C1391" s="5">
        <v>6000000</v>
      </c>
      <c r="D1391" s="5">
        <v>5</v>
      </c>
      <c r="E1391" s="5">
        <v>0</v>
      </c>
      <c r="F1391" s="5">
        <v>0.1</v>
      </c>
      <c r="G1391" s="12">
        <f>(C1391*$U$4)/($U$5*$U$3)</f>
        <v>88.16326530612244</v>
      </c>
      <c r="H1391" s="11">
        <f>G1391*COS(RADIANS(D1391))</f>
        <v>87.827777464415107</v>
      </c>
      <c r="I1391" s="11">
        <f>G1391*SIN(RADIANS(D1391))</f>
        <v>7.6839348708139434</v>
      </c>
      <c r="J1391" s="11">
        <v>0.33379999999999999</v>
      </c>
      <c r="K1391" s="12">
        <v>0</v>
      </c>
      <c r="L1391" s="12">
        <f>-(F1391*G1391*$U$3)/J1391</f>
        <v>-26.412002787933627</v>
      </c>
      <c r="M1391" s="11">
        <f>ABS(L1391/$U$6)</f>
        <v>7.7002923579981425E-2</v>
      </c>
      <c r="N1391" s="12">
        <f>L1391*SIN(RADIANS(K1391))</f>
        <v>0</v>
      </c>
      <c r="O1391" s="12">
        <f>L1391*COS(RADIANS(K1391))</f>
        <v>-26.412002787933627</v>
      </c>
      <c r="P1391" s="5">
        <v>1.8808058119368698</v>
      </c>
      <c r="Q1391" s="5">
        <v>1.7227356731491683</v>
      </c>
      <c r="R1391" s="6">
        <f>P1391/Q1391</f>
        <v>1.0917553059656264</v>
      </c>
    </row>
    <row r="1392" spans="1:18" x14ac:dyDescent="0.35">
      <c r="A1392" s="9">
        <v>1393</v>
      </c>
      <c r="B1392" s="5">
        <v>1</v>
      </c>
      <c r="C1392" s="5">
        <v>4000000</v>
      </c>
      <c r="D1392" s="5">
        <v>20</v>
      </c>
      <c r="E1392" s="5">
        <v>0.25</v>
      </c>
      <c r="F1392" s="5">
        <v>2.5000000000000001E-2</v>
      </c>
      <c r="G1392" s="12">
        <f>(C1392*$U$4)/($U$5*$U$3)</f>
        <v>58.775510204081627</v>
      </c>
      <c r="H1392" s="11">
        <f>G1392*COS(RADIANS(D1392))</f>
        <v>55.230913221702366</v>
      </c>
      <c r="I1392" s="11">
        <f>G1392*SIN(RADIANS(D1392))</f>
        <v>20.102408424039304</v>
      </c>
      <c r="J1392" s="13">
        <v>0.33379999999999999</v>
      </c>
      <c r="K1392" s="12">
        <v>30</v>
      </c>
      <c r="L1392" s="12">
        <f>-(F1392*G1392*$U$3)/J1392</f>
        <v>-4.4020004646556048</v>
      </c>
      <c r="M1392" s="11">
        <f>ABS(L1392/$U$6)</f>
        <v>1.283382059666357E-2</v>
      </c>
      <c r="N1392" s="12">
        <f>L1392*SIN(RADIANS(K1392))</f>
        <v>-2.201000232327802</v>
      </c>
      <c r="O1392" s="12">
        <f>L1392*COS(RADIANS(K1392))</f>
        <v>-3.8122442298626571</v>
      </c>
      <c r="P1392" s="5">
        <v>4.3813935360897114</v>
      </c>
      <c r="Q1392" s="5">
        <v>0.968443664754572</v>
      </c>
      <c r="R1392" s="6">
        <f>P1392/Q1392</f>
        <v>4.52415942769378</v>
      </c>
    </row>
    <row r="1393" spans="1:18" x14ac:dyDescent="0.35">
      <c r="A1393" s="9">
        <v>218</v>
      </c>
      <c r="B1393" s="5">
        <v>0.1</v>
      </c>
      <c r="C1393" s="5">
        <v>6000000</v>
      </c>
      <c r="D1393" s="5">
        <v>5</v>
      </c>
      <c r="E1393" s="5">
        <v>0.125</v>
      </c>
      <c r="F1393" s="5">
        <v>7.4999999999999997E-2</v>
      </c>
      <c r="G1393" s="12">
        <f>(C1393*$U$4)/($U$5*$U$3)</f>
        <v>88.16326530612244</v>
      </c>
      <c r="H1393" s="11">
        <f>G1393*COS(RADIANS(D1393))</f>
        <v>87.827777464415107</v>
      </c>
      <c r="I1393" s="11">
        <f>G1393*SIN(RADIANS(D1393))</f>
        <v>7.6839348708139434</v>
      </c>
      <c r="J1393" s="12">
        <v>0.1658</v>
      </c>
      <c r="K1393" s="19">
        <v>69</v>
      </c>
      <c r="L1393" s="12">
        <f>-(F1393*G1393*$U$3)/J1393</f>
        <v>-39.880849806750199</v>
      </c>
      <c r="M1393" s="11">
        <f>ABS(L1393/$U$6)</f>
        <v>0.11627069914504432</v>
      </c>
      <c r="N1393" s="12">
        <f>L1393*SIN(RADIANS(K1393))</f>
        <v>-37.231980771656694</v>
      </c>
      <c r="O1393" s="12">
        <f>L1393*COS(RADIANS(K1393))</f>
        <v>-14.292018371369158</v>
      </c>
      <c r="P1393" s="5">
        <v>1.510030374498033</v>
      </c>
      <c r="Q1393" s="5">
        <v>0.33473216109381604</v>
      </c>
      <c r="R1393" s="6">
        <f>P1393/Q1393</f>
        <v>4.5111601154895116</v>
      </c>
    </row>
    <row r="1394" spans="1:18" x14ac:dyDescent="0.35">
      <c r="A1394" s="9">
        <v>1395</v>
      </c>
      <c r="B1394" s="5">
        <v>0.75</v>
      </c>
      <c r="C1394" s="5">
        <v>6000000</v>
      </c>
      <c r="D1394" s="5">
        <v>5</v>
      </c>
      <c r="E1394" s="5">
        <v>0</v>
      </c>
      <c r="F1394" s="5">
        <v>0.05</v>
      </c>
      <c r="G1394" s="12">
        <f>(C1394*$U$4)/($U$5*$U$3)</f>
        <v>88.16326530612244</v>
      </c>
      <c r="H1394" s="11">
        <f>G1394*COS(RADIANS(D1394))</f>
        <v>87.827777464415107</v>
      </c>
      <c r="I1394" s="11">
        <f>G1394*SIN(RADIANS(D1394))</f>
        <v>7.6839348708139434</v>
      </c>
      <c r="J1394" s="11">
        <v>0.27929999999999999</v>
      </c>
      <c r="K1394" s="12">
        <v>0</v>
      </c>
      <c r="L1394" s="12">
        <f>-(F1394*G1394*$U$3)/J1394</f>
        <v>-15.782897476928472</v>
      </c>
      <c r="M1394" s="11">
        <f>ABS(L1394/$U$6)</f>
        <v>4.6014278358392044E-2</v>
      </c>
      <c r="N1394" s="12">
        <f>L1394*SIN(RADIANS(K1394))</f>
        <v>0</v>
      </c>
      <c r="O1394" s="12">
        <f>L1394*COS(RADIANS(K1394))</f>
        <v>-15.782897476928472</v>
      </c>
      <c r="P1394" s="5">
        <v>4.1613010688181387</v>
      </c>
      <c r="Q1394" s="5">
        <v>0.67247875186189165</v>
      </c>
      <c r="R1394" s="6">
        <f>P1394/Q1394</f>
        <v>6.1880037953567246</v>
      </c>
    </row>
    <row r="1395" spans="1:18" x14ac:dyDescent="0.35">
      <c r="A1395" s="9">
        <v>1396</v>
      </c>
      <c r="B1395" s="5">
        <v>1</v>
      </c>
      <c r="C1395" s="5">
        <v>4000000</v>
      </c>
      <c r="D1395" s="5">
        <v>15</v>
      </c>
      <c r="E1395" s="5">
        <v>0.25</v>
      </c>
      <c r="F1395" s="5">
        <v>0</v>
      </c>
      <c r="G1395" s="12">
        <f>(C1395*$U$4)/($U$5*$U$3)</f>
        <v>58.775510204081627</v>
      </c>
      <c r="H1395" s="11">
        <f>G1395*COS(RADIANS(D1395))</f>
        <v>56.772783259439109</v>
      </c>
      <c r="I1395" s="11">
        <f>G1395*SIN(RADIANS(D1395))</f>
        <v>15.212221426433871</v>
      </c>
      <c r="J1395" s="13">
        <v>0.33379999999999999</v>
      </c>
      <c r="K1395" s="12">
        <v>30</v>
      </c>
      <c r="L1395" s="12">
        <f>-(F1395*G1395*$U$3)/J1395</f>
        <v>0</v>
      </c>
      <c r="M1395" s="11">
        <f>ABS(L1395/$U$6)</f>
        <v>0</v>
      </c>
      <c r="N1395" s="12">
        <f>L1395*SIN(RADIANS(K1395))</f>
        <v>0</v>
      </c>
      <c r="O1395" s="12">
        <f>L1395*COS(RADIANS(K1395))</f>
        <v>0</v>
      </c>
      <c r="P1395" s="5">
        <v>6.408524860133042</v>
      </c>
      <c r="Q1395" s="5">
        <v>2.0025236473717087</v>
      </c>
      <c r="R1395" s="6">
        <f>P1395/Q1395</f>
        <v>3.2002243112305635</v>
      </c>
    </row>
    <row r="1396" spans="1:18" x14ac:dyDescent="0.35">
      <c r="A1396" s="9">
        <v>1397</v>
      </c>
      <c r="B1396" s="5">
        <v>0.75</v>
      </c>
      <c r="C1396" s="5">
        <v>6000000</v>
      </c>
      <c r="D1396" s="5">
        <v>20</v>
      </c>
      <c r="E1396" s="5">
        <v>0.375</v>
      </c>
      <c r="F1396" s="5">
        <v>0.1</v>
      </c>
      <c r="G1396" s="12">
        <f>(C1396*$U$4)/($U$5*$U$3)</f>
        <v>88.16326530612244</v>
      </c>
      <c r="H1396" s="11">
        <f>G1396*COS(RADIANS(D1396))</f>
        <v>82.846369832553549</v>
      </c>
      <c r="I1396" s="11">
        <f>G1396*SIN(RADIANS(D1396))</f>
        <v>30.153612636058952</v>
      </c>
      <c r="J1396" s="11">
        <v>0.29299999999999998</v>
      </c>
      <c r="K1396" s="12">
        <v>57</v>
      </c>
      <c r="L1396" s="12">
        <f>-(F1396*G1396*$U$3)/J1396</f>
        <v>-30.089851640314826</v>
      </c>
      <c r="M1396" s="11">
        <f>ABS(L1396/$U$6)</f>
        <v>8.7725514986340597E-2</v>
      </c>
      <c r="N1396" s="12">
        <f>L1396*SIN(RADIANS(K1396))</f>
        <v>-25.235472964576385</v>
      </c>
      <c r="O1396" s="12">
        <f>L1396*COS(RADIANS(K1396))</f>
        <v>-16.388107761126395</v>
      </c>
      <c r="P1396" s="5">
        <v>5.5961289527093969</v>
      </c>
      <c r="Q1396" s="5">
        <v>0.67229968576875099</v>
      </c>
      <c r="R1396" s="6">
        <f>P1396/Q1396</f>
        <v>8.3238607293270128</v>
      </c>
    </row>
    <row r="1397" spans="1:18" x14ac:dyDescent="0.35">
      <c r="A1397" s="9">
        <v>1398</v>
      </c>
      <c r="B1397" s="5">
        <v>1</v>
      </c>
      <c r="C1397" s="5">
        <v>4000000</v>
      </c>
      <c r="D1397" s="5">
        <v>20</v>
      </c>
      <c r="E1397" s="5">
        <v>0</v>
      </c>
      <c r="F1397" s="5">
        <v>7.4999999999999997E-2</v>
      </c>
      <c r="G1397" s="12">
        <f>(C1397*$U$4)/($U$5*$U$3)</f>
        <v>58.775510204081627</v>
      </c>
      <c r="H1397" s="11">
        <f>G1397*COS(RADIANS(D1397))</f>
        <v>55.230913221702366</v>
      </c>
      <c r="I1397" s="11">
        <f>G1397*SIN(RADIANS(D1397))</f>
        <v>20.102408424039304</v>
      </c>
      <c r="J1397" s="11">
        <v>0.33379999999999999</v>
      </c>
      <c r="K1397" s="12">
        <v>0</v>
      </c>
      <c r="L1397" s="12">
        <f>-(F1397*G1397*$U$3)/J1397</f>
        <v>-13.206001393966813</v>
      </c>
      <c r="M1397" s="11">
        <f>ABS(L1397/$U$6)</f>
        <v>3.8501461789990712E-2</v>
      </c>
      <c r="N1397" s="12">
        <f>L1397*SIN(RADIANS(K1397))</f>
        <v>0</v>
      </c>
      <c r="O1397" s="12">
        <f>L1397*COS(RADIANS(K1397))</f>
        <v>-13.206001393966813</v>
      </c>
      <c r="P1397" s="5">
        <v>6.8495672775757024</v>
      </c>
      <c r="Q1397" s="5">
        <v>1.54855639170502</v>
      </c>
      <c r="R1397" s="6">
        <f>P1397/Q1397</f>
        <v>4.4231952509227419</v>
      </c>
    </row>
    <row r="1398" spans="1:18" x14ac:dyDescent="0.35">
      <c r="A1398" s="9">
        <v>1399</v>
      </c>
      <c r="B1398" s="5">
        <v>0.75</v>
      </c>
      <c r="C1398" s="5">
        <v>6000000</v>
      </c>
      <c r="D1398" s="5">
        <v>30</v>
      </c>
      <c r="E1398" s="5">
        <v>0</v>
      </c>
      <c r="F1398" s="5">
        <v>3.5000000000000003E-2</v>
      </c>
      <c r="G1398" s="12">
        <f>(C1398*$U$4)/($U$5*$U$3)</f>
        <v>88.16326530612244</v>
      </c>
      <c r="H1398" s="11">
        <f>G1398*COS(RADIANS(D1398))</f>
        <v>76.351627435689281</v>
      </c>
      <c r="I1398" s="11">
        <f>G1398*SIN(RADIANS(D1398))</f>
        <v>44.081632653061213</v>
      </c>
      <c r="J1398" s="11">
        <v>0.27929999999999999</v>
      </c>
      <c r="K1398" s="12">
        <v>0</v>
      </c>
      <c r="L1398" s="12">
        <f>-(F1398*G1398*$U$3)/J1398</f>
        <v>-11.048028233849932</v>
      </c>
      <c r="M1398" s="11">
        <f>ABS(L1398/$U$6)</f>
        <v>3.2209994850874439E-2</v>
      </c>
      <c r="N1398" s="12">
        <f>L1398*SIN(RADIANS(K1398))</f>
        <v>0</v>
      </c>
      <c r="O1398" s="12">
        <f>L1398*COS(RADIANS(K1398))</f>
        <v>-11.048028233849932</v>
      </c>
      <c r="P1398" s="5">
        <v>4.2137182995624869</v>
      </c>
      <c r="Q1398" s="5">
        <v>1.6542618559111564</v>
      </c>
      <c r="R1398" s="6">
        <f>P1398/Q1398</f>
        <v>2.5471894213758555</v>
      </c>
    </row>
    <row r="1399" spans="1:18" x14ac:dyDescent="0.35">
      <c r="A1399" s="9">
        <v>1400</v>
      </c>
      <c r="B1399" s="5">
        <v>1</v>
      </c>
      <c r="C1399" s="5">
        <v>2000000</v>
      </c>
      <c r="D1399" s="5">
        <v>10</v>
      </c>
      <c r="E1399" s="5">
        <v>0</v>
      </c>
      <c r="F1399" s="5">
        <v>2.5000000000000001E-2</v>
      </c>
      <c r="G1399" s="12">
        <f>(C1399*$U$4)/($U$5*$U$3)</f>
        <v>29.387755102040813</v>
      </c>
      <c r="H1399" s="11">
        <f>G1399*COS(RADIANS(D1399))</f>
        <v>28.941289068113864</v>
      </c>
      <c r="I1399" s="11">
        <f>G1399*SIN(RADIANS(D1399))</f>
        <v>5.1031301191914213</v>
      </c>
      <c r="J1399" s="11">
        <v>0.33379999999999999</v>
      </c>
      <c r="K1399" s="12">
        <v>0</v>
      </c>
      <c r="L1399" s="12">
        <f>-(F1399*G1399*$U$3)/J1399</f>
        <v>-2.2010002323278024</v>
      </c>
      <c r="M1399" s="11">
        <f>ABS(L1399/$U$6)</f>
        <v>6.4169102983317851E-3</v>
      </c>
      <c r="N1399" s="12">
        <f>L1399*SIN(RADIANS(K1399))</f>
        <v>0</v>
      </c>
      <c r="O1399" s="12">
        <f>L1399*COS(RADIANS(K1399))</f>
        <v>-2.2010002323278024</v>
      </c>
      <c r="P1399" s="5">
        <v>3.2341681791053998</v>
      </c>
      <c r="Q1399" s="5">
        <v>1.3196248362857226</v>
      </c>
      <c r="R1399" s="6">
        <f>P1399/Q1399</f>
        <v>2.4508239691884248</v>
      </c>
    </row>
    <row r="1400" spans="1:18" x14ac:dyDescent="0.35">
      <c r="A1400" s="9">
        <v>1401</v>
      </c>
      <c r="B1400" s="5">
        <v>1</v>
      </c>
      <c r="C1400" s="5">
        <v>4000000</v>
      </c>
      <c r="D1400" s="5">
        <v>15</v>
      </c>
      <c r="E1400" s="5">
        <v>0</v>
      </c>
      <c r="F1400" s="5">
        <v>0</v>
      </c>
      <c r="G1400" s="12">
        <f>(C1400*$U$4)/($U$5*$U$3)</f>
        <v>58.775510204081627</v>
      </c>
      <c r="H1400" s="11">
        <f>G1400*COS(RADIANS(D1400))</f>
        <v>56.772783259439109</v>
      </c>
      <c r="I1400" s="11">
        <f>G1400*SIN(RADIANS(D1400))</f>
        <v>15.212221426433871</v>
      </c>
      <c r="J1400" s="11">
        <v>0.33379999999999999</v>
      </c>
      <c r="K1400" s="12">
        <v>0</v>
      </c>
      <c r="L1400" s="12">
        <f>-(F1400*G1400*$U$3)/J1400</f>
        <v>0</v>
      </c>
      <c r="M1400" s="11">
        <f>ABS(L1400/$U$6)</f>
        <v>0</v>
      </c>
      <c r="N1400" s="12">
        <f>L1400*SIN(RADIANS(K1400))</f>
        <v>0</v>
      </c>
      <c r="O1400" s="12">
        <f>L1400*COS(RADIANS(K1400))</f>
        <v>0</v>
      </c>
      <c r="P1400" s="5">
        <v>5.7800394729827254</v>
      </c>
      <c r="Q1400" s="5">
        <v>2.1927920826059437</v>
      </c>
      <c r="R1400" s="6">
        <f>P1400/Q1400</f>
        <v>2.6359268253621422</v>
      </c>
    </row>
    <row r="1401" spans="1:18" x14ac:dyDescent="0.35">
      <c r="A1401" s="9">
        <v>1402</v>
      </c>
      <c r="B1401" s="5">
        <v>0.1</v>
      </c>
      <c r="C1401" s="5">
        <v>2000000</v>
      </c>
      <c r="D1401" s="5">
        <v>0</v>
      </c>
      <c r="E1401" s="5">
        <v>0.25</v>
      </c>
      <c r="F1401" s="5">
        <v>1.4999999999999999E-2</v>
      </c>
      <c r="G1401" s="12">
        <f>(C1401*$U$4)/($U$5*$U$3)</f>
        <v>29.387755102040813</v>
      </c>
      <c r="H1401" s="11">
        <f>G1401*COS(RADIANS(D1401))</f>
        <v>29.387755102040813</v>
      </c>
      <c r="I1401" s="11">
        <f>G1401*SIN(RADIANS(D1401))</f>
        <v>0</v>
      </c>
      <c r="J1401" s="11">
        <v>0.1661</v>
      </c>
      <c r="K1401" s="12">
        <v>80</v>
      </c>
      <c r="L1401" s="12">
        <f>-(F1401*G1401*$U$3)/J1401</f>
        <v>-2.6539212915750285</v>
      </c>
      <c r="M1401" s="11">
        <f>ABS(L1401/$U$6)</f>
        <v>7.7373798588193255E-3</v>
      </c>
      <c r="N1401" s="12">
        <f>L1401*SIN(RADIANS(K1401))</f>
        <v>-2.6136022638272607</v>
      </c>
      <c r="O1401" s="12">
        <f>L1401*COS(RADIANS(K1401))</f>
        <v>-0.46084859595347</v>
      </c>
      <c r="P1401" s="5">
        <v>1.302468164293145</v>
      </c>
      <c r="Q1401" s="5">
        <v>0.22762511073730834</v>
      </c>
      <c r="R1401" s="6">
        <f>P1401/Q1401</f>
        <v>5.7219880534018213</v>
      </c>
    </row>
    <row r="1402" spans="1:18" x14ac:dyDescent="0.35">
      <c r="A1402" s="9">
        <v>1403</v>
      </c>
      <c r="B1402" s="5">
        <v>0.5</v>
      </c>
      <c r="C1402" s="5">
        <v>6000000</v>
      </c>
      <c r="D1402" s="5">
        <v>30</v>
      </c>
      <c r="E1402" s="5">
        <v>0.25</v>
      </c>
      <c r="F1402" s="5">
        <v>0.05</v>
      </c>
      <c r="G1402" s="12">
        <f>(C1402*$U$4)/($U$5*$U$3)</f>
        <v>88.16326530612244</v>
      </c>
      <c r="H1402" s="11">
        <f>G1402*COS(RADIANS(D1402))</f>
        <v>76.351627435689281</v>
      </c>
      <c r="I1402" s="11">
        <f>G1402*SIN(RADIANS(D1402))</f>
        <v>44.081632653061213</v>
      </c>
      <c r="J1402" s="11">
        <v>0.23580000000000001</v>
      </c>
      <c r="K1402" s="11">
        <v>49</v>
      </c>
      <c r="L1402" s="12">
        <f>-(F1402*G1402*$U$3)/J1402</f>
        <v>-18.694500701043772</v>
      </c>
      <c r="M1402" s="11">
        <f>ABS(L1402/$U$6)</f>
        <v>5.4502917495754435E-2</v>
      </c>
      <c r="N1402" s="12">
        <f>L1402*SIN(RADIANS(K1402))</f>
        <v>-14.108918776559062</v>
      </c>
      <c r="O1402" s="12">
        <f>L1402*COS(RADIANS(K1402))</f>
        <v>-12.264695977389135</v>
      </c>
      <c r="P1402" s="5">
        <v>4.128186120240855</v>
      </c>
      <c r="Q1402" s="5">
        <v>1.3194626524274198</v>
      </c>
      <c r="R1402" s="6">
        <f>P1402/Q1402</f>
        <v>3.128687358180406</v>
      </c>
    </row>
    <row r="1403" spans="1:18" x14ac:dyDescent="0.35">
      <c r="A1403" s="9">
        <v>1404</v>
      </c>
      <c r="B1403" s="5">
        <v>0.1</v>
      </c>
      <c r="C1403" s="5">
        <v>4000000</v>
      </c>
      <c r="D1403" s="5">
        <v>20</v>
      </c>
      <c r="E1403" s="5">
        <v>0</v>
      </c>
      <c r="F1403" s="5">
        <v>0.05</v>
      </c>
      <c r="G1403" s="12">
        <f>(C1403*$U$4)/($U$5*$U$3)</f>
        <v>58.775510204081627</v>
      </c>
      <c r="H1403" s="11">
        <f>G1403*COS(RADIANS(D1403))</f>
        <v>55.230913221702366</v>
      </c>
      <c r="I1403" s="11">
        <f>G1403*SIN(RADIANS(D1403))</f>
        <v>20.102408424039304</v>
      </c>
      <c r="J1403" s="11">
        <v>0.16569999999999999</v>
      </c>
      <c r="K1403" s="12">
        <v>0</v>
      </c>
      <c r="L1403" s="12">
        <f>-(F1403*G1403*$U$3)/J1403</f>
        <v>-17.735519071841168</v>
      </c>
      <c r="M1403" s="11">
        <f>ABS(L1403/$U$6)</f>
        <v>5.1707052687583577E-2</v>
      </c>
      <c r="N1403" s="12">
        <f>L1403*SIN(RADIANS(K1403))</f>
        <v>0</v>
      </c>
      <c r="O1403" s="12">
        <f>L1403*COS(RADIANS(K1403))</f>
        <v>-17.735519071841168</v>
      </c>
      <c r="P1403" s="5">
        <v>1.5622022845051204</v>
      </c>
      <c r="Q1403" s="5">
        <v>0.67677002871557423</v>
      </c>
      <c r="R1403" s="6">
        <f>P1403/Q1403</f>
        <v>2.3083207267171493</v>
      </c>
    </row>
    <row r="1404" spans="1:18" x14ac:dyDescent="0.35">
      <c r="A1404" s="9">
        <v>1405</v>
      </c>
      <c r="B1404" s="5">
        <v>0.75</v>
      </c>
      <c r="C1404" s="5">
        <v>4000000</v>
      </c>
      <c r="D1404" s="5">
        <v>30</v>
      </c>
      <c r="E1404" s="5">
        <v>0.125</v>
      </c>
      <c r="F1404" s="5">
        <v>3.5000000000000003E-2</v>
      </c>
      <c r="G1404" s="12">
        <f>(C1404*$U$4)/($U$5*$U$3)</f>
        <v>58.775510204081627</v>
      </c>
      <c r="H1404" s="11">
        <f>G1404*COS(RADIANS(D1404))</f>
        <v>50.901084957126187</v>
      </c>
      <c r="I1404" s="11">
        <f>G1404*SIN(RADIANS(D1404))</f>
        <v>29.38775510204081</v>
      </c>
      <c r="J1404" s="12">
        <v>0.2802</v>
      </c>
      <c r="K1404" s="12">
        <v>19</v>
      </c>
      <c r="L1404" s="12">
        <f>-(F1404*G1404*$U$3)/J1404</f>
        <v>-7.3416947078617305</v>
      </c>
      <c r="M1404" s="11">
        <f>ABS(L1404/$U$6)</f>
        <v>2.1404357748868019E-2</v>
      </c>
      <c r="N1404" s="12">
        <f>L1404*SIN(RADIANS(K1404))</f>
        <v>-2.3902219966264178</v>
      </c>
      <c r="O1404" s="12">
        <f>L1404*COS(RADIANS(K1404))</f>
        <v>-6.9417087226624661</v>
      </c>
      <c r="P1404" s="5">
        <v>2.0825482835103006</v>
      </c>
      <c r="Q1404" s="5">
        <v>1.321070735715385</v>
      </c>
      <c r="R1404" s="6">
        <f>P1404/Q1404</f>
        <v>1.5764093679530045</v>
      </c>
    </row>
    <row r="1405" spans="1:18" x14ac:dyDescent="0.35">
      <c r="A1405" s="9">
        <v>1406</v>
      </c>
      <c r="B1405" s="5">
        <v>0.25</v>
      </c>
      <c r="C1405" s="5">
        <v>6000000</v>
      </c>
      <c r="D1405" s="5">
        <v>20</v>
      </c>
      <c r="E1405" s="5">
        <v>0.125</v>
      </c>
      <c r="F1405" s="5">
        <v>0</v>
      </c>
      <c r="G1405" s="12">
        <f>(C1405*$U$4)/($U$5*$U$3)</f>
        <v>88.16326530612244</v>
      </c>
      <c r="H1405" s="11">
        <f>G1405*COS(RADIANS(D1405))</f>
        <v>82.846369832553549</v>
      </c>
      <c r="I1405" s="11">
        <f>G1405*SIN(RADIANS(D1405))</f>
        <v>30.153612636058952</v>
      </c>
      <c r="J1405" s="11">
        <v>0.19020000000000001</v>
      </c>
      <c r="K1405" s="12">
        <v>46</v>
      </c>
      <c r="L1405" s="12">
        <f>-(F1405*G1405*$U$3)/J1405</f>
        <v>0</v>
      </c>
      <c r="M1405" s="11">
        <f>ABS(L1405/$U$6)</f>
        <v>0</v>
      </c>
      <c r="N1405" s="12">
        <f>L1405*SIN(RADIANS(K1405))</f>
        <v>0</v>
      </c>
      <c r="O1405" s="12">
        <f>L1405*COS(RADIANS(K1405))</f>
        <v>0</v>
      </c>
      <c r="P1405" s="5">
        <v>2.3650192429442463</v>
      </c>
      <c r="Q1405" s="5">
        <v>0.83583342572734798</v>
      </c>
      <c r="R1405" s="6">
        <f>P1405/Q1405</f>
        <v>2.8295341752888028</v>
      </c>
    </row>
    <row r="1406" spans="1:18" x14ac:dyDescent="0.35">
      <c r="A1406" s="9">
        <v>1407</v>
      </c>
      <c r="B1406" s="5">
        <v>0.1</v>
      </c>
      <c r="C1406" s="5">
        <v>6000000</v>
      </c>
      <c r="D1406" s="5">
        <v>15</v>
      </c>
      <c r="E1406" s="5">
        <v>0</v>
      </c>
      <c r="F1406" s="5">
        <v>0.05</v>
      </c>
      <c r="G1406" s="12">
        <f>(C1406*$U$4)/($U$5*$U$3)</f>
        <v>88.16326530612244</v>
      </c>
      <c r="H1406" s="11">
        <f>G1406*COS(RADIANS(D1406))</f>
        <v>85.159174889158663</v>
      </c>
      <c r="I1406" s="11">
        <f>G1406*SIN(RADIANS(D1406))</f>
        <v>22.818332139650806</v>
      </c>
      <c r="J1406" s="11">
        <v>0.16569999999999999</v>
      </c>
      <c r="K1406" s="12">
        <v>0</v>
      </c>
      <c r="L1406" s="12">
        <f>-(F1406*G1406*$U$3)/J1406</f>
        <v>-26.603278607761752</v>
      </c>
      <c r="M1406" s="11">
        <f>ABS(L1406/$U$6)</f>
        <v>7.7560579031375365E-2</v>
      </c>
      <c r="N1406" s="12">
        <f>L1406*SIN(RADIANS(K1406))</f>
        <v>0</v>
      </c>
      <c r="O1406" s="12">
        <f>L1406*COS(RADIANS(K1406))</f>
        <v>-26.603278607761752</v>
      </c>
      <c r="P1406" s="5">
        <v>1.5099066947237312</v>
      </c>
      <c r="Q1406" s="5">
        <v>0.54360783110631561</v>
      </c>
      <c r="R1406" s="6">
        <f>P1406/Q1406</f>
        <v>2.7775661208759015</v>
      </c>
    </row>
    <row r="1407" spans="1:18" x14ac:dyDescent="0.35">
      <c r="A1407" s="9">
        <v>1408</v>
      </c>
      <c r="B1407" s="5">
        <v>1</v>
      </c>
      <c r="C1407" s="5">
        <v>6000000</v>
      </c>
      <c r="D1407" s="5">
        <v>0</v>
      </c>
      <c r="E1407" s="5">
        <v>0.375</v>
      </c>
      <c r="F1407" s="5">
        <v>1.4999999999999999E-2</v>
      </c>
      <c r="G1407" s="12">
        <f>(C1407*$U$4)/($U$5*$U$3)</f>
        <v>88.16326530612244</v>
      </c>
      <c r="H1407" s="11">
        <f>G1407*COS(RADIANS(D1407))</f>
        <v>88.16326530612244</v>
      </c>
      <c r="I1407" s="11">
        <f>G1407*SIN(RADIANS(D1407))</f>
        <v>0</v>
      </c>
      <c r="J1407" s="12">
        <v>0.33379999999999999</v>
      </c>
      <c r="K1407" s="11">
        <v>49</v>
      </c>
      <c r="L1407" s="12">
        <f>-(F1407*G1407*$U$3)/J1407</f>
        <v>-3.9618004181900441</v>
      </c>
      <c r="M1407" s="11">
        <f>ABS(L1407/$U$6)</f>
        <v>1.1550438536997214E-2</v>
      </c>
      <c r="N1407" s="12">
        <f>L1407*SIN(RADIANS(K1407))</f>
        <v>-2.9900087305386109</v>
      </c>
      <c r="O1407" s="12">
        <f>L1407*COS(RADIANS(K1407))</f>
        <v>-2.5991749354119462</v>
      </c>
      <c r="P1407" s="5">
        <v>4.7299241158790526</v>
      </c>
      <c r="Q1407" s="5">
        <v>-0.56236375184713627</v>
      </c>
      <c r="R1407" s="6">
        <f>P1407/Q1407</f>
        <v>-8.4107912367096471</v>
      </c>
    </row>
    <row r="1408" spans="1:18" x14ac:dyDescent="0.35">
      <c r="A1408" s="9">
        <v>1409</v>
      </c>
      <c r="B1408" s="5">
        <v>0.25</v>
      </c>
      <c r="C1408" s="5">
        <v>2000000</v>
      </c>
      <c r="D1408" s="5">
        <v>5</v>
      </c>
      <c r="E1408" s="5">
        <v>0.25</v>
      </c>
      <c r="F1408" s="5">
        <v>0.15</v>
      </c>
      <c r="G1408" s="12">
        <f>(C1408*$U$4)/($U$5*$U$3)</f>
        <v>29.387755102040813</v>
      </c>
      <c r="H1408" s="11">
        <f>G1408*COS(RADIANS(D1408))</f>
        <v>29.275925821471702</v>
      </c>
      <c r="I1408" s="11">
        <f>G1408*SIN(RADIANS(D1408))</f>
        <v>2.5613116236046478</v>
      </c>
      <c r="J1408" s="12">
        <v>0.1913</v>
      </c>
      <c r="K1408" s="11">
        <v>67</v>
      </c>
      <c r="L1408" s="12">
        <f>-(F1408*G1408*$U$3)/J1408</f>
        <v>-23.043195323084799</v>
      </c>
      <c r="M1408" s="11">
        <f>ABS(L1408/$U$6)</f>
        <v>6.7181327472550428E-2</v>
      </c>
      <c r="N1408" s="12">
        <f>L1408*SIN(RADIANS(K1408))</f>
        <v>-21.211373133952133</v>
      </c>
      <c r="O1408" s="12">
        <f>L1408*COS(RADIANS(K1408))</f>
        <v>-9.0036937125876779</v>
      </c>
      <c r="P1408" s="5">
        <v>2.8628744964878177</v>
      </c>
      <c r="Q1408" s="5">
        <v>0.15968732069985897</v>
      </c>
      <c r="R1408" s="6">
        <f>P1408/Q1408</f>
        <v>17.928001321211635</v>
      </c>
    </row>
    <row r="1409" spans="1:18" x14ac:dyDescent="0.35">
      <c r="A1409" s="9">
        <v>1410</v>
      </c>
      <c r="B1409" s="5">
        <v>0.75</v>
      </c>
      <c r="C1409" s="5">
        <v>2000000</v>
      </c>
      <c r="D1409" s="5">
        <v>5</v>
      </c>
      <c r="E1409" s="5">
        <v>0.25</v>
      </c>
      <c r="F1409" s="5">
        <v>2.5000000000000001E-2</v>
      </c>
      <c r="G1409" s="12">
        <f>(C1409*$U$4)/($U$5*$U$3)</f>
        <v>29.387755102040813</v>
      </c>
      <c r="H1409" s="11">
        <f>G1409*COS(RADIANS(D1409))</f>
        <v>29.275925821471702</v>
      </c>
      <c r="I1409" s="11">
        <f>G1409*SIN(RADIANS(D1409))</f>
        <v>2.5613116236046478</v>
      </c>
      <c r="J1409" s="12">
        <v>0.28370000000000001</v>
      </c>
      <c r="K1409" s="11">
        <v>38</v>
      </c>
      <c r="L1409" s="12">
        <f>-(F1409*G1409*$U$3)/J1409</f>
        <v>-2.589685856718436</v>
      </c>
      <c r="M1409" s="11">
        <f>ABS(L1409/$U$6)</f>
        <v>7.5501045385377146E-3</v>
      </c>
      <c r="N1409" s="12">
        <f>L1409*SIN(RADIANS(K1409))</f>
        <v>-1.5943698151772636</v>
      </c>
      <c r="O1409" s="12">
        <f>L1409*COS(RADIANS(K1409))</f>
        <v>-2.0407003035573639</v>
      </c>
      <c r="P1409" s="5">
        <v>4.3021369947336092</v>
      </c>
      <c r="Q1409" s="5">
        <v>5.367811627735089E-2</v>
      </c>
      <c r="R1409" s="6">
        <f>P1409/Q1409</f>
        <v>80.146944287403514</v>
      </c>
    </row>
    <row r="1410" spans="1:18" x14ac:dyDescent="0.35">
      <c r="A1410" s="9">
        <v>534</v>
      </c>
      <c r="B1410" s="5">
        <v>0.1</v>
      </c>
      <c r="C1410" s="5">
        <v>6000000</v>
      </c>
      <c r="D1410" s="5">
        <v>0</v>
      </c>
      <c r="E1410" s="5">
        <v>0.125</v>
      </c>
      <c r="F1410" s="5">
        <v>7.4999999999999997E-2</v>
      </c>
      <c r="G1410" s="12">
        <f>(C1410*$U$4)/($U$5*$U$3)</f>
        <v>88.16326530612244</v>
      </c>
      <c r="H1410" s="11">
        <f>G1410*COS(RADIANS(D1410))</f>
        <v>88.16326530612244</v>
      </c>
      <c r="I1410" s="11">
        <f>G1410*SIN(RADIANS(D1410))</f>
        <v>0</v>
      </c>
      <c r="J1410" s="19">
        <v>0.1658</v>
      </c>
      <c r="K1410" s="12">
        <v>69</v>
      </c>
      <c r="L1410" s="12">
        <f>-(F1410*G1410*$U$3)/J1410</f>
        <v>-39.880849806750199</v>
      </c>
      <c r="M1410" s="11">
        <f>ABS(L1410/$U$6)</f>
        <v>0.11627069914504432</v>
      </c>
      <c r="N1410" s="12">
        <f>L1410*SIN(RADIANS(K1410))</f>
        <v>-37.231980771656694</v>
      </c>
      <c r="O1410" s="12">
        <f>L1410*COS(RADIANS(K1410))</f>
        <v>-14.292018371369158</v>
      </c>
      <c r="P1410" s="5">
        <v>1.3613441528862085</v>
      </c>
      <c r="Q1410" s="5">
        <v>0.22947930218066895</v>
      </c>
      <c r="R1410" s="6">
        <f>P1410/Q1410</f>
        <v>5.9323178166823203</v>
      </c>
    </row>
    <row r="1411" spans="1:18" x14ac:dyDescent="0.35">
      <c r="A1411" s="9">
        <v>1412</v>
      </c>
      <c r="B1411" s="5">
        <v>0.75</v>
      </c>
      <c r="C1411" s="5">
        <v>4000000</v>
      </c>
      <c r="D1411" s="5">
        <v>20</v>
      </c>
      <c r="E1411" s="5">
        <v>0.25</v>
      </c>
      <c r="F1411" s="5">
        <v>7.4999999999999997E-2</v>
      </c>
      <c r="G1411" s="12">
        <f>(C1411*$U$4)/($U$5*$U$3)</f>
        <v>58.775510204081627</v>
      </c>
      <c r="H1411" s="11">
        <f>G1411*COS(RADIANS(D1411))</f>
        <v>55.230913221702366</v>
      </c>
      <c r="I1411" s="11">
        <f>G1411*SIN(RADIANS(D1411))</f>
        <v>20.102408424039304</v>
      </c>
      <c r="J1411" s="12">
        <v>0.28370000000000001</v>
      </c>
      <c r="K1411" s="11">
        <v>38</v>
      </c>
      <c r="L1411" s="12">
        <f>-(F1411*G1411*$U$3)/J1411</f>
        <v>-15.538115140310616</v>
      </c>
      <c r="M1411" s="11">
        <f>ABS(L1411/$U$6)</f>
        <v>4.5300627231226284E-2</v>
      </c>
      <c r="N1411" s="12">
        <f>L1411*SIN(RADIANS(K1411))</f>
        <v>-9.5662188910635813</v>
      </c>
      <c r="O1411" s="12">
        <f>L1411*COS(RADIANS(K1411))</f>
        <v>-12.244201821344184</v>
      </c>
      <c r="P1411" s="5">
        <v>3.8681612070037663</v>
      </c>
      <c r="Q1411" s="5">
        <v>0.77495344967756086</v>
      </c>
      <c r="R1411" s="6">
        <f>P1411/Q1411</f>
        <v>4.9914755636138057</v>
      </c>
    </row>
    <row r="1412" spans="1:18" x14ac:dyDescent="0.35">
      <c r="A1412" s="9">
        <v>1413</v>
      </c>
      <c r="B1412" s="5">
        <v>0.75</v>
      </c>
      <c r="C1412" s="5">
        <v>2000000</v>
      </c>
      <c r="D1412" s="5">
        <v>30</v>
      </c>
      <c r="E1412" s="5">
        <v>0.125</v>
      </c>
      <c r="F1412" s="5">
        <v>3.5000000000000003E-2</v>
      </c>
      <c r="G1412" s="12">
        <f>(C1412*$U$4)/($U$5*$U$3)</f>
        <v>29.387755102040813</v>
      </c>
      <c r="H1412" s="11">
        <f>G1412*COS(RADIANS(D1412))</f>
        <v>25.450542478563094</v>
      </c>
      <c r="I1412" s="11">
        <f>G1412*SIN(RADIANS(D1412))</f>
        <v>14.693877551020405</v>
      </c>
      <c r="J1412" s="12">
        <v>0.2802</v>
      </c>
      <c r="K1412" s="12">
        <v>19</v>
      </c>
      <c r="L1412" s="12">
        <f>-(F1412*G1412*$U$3)/J1412</f>
        <v>-3.6708473539308653</v>
      </c>
      <c r="M1412" s="11">
        <f>ABS(L1412/$U$6)</f>
        <v>1.0702178874434009E-2</v>
      </c>
      <c r="N1412" s="12">
        <f>L1412*SIN(RADIANS(K1412))</f>
        <v>-1.1951109983132089</v>
      </c>
      <c r="O1412" s="12">
        <f>L1412*COS(RADIANS(K1412))</f>
        <v>-3.470854361331233</v>
      </c>
      <c r="P1412" s="5">
        <v>2.0858843791701265</v>
      </c>
      <c r="Q1412" s="5">
        <v>1.3136650526812348</v>
      </c>
      <c r="R1412" s="6">
        <f>P1412/Q1412</f>
        <v>1.5878357842531976</v>
      </c>
    </row>
    <row r="1413" spans="1:18" x14ac:dyDescent="0.35">
      <c r="A1413" s="9">
        <v>1414</v>
      </c>
      <c r="B1413" s="5">
        <v>0.5</v>
      </c>
      <c r="C1413" s="5">
        <v>4000000</v>
      </c>
      <c r="D1413" s="5">
        <v>10</v>
      </c>
      <c r="E1413" s="5">
        <v>0</v>
      </c>
      <c r="F1413" s="5">
        <v>0.05</v>
      </c>
      <c r="G1413" s="12">
        <f>(C1413*$U$4)/($U$5*$U$3)</f>
        <v>58.775510204081627</v>
      </c>
      <c r="H1413" s="11">
        <f>G1413*COS(RADIANS(D1413))</f>
        <v>57.882578136227728</v>
      </c>
      <c r="I1413" s="11">
        <f>G1413*SIN(RADIANS(D1413))</f>
        <v>10.206260238382843</v>
      </c>
      <c r="J1413" s="12">
        <v>0.23230000000000001</v>
      </c>
      <c r="K1413" s="12">
        <v>0</v>
      </c>
      <c r="L1413" s="12">
        <f>-(F1413*G1413*$U$3)/J1413</f>
        <v>-12.650777056410165</v>
      </c>
      <c r="M1413" s="11">
        <f>ABS(L1413/$U$6)</f>
        <v>3.6882731942886778E-2</v>
      </c>
      <c r="N1413" s="12">
        <f>L1413*SIN(RADIANS(K1413))</f>
        <v>0</v>
      </c>
      <c r="O1413" s="12">
        <f>L1413*COS(RADIANS(K1413))</f>
        <v>-12.650777056410165</v>
      </c>
      <c r="P1413" s="5">
        <v>4.1490111266544352</v>
      </c>
      <c r="Q1413" s="5">
        <v>0.62842100053949568</v>
      </c>
      <c r="R1413" s="6">
        <f>P1413/Q1413</f>
        <v>6.6022795595508965</v>
      </c>
    </row>
    <row r="1414" spans="1:18" x14ac:dyDescent="0.35">
      <c r="A1414" s="9">
        <v>1415</v>
      </c>
      <c r="B1414" s="5">
        <v>0.5</v>
      </c>
      <c r="C1414" s="5">
        <v>6000000</v>
      </c>
      <c r="D1414" s="5">
        <v>20</v>
      </c>
      <c r="E1414" s="5">
        <v>0.375</v>
      </c>
      <c r="F1414" s="5">
        <v>7.4999999999999997E-2</v>
      </c>
      <c r="G1414" s="12">
        <f>(C1414*$U$4)/($U$5*$U$3)</f>
        <v>88.16326530612244</v>
      </c>
      <c r="H1414" s="11">
        <f>G1414*COS(RADIANS(D1414))</f>
        <v>82.846369832553549</v>
      </c>
      <c r="I1414" s="11">
        <f>G1414*SIN(RADIANS(D1414))</f>
        <v>30.153612636058952</v>
      </c>
      <c r="J1414" s="12">
        <v>0.24809999999999999</v>
      </c>
      <c r="K1414" s="12">
        <v>67</v>
      </c>
      <c r="L1414" s="12">
        <f>-(F1414*G1414*$U$3)/J1414</f>
        <v>-26.651531229178492</v>
      </c>
      <c r="M1414" s="11">
        <f>ABS(L1414/$U$6)</f>
        <v>7.7701257227925632E-2</v>
      </c>
      <c r="N1414" s="12">
        <f>L1414*SIN(RADIANS(K1414))</f>
        <v>-24.532863848398087</v>
      </c>
      <c r="O1414" s="12">
        <f>L1414*COS(RADIANS(K1414))</f>
        <v>-10.413582873144032</v>
      </c>
      <c r="P1414" s="5">
        <v>4.0361664885424853</v>
      </c>
      <c r="Q1414" s="5">
        <v>0.62944845471836197</v>
      </c>
      <c r="R1414" s="6">
        <f>P1414/Q1414</f>
        <v>6.412227178075149</v>
      </c>
    </row>
    <row r="1415" spans="1:18" x14ac:dyDescent="0.35">
      <c r="A1415" s="9">
        <v>1416</v>
      </c>
      <c r="B1415" s="5">
        <v>0.1</v>
      </c>
      <c r="C1415" s="5">
        <v>4000000</v>
      </c>
      <c r="D1415" s="5">
        <v>20</v>
      </c>
      <c r="E1415" s="5">
        <v>0.125</v>
      </c>
      <c r="F1415" s="5">
        <v>1.4999999999999999E-2</v>
      </c>
      <c r="G1415" s="12">
        <f>(C1415*$U$4)/($U$5*$U$3)</f>
        <v>58.775510204081627</v>
      </c>
      <c r="H1415" s="11">
        <f>G1415*COS(RADIANS(D1415))</f>
        <v>55.230913221702366</v>
      </c>
      <c r="I1415" s="11">
        <f>G1415*SIN(RADIANS(D1415))</f>
        <v>20.102408424039304</v>
      </c>
      <c r="J1415" s="12">
        <v>0.1658</v>
      </c>
      <c r="K1415" s="12">
        <v>69</v>
      </c>
      <c r="L1415" s="12">
        <f>-(F1415*G1415*$U$3)/J1415</f>
        <v>-5.3174466409000267</v>
      </c>
      <c r="M1415" s="11">
        <f>ABS(L1415/$U$6)</f>
        <v>1.5502759886005909E-2</v>
      </c>
      <c r="N1415" s="12">
        <f>L1415*SIN(RADIANS(K1415))</f>
        <v>-4.9642641028875598</v>
      </c>
      <c r="O1415" s="12">
        <f>L1415*COS(RADIANS(K1415))</f>
        <v>-1.9056024495158879</v>
      </c>
      <c r="P1415" s="5">
        <v>1.269118776619659</v>
      </c>
      <c r="Q1415" s="5">
        <v>0.68329620783671008</v>
      </c>
      <c r="R1415" s="6">
        <f>P1415/Q1415</f>
        <v>1.8573478998773327</v>
      </c>
    </row>
    <row r="1416" spans="1:18" x14ac:dyDescent="0.35">
      <c r="A1416" s="9">
        <v>1417</v>
      </c>
      <c r="B1416" s="5">
        <v>1</v>
      </c>
      <c r="C1416" s="5">
        <v>6000000</v>
      </c>
      <c r="D1416" s="5">
        <v>5</v>
      </c>
      <c r="E1416" s="5">
        <v>0.125</v>
      </c>
      <c r="F1416" s="5">
        <v>2.5000000000000001E-2</v>
      </c>
      <c r="G1416" s="12">
        <f>(C1416*$U$4)/($U$5*$U$3)</f>
        <v>88.16326530612244</v>
      </c>
      <c r="H1416" s="11">
        <f>G1416*COS(RADIANS(D1416))</f>
        <v>87.827777464415107</v>
      </c>
      <c r="I1416" s="11">
        <f>G1416*SIN(RADIANS(D1416))</f>
        <v>7.6839348708139434</v>
      </c>
      <c r="J1416" s="11">
        <v>0.33379999999999999</v>
      </c>
      <c r="K1416" s="12">
        <v>14</v>
      </c>
      <c r="L1416" s="12">
        <f>-(F1416*G1416*$U$3)/J1416</f>
        <v>-6.6030006969834067</v>
      </c>
      <c r="M1416" s="11">
        <f>ABS(L1416/$U$6)</f>
        <v>1.9250730894995356E-2</v>
      </c>
      <c r="N1416" s="12">
        <f>L1416*SIN(RADIANS(K1416))</f>
        <v>-1.597410445260153</v>
      </c>
      <c r="O1416" s="12">
        <f>L1416*COS(RADIANS(K1416))</f>
        <v>-6.4068633568804252</v>
      </c>
      <c r="P1416" s="5">
        <v>3.7019237924859794</v>
      </c>
      <c r="Q1416" s="5">
        <v>0.72237646268522371</v>
      </c>
      <c r="R1416" s="6">
        <f>P1416/Q1416</f>
        <v>5.1246461972544868</v>
      </c>
    </row>
    <row r="1417" spans="1:18" x14ac:dyDescent="0.35">
      <c r="A1417" s="9">
        <v>830</v>
      </c>
      <c r="B1417" s="5">
        <v>0.1</v>
      </c>
      <c r="C1417" s="5">
        <v>6000000</v>
      </c>
      <c r="D1417" s="5">
        <v>15</v>
      </c>
      <c r="E1417" s="5">
        <v>0.125</v>
      </c>
      <c r="F1417" s="5">
        <v>7.4999999999999997E-2</v>
      </c>
      <c r="G1417" s="12">
        <f>(C1417*$U$4)/($U$5*$U$3)</f>
        <v>88.16326530612244</v>
      </c>
      <c r="H1417" s="11">
        <f>G1417*COS(RADIANS(D1417))</f>
        <v>85.159174889158663</v>
      </c>
      <c r="I1417" s="11">
        <f>G1417*SIN(RADIANS(D1417))</f>
        <v>22.818332139650806</v>
      </c>
      <c r="J1417" s="12">
        <v>0.1658</v>
      </c>
      <c r="K1417" s="12">
        <v>69</v>
      </c>
      <c r="L1417" s="12">
        <f>-(F1417*G1417*$U$3)/J1417</f>
        <v>-39.880849806750199</v>
      </c>
      <c r="M1417" s="11">
        <f>ABS(L1417/$U$6)</f>
        <v>0.11627069914504432</v>
      </c>
      <c r="N1417" s="12">
        <f>L1417*SIN(RADIANS(K1417))</f>
        <v>-37.231980771656694</v>
      </c>
      <c r="O1417" s="12">
        <f>L1417*COS(RADIANS(K1417))</f>
        <v>-14.292018371369158</v>
      </c>
      <c r="P1417" s="5">
        <v>1.6787632043639047</v>
      </c>
      <c r="Q1417" s="5">
        <v>0.60338252823794902</v>
      </c>
      <c r="R1417" s="6">
        <f>P1417/Q1417</f>
        <v>2.7822535883933819</v>
      </c>
    </row>
    <row r="1418" spans="1:18" x14ac:dyDescent="0.35">
      <c r="A1418" s="9">
        <v>1419</v>
      </c>
      <c r="B1418" s="5">
        <v>0.75</v>
      </c>
      <c r="C1418" s="5">
        <v>2000000</v>
      </c>
      <c r="D1418" s="5">
        <v>15</v>
      </c>
      <c r="E1418" s="5">
        <v>0</v>
      </c>
      <c r="F1418" s="5">
        <v>0.1</v>
      </c>
      <c r="G1418" s="12">
        <f>(C1418*$U$4)/($U$5*$U$3)</f>
        <v>29.387755102040813</v>
      </c>
      <c r="H1418" s="11">
        <f>G1418*COS(RADIANS(D1418))</f>
        <v>28.386391629719554</v>
      </c>
      <c r="I1418" s="11">
        <f>G1418*SIN(RADIANS(D1418))</f>
        <v>7.6061107132169354</v>
      </c>
      <c r="J1418" s="11">
        <v>0.27929999999999999</v>
      </c>
      <c r="K1418" s="12">
        <v>0</v>
      </c>
      <c r="L1418" s="12">
        <f>-(F1418*G1418*$U$3)/J1418</f>
        <v>-10.521931651285648</v>
      </c>
      <c r="M1418" s="11">
        <f>ABS(L1418/$U$6)</f>
        <v>3.0676185572261365E-2</v>
      </c>
      <c r="N1418" s="12">
        <f>L1418*SIN(RADIANS(K1418))</f>
        <v>0</v>
      </c>
      <c r="O1418" s="12">
        <f>L1418*COS(RADIANS(K1418))</f>
        <v>-10.521931651285648</v>
      </c>
      <c r="P1418" s="5">
        <v>2.9373723640839629</v>
      </c>
      <c r="Q1418" s="5">
        <v>0.92209922729495053</v>
      </c>
      <c r="R1418" s="6">
        <f>P1418/Q1418</f>
        <v>3.1855274108633318</v>
      </c>
    </row>
    <row r="1419" spans="1:18" x14ac:dyDescent="0.35">
      <c r="A1419" s="9">
        <v>985</v>
      </c>
      <c r="B1419" s="5">
        <v>0.1</v>
      </c>
      <c r="C1419" s="5">
        <v>6000000</v>
      </c>
      <c r="D1419" s="5">
        <v>30</v>
      </c>
      <c r="E1419" s="5">
        <v>0.125</v>
      </c>
      <c r="F1419" s="5">
        <v>7.4999999999999997E-2</v>
      </c>
      <c r="G1419" s="12">
        <f>(C1419*$U$4)/($U$5*$U$3)</f>
        <v>88.16326530612244</v>
      </c>
      <c r="H1419" s="11">
        <f>G1419*COS(RADIANS(D1419))</f>
        <v>76.351627435689281</v>
      </c>
      <c r="I1419" s="11">
        <f>G1419*SIN(RADIANS(D1419))</f>
        <v>44.081632653061213</v>
      </c>
      <c r="J1419" s="12">
        <v>0.1658</v>
      </c>
      <c r="K1419" s="19">
        <v>69</v>
      </c>
      <c r="L1419" s="12">
        <f>-(F1419*G1419*$U$3)/J1419</f>
        <v>-39.880849806750199</v>
      </c>
      <c r="M1419" s="11">
        <f>ABS(L1419/$U$6)</f>
        <v>0.11627069914504432</v>
      </c>
      <c r="N1419" s="12">
        <f>L1419*SIN(RADIANS(K1419))</f>
        <v>-37.231980771656694</v>
      </c>
      <c r="O1419" s="12">
        <f>L1419*COS(RADIANS(K1419))</f>
        <v>-14.292018371369158</v>
      </c>
      <c r="P1419" s="5">
        <v>1.3355966455352479</v>
      </c>
      <c r="Q1419" s="5">
        <v>1.0050833978366795</v>
      </c>
      <c r="R1419" s="6">
        <f>P1419/Q1419</f>
        <v>1.328841614944549</v>
      </c>
    </row>
    <row r="1420" spans="1:18" x14ac:dyDescent="0.35">
      <c r="A1420" s="9">
        <v>1421</v>
      </c>
      <c r="B1420" s="5">
        <v>0.1</v>
      </c>
      <c r="C1420" s="5">
        <v>4000000</v>
      </c>
      <c r="D1420" s="5">
        <v>0</v>
      </c>
      <c r="E1420" s="5">
        <v>0</v>
      </c>
      <c r="F1420" s="5">
        <v>2.5000000000000001E-2</v>
      </c>
      <c r="G1420" s="12">
        <f>(C1420*$U$4)/($U$5*$U$3)</f>
        <v>58.775510204081627</v>
      </c>
      <c r="H1420" s="11">
        <f>G1420*COS(RADIANS(D1420))</f>
        <v>58.775510204081627</v>
      </c>
      <c r="I1420" s="11">
        <f>G1420*SIN(RADIANS(D1420))</f>
        <v>0</v>
      </c>
      <c r="J1420" s="11">
        <v>0.16569999999999999</v>
      </c>
      <c r="K1420" s="12">
        <v>0</v>
      </c>
      <c r="L1420" s="12">
        <f>-(F1420*G1420*$U$3)/J1420</f>
        <v>-8.8677595359205839</v>
      </c>
      <c r="M1420" s="11">
        <f>ABS(L1420/$U$6)</f>
        <v>2.5853526343791788E-2</v>
      </c>
      <c r="N1420" s="12">
        <f>L1420*SIN(RADIANS(K1420))</f>
        <v>0</v>
      </c>
      <c r="O1420" s="12">
        <f>L1420*COS(RADIANS(K1420))</f>
        <v>-8.8677595359205839</v>
      </c>
      <c r="P1420" s="5">
        <v>1.1248069458091372</v>
      </c>
      <c r="Q1420" s="5">
        <v>0.22435588084241481</v>
      </c>
      <c r="R1420" s="6">
        <f>P1420/Q1420</f>
        <v>5.0134943714677558</v>
      </c>
    </row>
    <row r="1421" spans="1:18" x14ac:dyDescent="0.35">
      <c r="A1421" s="9">
        <v>2297</v>
      </c>
      <c r="B1421" s="5">
        <v>0.1</v>
      </c>
      <c r="C1421" s="5">
        <v>6000000</v>
      </c>
      <c r="D1421" s="5">
        <v>10</v>
      </c>
      <c r="E1421" s="5">
        <v>0.125</v>
      </c>
      <c r="F1421" s="5">
        <v>7.4999999999999997E-2</v>
      </c>
      <c r="G1421" s="12">
        <f>(C1421*$U$4)/($U$5*$U$3)</f>
        <v>88.16326530612244</v>
      </c>
      <c r="H1421" s="11">
        <f>G1421*COS(RADIANS(D1421))</f>
        <v>86.823867204341596</v>
      </c>
      <c r="I1421" s="11">
        <f>G1421*SIN(RADIANS(D1421))</f>
        <v>15.309390357574264</v>
      </c>
      <c r="J1421" s="12">
        <v>0.1658</v>
      </c>
      <c r="K1421" s="19">
        <v>69</v>
      </c>
      <c r="L1421" s="12">
        <f>-(F1421*G1421*$U$3)/J1421</f>
        <v>-39.880849806750199</v>
      </c>
      <c r="M1421" s="11">
        <f>ABS(L1421/$U$6)</f>
        <v>0.11627069914504432</v>
      </c>
      <c r="N1421" s="12">
        <f>L1421*SIN(RADIANS(K1421))</f>
        <v>-37.231980771656694</v>
      </c>
      <c r="O1421" s="12">
        <f>L1421*COS(RADIANS(K1421))</f>
        <v>-14.292018371369158</v>
      </c>
      <c r="P1421" s="5">
        <v>1.6274105322567736</v>
      </c>
      <c r="Q1421" s="5">
        <v>0.4675684487273416</v>
      </c>
      <c r="R1421" s="6">
        <f>P1421/Q1421</f>
        <v>3.480582440253114</v>
      </c>
    </row>
    <row r="1422" spans="1:18" x14ac:dyDescent="0.35">
      <c r="A1422" s="9">
        <v>109</v>
      </c>
      <c r="B1422" s="5">
        <v>0.1</v>
      </c>
      <c r="C1422" s="5">
        <v>6000000</v>
      </c>
      <c r="D1422" s="5">
        <v>30</v>
      </c>
      <c r="E1422" s="5">
        <v>0.25</v>
      </c>
      <c r="F1422" s="5">
        <v>7.4999999999999997E-2</v>
      </c>
      <c r="G1422" s="12">
        <f>(C1422*$U$4)/($U$5*$U$3)</f>
        <v>88.16326530612244</v>
      </c>
      <c r="H1422" s="11">
        <f>G1422*COS(RADIANS(D1422))</f>
        <v>76.351627435689281</v>
      </c>
      <c r="I1422" s="11">
        <f>G1422*SIN(RADIANS(D1422))</f>
        <v>44.081632653061213</v>
      </c>
      <c r="J1422" s="11">
        <v>0.1661</v>
      </c>
      <c r="K1422" s="12">
        <v>80</v>
      </c>
      <c r="L1422" s="12">
        <f>-(F1422*G1422*$U$3)/J1422</f>
        <v>-39.808819373625425</v>
      </c>
      <c r="M1422" s="11">
        <f>ABS(L1422/$U$6)</f>
        <v>0.11606069788228987</v>
      </c>
      <c r="N1422" s="12">
        <f>L1422*SIN(RADIANS(K1422))</f>
        <v>-39.20403395740891</v>
      </c>
      <c r="O1422" s="12">
        <f>L1422*COS(RADIANS(K1422))</f>
        <v>-6.912728939302049</v>
      </c>
      <c r="P1422" s="5">
        <v>1.2880372434547551</v>
      </c>
      <c r="Q1422" s="5">
        <v>0.99854396739802798</v>
      </c>
      <c r="R1422" s="6">
        <f>P1422/Q1422</f>
        <v>1.2899154023343398</v>
      </c>
    </row>
    <row r="1423" spans="1:18" x14ac:dyDescent="0.35">
      <c r="A1423" s="9">
        <v>1424</v>
      </c>
      <c r="B1423" s="5">
        <v>0.1</v>
      </c>
      <c r="C1423" s="5">
        <v>2000000</v>
      </c>
      <c r="D1423" s="5">
        <v>15</v>
      </c>
      <c r="E1423" s="5">
        <v>0.375</v>
      </c>
      <c r="F1423" s="5">
        <v>0</v>
      </c>
      <c r="G1423" s="12">
        <f>(C1423*$U$4)/($U$5*$U$3)</f>
        <v>29.387755102040813</v>
      </c>
      <c r="H1423" s="11">
        <f>G1423*COS(RADIANS(D1423))</f>
        <v>28.386391629719554</v>
      </c>
      <c r="I1423" s="11">
        <f>G1423*SIN(RADIANS(D1423))</f>
        <v>7.6061107132169354</v>
      </c>
      <c r="J1423" s="12">
        <v>0.16789999999999999</v>
      </c>
      <c r="K1423" s="11">
        <v>85</v>
      </c>
      <c r="L1423" s="12">
        <f>-(F1423*G1423*$U$3)/J1423</f>
        <v>0</v>
      </c>
      <c r="M1423" s="11">
        <f>ABS(L1423/$U$6)</f>
        <v>0</v>
      </c>
      <c r="N1423" s="12">
        <f>L1423*SIN(RADIANS(K1423))</f>
        <v>0</v>
      </c>
      <c r="O1423" s="12">
        <f>L1423*COS(RADIANS(K1423))</f>
        <v>0</v>
      </c>
      <c r="P1423" s="5">
        <v>1.7392541815902214</v>
      </c>
      <c r="Q1423" s="5">
        <v>0.7202520935193093</v>
      </c>
      <c r="R1423" s="6">
        <f>P1423/Q1423</f>
        <v>2.4147853192509929</v>
      </c>
    </row>
    <row r="1424" spans="1:18" x14ac:dyDescent="0.35">
      <c r="A1424" s="9">
        <v>1425</v>
      </c>
      <c r="B1424" s="5">
        <v>0.75</v>
      </c>
      <c r="C1424" s="5">
        <v>4000000</v>
      </c>
      <c r="D1424" s="5">
        <v>10</v>
      </c>
      <c r="E1424" s="5">
        <v>0.25</v>
      </c>
      <c r="F1424" s="5">
        <v>2.5000000000000001E-2</v>
      </c>
      <c r="G1424" s="12">
        <f>(C1424*$U$4)/($U$5*$U$3)</f>
        <v>58.775510204081627</v>
      </c>
      <c r="H1424" s="11">
        <f>G1424*COS(RADIANS(D1424))</f>
        <v>57.882578136227728</v>
      </c>
      <c r="I1424" s="11">
        <f>G1424*SIN(RADIANS(D1424))</f>
        <v>10.206260238382843</v>
      </c>
      <c r="J1424" s="12">
        <v>0.28370000000000001</v>
      </c>
      <c r="K1424" s="11">
        <v>38</v>
      </c>
      <c r="L1424" s="12">
        <f>-(F1424*G1424*$U$3)/J1424</f>
        <v>-5.179371713436872</v>
      </c>
      <c r="M1424" s="11">
        <f>ABS(L1424/$U$6)</f>
        <v>1.5100209077075429E-2</v>
      </c>
      <c r="N1424" s="12">
        <f>L1424*SIN(RADIANS(K1424))</f>
        <v>-3.1887396303545272</v>
      </c>
      <c r="O1424" s="12">
        <f>L1424*COS(RADIANS(K1424))</f>
        <v>-4.0814006071147277</v>
      </c>
      <c r="P1424" s="5">
        <v>4.1452012029139667</v>
      </c>
      <c r="Q1424" s="5">
        <v>0.35364383556512285</v>
      </c>
      <c r="R1424" s="6">
        <f>P1424/Q1424</f>
        <v>11.721400986079498</v>
      </c>
    </row>
    <row r="1425" spans="1:18" x14ac:dyDescent="0.35">
      <c r="A1425" s="9">
        <v>1426</v>
      </c>
      <c r="B1425" s="5">
        <v>0.5</v>
      </c>
      <c r="C1425" s="5">
        <v>4000000</v>
      </c>
      <c r="D1425" s="5">
        <v>30</v>
      </c>
      <c r="E1425" s="5">
        <v>0.375</v>
      </c>
      <c r="F1425" s="5">
        <v>7.4999999999999997E-2</v>
      </c>
      <c r="G1425" s="12">
        <f>(C1425*$U$4)/($U$5*$U$3)</f>
        <v>58.775510204081627</v>
      </c>
      <c r="H1425" s="11">
        <f>G1425*COS(RADIANS(D1425))</f>
        <v>50.901084957126187</v>
      </c>
      <c r="I1425" s="11">
        <f>G1425*SIN(RADIANS(D1425))</f>
        <v>29.38775510204081</v>
      </c>
      <c r="J1425" s="12">
        <v>0.24809999999999999</v>
      </c>
      <c r="K1425" s="12">
        <v>67</v>
      </c>
      <c r="L1425" s="12">
        <f>-(F1425*G1425*$U$3)/J1425</f>
        <v>-17.767687486118994</v>
      </c>
      <c r="M1425" s="11">
        <f>ABS(L1425/$U$6)</f>
        <v>5.1800838151950419E-2</v>
      </c>
      <c r="N1425" s="12">
        <f>L1425*SIN(RADIANS(K1425))</f>
        <v>-16.355242565598722</v>
      </c>
      <c r="O1425" s="12">
        <f>L1425*COS(RADIANS(K1425))</f>
        <v>-6.9423885820960214</v>
      </c>
      <c r="P1425" s="5">
        <v>4.2475708399450101</v>
      </c>
      <c r="Q1425" s="5">
        <v>1.1801808803042306</v>
      </c>
      <c r="R1425" s="6">
        <f>P1425/Q1425</f>
        <v>3.5990846071409481</v>
      </c>
    </row>
    <row r="1426" spans="1:18" x14ac:dyDescent="0.35">
      <c r="A1426" s="9">
        <v>1427</v>
      </c>
      <c r="B1426" s="5">
        <v>1</v>
      </c>
      <c r="C1426" s="5">
        <v>2000000</v>
      </c>
      <c r="D1426" s="5">
        <v>5</v>
      </c>
      <c r="E1426" s="5">
        <v>0.375</v>
      </c>
      <c r="F1426" s="5">
        <v>7.4999999999999997E-2</v>
      </c>
      <c r="G1426" s="12">
        <f>(C1426*$U$4)/($U$5*$U$3)</f>
        <v>29.387755102040813</v>
      </c>
      <c r="H1426" s="11">
        <f>G1426*COS(RADIANS(D1426))</f>
        <v>29.275925821471702</v>
      </c>
      <c r="I1426" s="11">
        <f>G1426*SIN(RADIANS(D1426))</f>
        <v>2.5613116236046478</v>
      </c>
      <c r="J1426" s="12">
        <v>0.33379999999999999</v>
      </c>
      <c r="K1426" s="11">
        <v>49</v>
      </c>
      <c r="L1426" s="12">
        <f>-(F1426*G1426*$U$3)/J1426</f>
        <v>-6.6030006969834067</v>
      </c>
      <c r="M1426" s="11">
        <f>ABS(L1426/$U$6)</f>
        <v>1.9250730894995356E-2</v>
      </c>
      <c r="N1426" s="12">
        <f>L1426*SIN(RADIANS(K1426))</f>
        <v>-4.9833478842310184</v>
      </c>
      <c r="O1426" s="12">
        <f>L1426*COS(RADIANS(K1426))</f>
        <v>-4.3319582256865763</v>
      </c>
      <c r="P1426" s="5">
        <v>5.6126119338701068</v>
      </c>
      <c r="Q1426" s="5">
        <v>-0.42594745829108188</v>
      </c>
      <c r="R1426" s="6">
        <f>P1426/Q1426</f>
        <v>-13.176770572568103</v>
      </c>
    </row>
    <row r="1427" spans="1:18" x14ac:dyDescent="0.35">
      <c r="A1427" s="9">
        <v>1428</v>
      </c>
      <c r="B1427" s="5">
        <v>0.75</v>
      </c>
      <c r="C1427" s="5">
        <v>2000000</v>
      </c>
      <c r="D1427" s="5">
        <v>0</v>
      </c>
      <c r="E1427" s="5">
        <v>0.375</v>
      </c>
      <c r="F1427" s="5">
        <v>0.05</v>
      </c>
      <c r="G1427" s="12">
        <f>(C1427*$U$4)/($U$5*$U$3)</f>
        <v>29.387755102040813</v>
      </c>
      <c r="H1427" s="11">
        <f>G1427*COS(RADIANS(D1427))</f>
        <v>29.387755102040813</v>
      </c>
      <c r="I1427" s="11">
        <f>G1427*SIN(RADIANS(D1427))</f>
        <v>0</v>
      </c>
      <c r="J1427" s="11">
        <v>0.29299999999999998</v>
      </c>
      <c r="K1427" s="12">
        <v>57</v>
      </c>
      <c r="L1427" s="12">
        <f>-(F1427*G1427*$U$3)/J1427</f>
        <v>-5.0149752733858044</v>
      </c>
      <c r="M1427" s="11">
        <f>ABS(L1427/$U$6)</f>
        <v>1.46209191643901E-2</v>
      </c>
      <c r="N1427" s="12">
        <f>L1427*SIN(RADIANS(K1427))</f>
        <v>-4.2059121607627308</v>
      </c>
      <c r="O1427" s="12">
        <f>L1427*COS(RADIANS(K1427))</f>
        <v>-2.7313512935210662</v>
      </c>
      <c r="P1427" s="5">
        <v>4.1695966323896219</v>
      </c>
      <c r="Q1427" s="5">
        <v>-0.47181089267177867</v>
      </c>
      <c r="R1427" s="6">
        <f>P1427/Q1427</f>
        <v>-8.8374318972967316</v>
      </c>
    </row>
    <row r="1428" spans="1:18" x14ac:dyDescent="0.35">
      <c r="A1428" s="9">
        <v>1429</v>
      </c>
      <c r="B1428" s="5">
        <v>0.25</v>
      </c>
      <c r="C1428" s="5">
        <v>6000000</v>
      </c>
      <c r="D1428" s="5">
        <v>20</v>
      </c>
      <c r="E1428" s="5">
        <v>0.25</v>
      </c>
      <c r="F1428" s="5">
        <v>3.5000000000000003E-2</v>
      </c>
      <c r="G1428" s="12">
        <f>(C1428*$U$4)/($U$5*$U$3)</f>
        <v>88.16326530612244</v>
      </c>
      <c r="H1428" s="11">
        <f>G1428*COS(RADIANS(D1428))</f>
        <v>82.846369832553549</v>
      </c>
      <c r="I1428" s="11">
        <f>G1428*SIN(RADIANS(D1428))</f>
        <v>30.153612636058952</v>
      </c>
      <c r="J1428" s="12">
        <v>0.1913</v>
      </c>
      <c r="K1428" s="11">
        <v>67</v>
      </c>
      <c r="L1428" s="12">
        <f>-(F1428*G1428*$U$3)/J1428</f>
        <v>-16.13023672615936</v>
      </c>
      <c r="M1428" s="11">
        <f>ABS(L1428/$U$6)</f>
        <v>4.702692923078531E-2</v>
      </c>
      <c r="N1428" s="12">
        <f>L1428*SIN(RADIANS(K1428))</f>
        <v>-14.847961193766494</v>
      </c>
      <c r="O1428" s="12">
        <f>L1428*COS(RADIANS(K1428))</f>
        <v>-6.3025855988113744</v>
      </c>
      <c r="P1428" s="5">
        <v>2.2352220668773195</v>
      </c>
      <c r="Q1428" s="5">
        <v>0.65425530742518201</v>
      </c>
      <c r="R1428" s="6">
        <f>P1428/Q1428</f>
        <v>3.4164370414877077</v>
      </c>
    </row>
    <row r="1429" spans="1:18" x14ac:dyDescent="0.35">
      <c r="A1429" s="9">
        <v>1430</v>
      </c>
      <c r="B1429" s="5">
        <v>0.75</v>
      </c>
      <c r="C1429" s="5">
        <v>2000000</v>
      </c>
      <c r="D1429" s="5">
        <v>30</v>
      </c>
      <c r="E1429" s="5">
        <v>0.375</v>
      </c>
      <c r="F1429" s="5">
        <v>3.5000000000000003E-2</v>
      </c>
      <c r="G1429" s="12">
        <f>(C1429*$U$4)/($U$5*$U$3)</f>
        <v>29.387755102040813</v>
      </c>
      <c r="H1429" s="11">
        <f>G1429*COS(RADIANS(D1429))</f>
        <v>25.450542478563094</v>
      </c>
      <c r="I1429" s="11">
        <f>G1429*SIN(RADIANS(D1429))</f>
        <v>14.693877551020405</v>
      </c>
      <c r="J1429" s="11">
        <v>0.29299999999999998</v>
      </c>
      <c r="K1429" s="12">
        <v>57</v>
      </c>
      <c r="L1429" s="12">
        <f>-(F1429*G1429*$U$3)/J1429</f>
        <v>-3.5104826913700631</v>
      </c>
      <c r="M1429" s="11">
        <f>ABS(L1429/$U$6)</f>
        <v>1.023464341507307E-2</v>
      </c>
      <c r="N1429" s="12">
        <f>L1429*SIN(RADIANS(K1429))</f>
        <v>-2.9441385125339115</v>
      </c>
      <c r="O1429" s="12">
        <f>L1429*COS(RADIANS(K1429))</f>
        <v>-1.9119459054647463</v>
      </c>
      <c r="P1429" s="5">
        <v>4.3252544293162076</v>
      </c>
      <c r="Q1429" s="5">
        <v>1.3163209225272028</v>
      </c>
      <c r="R1429" s="6">
        <f>P1429/Q1429</f>
        <v>3.2858662012392519</v>
      </c>
    </row>
    <row r="1430" spans="1:18" x14ac:dyDescent="0.35">
      <c r="A1430" s="9">
        <v>1431</v>
      </c>
      <c r="B1430" s="5">
        <v>0.1</v>
      </c>
      <c r="C1430" s="5">
        <v>6000000</v>
      </c>
      <c r="D1430" s="5">
        <v>5</v>
      </c>
      <c r="E1430" s="5">
        <v>0.25</v>
      </c>
      <c r="F1430" s="5">
        <v>3.5000000000000003E-2</v>
      </c>
      <c r="G1430" s="12">
        <f>(C1430*$U$4)/($U$5*$U$3)</f>
        <v>88.16326530612244</v>
      </c>
      <c r="H1430" s="11">
        <f>G1430*COS(RADIANS(D1430))</f>
        <v>87.827777464415107</v>
      </c>
      <c r="I1430" s="11">
        <f>G1430*SIN(RADIANS(D1430))</f>
        <v>7.6839348708139434</v>
      </c>
      <c r="J1430" s="11">
        <v>0.1661</v>
      </c>
      <c r="K1430" s="12">
        <v>80</v>
      </c>
      <c r="L1430" s="12">
        <f>-(F1430*G1430*$U$3)/J1430</f>
        <v>-18.577449041025201</v>
      </c>
      <c r="M1430" s="11">
        <f>ABS(L1430/$U$6)</f>
        <v>5.416165901173528E-2</v>
      </c>
      <c r="N1430" s="12">
        <f>L1430*SIN(RADIANS(K1430))</f>
        <v>-18.295215846790825</v>
      </c>
      <c r="O1430" s="12">
        <f>L1430*COS(RADIANS(K1430))</f>
        <v>-3.2259401716742899</v>
      </c>
      <c r="P1430" s="5">
        <v>1.585736070126134</v>
      </c>
      <c r="Q1430" s="5">
        <v>0.34840063595636833</v>
      </c>
      <c r="R1430" s="6">
        <f>P1430/Q1430</f>
        <v>4.5514729494486987</v>
      </c>
    </row>
    <row r="1431" spans="1:18" x14ac:dyDescent="0.35">
      <c r="A1431" s="9">
        <v>667</v>
      </c>
      <c r="B1431" s="5">
        <v>0.1</v>
      </c>
      <c r="C1431" s="5">
        <v>6000000</v>
      </c>
      <c r="D1431" s="5">
        <v>15</v>
      </c>
      <c r="E1431" s="5">
        <v>0.25</v>
      </c>
      <c r="F1431" s="5">
        <v>7.4999999999999997E-2</v>
      </c>
      <c r="G1431" s="12">
        <f>(C1431*$U$4)/($U$5*$U$3)</f>
        <v>88.16326530612244</v>
      </c>
      <c r="H1431" s="11">
        <f>G1431*COS(RADIANS(D1431))</f>
        <v>85.159174889158663</v>
      </c>
      <c r="I1431" s="11">
        <f>G1431*SIN(RADIANS(D1431))</f>
        <v>22.818332139650806</v>
      </c>
      <c r="J1431" s="20">
        <v>0.1661</v>
      </c>
      <c r="K1431" s="19">
        <v>80</v>
      </c>
      <c r="L1431" s="12">
        <f>-(F1431*G1431*$U$3)/J1431</f>
        <v>-39.808819373625425</v>
      </c>
      <c r="M1431" s="11">
        <f>ABS(L1431/$U$6)</f>
        <v>0.11606069788228987</v>
      </c>
      <c r="N1431" s="12">
        <f>L1431*SIN(RADIANS(K1431))</f>
        <v>-39.20403395740891</v>
      </c>
      <c r="O1431" s="12">
        <f>L1431*COS(RADIANS(K1431))</f>
        <v>-6.912728939302049</v>
      </c>
      <c r="P1431" s="5">
        <v>1.7872712624054041</v>
      </c>
      <c r="Q1431" s="5">
        <v>0.65811202928282231</v>
      </c>
      <c r="R1431" s="6">
        <f>P1431/Q1431</f>
        <v>2.7157553469324718</v>
      </c>
    </row>
    <row r="1432" spans="1:18" x14ac:dyDescent="0.35">
      <c r="A1432" s="9">
        <v>1433</v>
      </c>
      <c r="B1432" s="5">
        <v>0.1</v>
      </c>
      <c r="C1432" s="5">
        <v>2000000</v>
      </c>
      <c r="D1432" s="5">
        <v>30</v>
      </c>
      <c r="E1432" s="5">
        <v>0</v>
      </c>
      <c r="F1432" s="5">
        <v>0.15</v>
      </c>
      <c r="G1432" s="12">
        <f>(C1432*$U$4)/($U$5*$U$3)</f>
        <v>29.387755102040813</v>
      </c>
      <c r="H1432" s="11">
        <f>G1432*COS(RADIANS(D1432))</f>
        <v>25.450542478563094</v>
      </c>
      <c r="I1432" s="11">
        <f>G1432*SIN(RADIANS(D1432))</f>
        <v>14.693877551020405</v>
      </c>
      <c r="J1432" s="11">
        <v>0.16569999999999999</v>
      </c>
      <c r="K1432" s="12">
        <v>0</v>
      </c>
      <c r="L1432" s="12">
        <f>-(F1432*G1432*$U$3)/J1432</f>
        <v>-26.603278607761752</v>
      </c>
      <c r="M1432" s="11">
        <f>ABS(L1432/$U$6)</f>
        <v>7.7560579031375365E-2</v>
      </c>
      <c r="N1432" s="12">
        <f>L1432*SIN(RADIANS(K1432))</f>
        <v>0</v>
      </c>
      <c r="O1432" s="12">
        <f>L1432*COS(RADIANS(K1432))</f>
        <v>-26.603278607761752</v>
      </c>
      <c r="P1432" s="5">
        <v>2.089945645885205</v>
      </c>
      <c r="Q1432" s="5">
        <v>1.1394624412801095</v>
      </c>
      <c r="R1432" s="6">
        <f>P1432/Q1432</f>
        <v>1.8341505346479796</v>
      </c>
    </row>
    <row r="1433" spans="1:18" x14ac:dyDescent="0.35">
      <c r="A1433" s="9">
        <v>1434</v>
      </c>
      <c r="B1433" s="5">
        <v>1</v>
      </c>
      <c r="C1433" s="5">
        <v>2000000</v>
      </c>
      <c r="D1433" s="5">
        <v>10</v>
      </c>
      <c r="E1433" s="5">
        <v>0.25</v>
      </c>
      <c r="F1433" s="5">
        <v>2.5000000000000001E-2</v>
      </c>
      <c r="G1433" s="12">
        <f>(C1433*$U$4)/($U$5*$U$3)</f>
        <v>29.387755102040813</v>
      </c>
      <c r="H1433" s="11">
        <f>G1433*COS(RADIANS(D1433))</f>
        <v>28.941289068113864</v>
      </c>
      <c r="I1433" s="11">
        <f>G1433*SIN(RADIANS(D1433))</f>
        <v>5.1031301191914213</v>
      </c>
      <c r="J1433" s="13">
        <v>0.33379999999999999</v>
      </c>
      <c r="K1433" s="12">
        <v>30</v>
      </c>
      <c r="L1433" s="12">
        <f>-(F1433*G1433*$U$3)/J1433</f>
        <v>-2.2010002323278024</v>
      </c>
      <c r="M1433" s="11">
        <f>ABS(L1433/$U$6)</f>
        <v>6.4169102983317851E-3</v>
      </c>
      <c r="N1433" s="12">
        <f>L1433*SIN(RADIANS(K1433))</f>
        <v>-1.100500116163901</v>
      </c>
      <c r="O1433" s="12">
        <f>L1433*COS(RADIANS(K1433))</f>
        <v>-1.9061221149313285</v>
      </c>
      <c r="P1433" s="5">
        <v>4.4233877762938896</v>
      </c>
      <c r="Q1433" s="5">
        <v>0.40875573015945404</v>
      </c>
      <c r="R1433" s="6">
        <f>P1433/Q1433</f>
        <v>10.821592090142303</v>
      </c>
    </row>
    <row r="1434" spans="1:18" x14ac:dyDescent="0.35">
      <c r="A1434" s="9">
        <v>1435</v>
      </c>
      <c r="B1434" s="5">
        <v>1</v>
      </c>
      <c r="C1434" s="5">
        <v>4000000</v>
      </c>
      <c r="D1434" s="5">
        <v>0</v>
      </c>
      <c r="E1434" s="5">
        <v>0.125</v>
      </c>
      <c r="F1434" s="5">
        <v>0.1</v>
      </c>
      <c r="G1434" s="12">
        <f>(C1434*$U$4)/($U$5*$U$3)</f>
        <v>58.775510204081627</v>
      </c>
      <c r="H1434" s="11">
        <f>G1434*COS(RADIANS(D1434))</f>
        <v>58.775510204081627</v>
      </c>
      <c r="I1434" s="11">
        <f>G1434*SIN(RADIANS(D1434))</f>
        <v>0</v>
      </c>
      <c r="J1434" s="11">
        <v>0.33379999999999999</v>
      </c>
      <c r="K1434" s="12">
        <v>14</v>
      </c>
      <c r="L1434" s="12">
        <f>-(F1434*G1434*$U$3)/J1434</f>
        <v>-17.608001858622419</v>
      </c>
      <c r="M1434" s="11">
        <f>ABS(L1434/$U$6)</f>
        <v>5.1335282386654281E-2</v>
      </c>
      <c r="N1434" s="12">
        <f>L1434*SIN(RADIANS(K1434))</f>
        <v>-4.2597611873604082</v>
      </c>
      <c r="O1434" s="12">
        <f>L1434*COS(RADIANS(K1434))</f>
        <v>-17.084968951681137</v>
      </c>
      <c r="P1434" s="5">
        <v>3.025986103275752</v>
      </c>
      <c r="Q1434" s="5">
        <v>0.59712418070804407</v>
      </c>
      <c r="R1434" s="6">
        <f>P1434/Q1434</f>
        <v>5.0675993386964642</v>
      </c>
    </row>
    <row r="1435" spans="1:18" x14ac:dyDescent="0.35">
      <c r="A1435" s="9">
        <v>1436</v>
      </c>
      <c r="B1435" s="5">
        <v>0.25</v>
      </c>
      <c r="C1435" s="5">
        <v>2000000</v>
      </c>
      <c r="D1435" s="5">
        <v>5</v>
      </c>
      <c r="E1435" s="5">
        <v>0.25</v>
      </c>
      <c r="F1435" s="5">
        <v>1.4999999999999999E-2</v>
      </c>
      <c r="G1435" s="12">
        <f>(C1435*$U$4)/($U$5*$U$3)</f>
        <v>29.387755102040813</v>
      </c>
      <c r="H1435" s="11">
        <f>G1435*COS(RADIANS(D1435))</f>
        <v>29.275925821471702</v>
      </c>
      <c r="I1435" s="11">
        <f>G1435*SIN(RADIANS(D1435))</f>
        <v>2.5613116236046478</v>
      </c>
      <c r="J1435" s="12">
        <v>0.1913</v>
      </c>
      <c r="K1435" s="11">
        <v>67</v>
      </c>
      <c r="L1435" s="12">
        <f>-(F1435*G1435*$U$3)/J1435</f>
        <v>-2.30431953230848</v>
      </c>
      <c r="M1435" s="11">
        <f>ABS(L1435/$U$6)</f>
        <v>6.7181327472550434E-3</v>
      </c>
      <c r="N1435" s="12">
        <f>L1435*SIN(RADIANS(K1435))</f>
        <v>-2.1211373133952134</v>
      </c>
      <c r="O1435" s="12">
        <f>L1435*COS(RADIANS(K1435))</f>
        <v>-0.90036937125876781</v>
      </c>
      <c r="P1435" s="5">
        <v>2.1025951453018954</v>
      </c>
      <c r="Q1435" s="5">
        <v>0.31012871973062961</v>
      </c>
      <c r="R1435" s="6">
        <f>P1435/Q1435</f>
        <v>6.7797498636313307</v>
      </c>
    </row>
    <row r="1436" spans="1:18" x14ac:dyDescent="0.35">
      <c r="A1436" s="9">
        <v>1437</v>
      </c>
      <c r="B1436" s="5">
        <v>1</v>
      </c>
      <c r="C1436" s="5">
        <v>2000000</v>
      </c>
      <c r="D1436" s="5">
        <v>0</v>
      </c>
      <c r="E1436" s="5">
        <v>0</v>
      </c>
      <c r="F1436" s="5">
        <v>2.5000000000000001E-2</v>
      </c>
      <c r="G1436" s="12">
        <f>(C1436*$U$4)/($U$5*$U$3)</f>
        <v>29.387755102040813</v>
      </c>
      <c r="H1436" s="11">
        <f>G1436*COS(RADIANS(D1436))</f>
        <v>29.387755102040813</v>
      </c>
      <c r="I1436" s="11">
        <f>G1436*SIN(RADIANS(D1436))</f>
        <v>0</v>
      </c>
      <c r="J1436" s="11">
        <v>0.33379999999999999</v>
      </c>
      <c r="K1436" s="12">
        <v>0</v>
      </c>
      <c r="L1436" s="12">
        <f>-(F1436*G1436*$U$3)/J1436</f>
        <v>-2.2010002323278024</v>
      </c>
      <c r="M1436" s="11">
        <f>ABS(L1436/$U$6)</f>
        <v>6.4169102983317851E-3</v>
      </c>
      <c r="N1436" s="12">
        <f>L1436*SIN(RADIANS(K1436))</f>
        <v>0</v>
      </c>
      <c r="O1436" s="12">
        <f>L1436*COS(RADIANS(K1436))</f>
        <v>-2.2010002323278024</v>
      </c>
      <c r="P1436" s="5">
        <v>3.7195416819561737</v>
      </c>
      <c r="Q1436" s="5">
        <v>1.0156342936691103</v>
      </c>
      <c r="R1436" s="6">
        <f>P1436/Q1436</f>
        <v>3.6622844513440445</v>
      </c>
    </row>
    <row r="1437" spans="1:18" x14ac:dyDescent="0.35">
      <c r="A1437" s="9">
        <v>1438</v>
      </c>
      <c r="B1437" s="5">
        <v>0.1</v>
      </c>
      <c r="C1437" s="5">
        <v>4000000</v>
      </c>
      <c r="D1437" s="5">
        <v>10</v>
      </c>
      <c r="E1437" s="5">
        <v>0.25</v>
      </c>
      <c r="F1437" s="5">
        <v>0</v>
      </c>
      <c r="G1437" s="12">
        <f>(C1437*$U$4)/($U$5*$U$3)</f>
        <v>58.775510204081627</v>
      </c>
      <c r="H1437" s="11">
        <f>G1437*COS(RADIANS(D1437))</f>
        <v>57.882578136227728</v>
      </c>
      <c r="I1437" s="11">
        <f>G1437*SIN(RADIANS(D1437))</f>
        <v>10.206260238382843</v>
      </c>
      <c r="J1437" s="11">
        <v>0.1661</v>
      </c>
      <c r="K1437" s="12">
        <v>80</v>
      </c>
      <c r="L1437" s="12">
        <f>-(F1437*G1437*$U$3)/J1437</f>
        <v>0</v>
      </c>
      <c r="M1437" s="11">
        <f>ABS(L1437/$U$6)</f>
        <v>0</v>
      </c>
      <c r="N1437" s="12">
        <f>L1437*SIN(RADIANS(K1437))</f>
        <v>0</v>
      </c>
      <c r="O1437" s="12">
        <f>L1437*COS(RADIANS(K1437))</f>
        <v>0</v>
      </c>
      <c r="P1437" s="5">
        <v>1.5623865985371193</v>
      </c>
      <c r="Q1437" s="5">
        <v>0.5075385341004276</v>
      </c>
      <c r="R1437" s="6">
        <f>P1437/Q1437</f>
        <v>3.078360545187623</v>
      </c>
    </row>
    <row r="1438" spans="1:18" x14ac:dyDescent="0.35">
      <c r="A1438" s="9">
        <v>1439</v>
      </c>
      <c r="B1438" s="5">
        <v>1</v>
      </c>
      <c r="C1438" s="5">
        <v>4000000</v>
      </c>
      <c r="D1438" s="5">
        <v>10</v>
      </c>
      <c r="E1438" s="5">
        <v>0</v>
      </c>
      <c r="F1438" s="5">
        <v>2.5000000000000001E-2</v>
      </c>
      <c r="G1438" s="12">
        <f>(C1438*$U$4)/($U$5*$U$3)</f>
        <v>58.775510204081627</v>
      </c>
      <c r="H1438" s="11">
        <f>G1438*COS(RADIANS(D1438))</f>
        <v>57.882578136227728</v>
      </c>
      <c r="I1438" s="11">
        <f>G1438*SIN(RADIANS(D1438))</f>
        <v>10.206260238382843</v>
      </c>
      <c r="J1438" s="11">
        <v>0.33379999999999999</v>
      </c>
      <c r="K1438" s="12">
        <v>0</v>
      </c>
      <c r="L1438" s="12">
        <f>-(F1438*G1438*$U$3)/J1438</f>
        <v>-4.4020004646556048</v>
      </c>
      <c r="M1438" s="11">
        <f>ABS(L1438/$U$6)</f>
        <v>1.283382059666357E-2</v>
      </c>
      <c r="N1438" s="12">
        <f>L1438*SIN(RADIANS(K1438))</f>
        <v>0</v>
      </c>
      <c r="O1438" s="12">
        <f>L1438*COS(RADIANS(K1438))</f>
        <v>-4.4020004646556048</v>
      </c>
      <c r="P1438" s="5">
        <v>3.5079534261251126</v>
      </c>
      <c r="Q1438" s="5">
        <v>1.2711576096257438</v>
      </c>
      <c r="R1438" s="6">
        <f>P1438/Q1438</f>
        <v>2.759652618653583</v>
      </c>
    </row>
    <row r="1439" spans="1:18" x14ac:dyDescent="0.35">
      <c r="A1439" s="9">
        <v>1440</v>
      </c>
      <c r="B1439" s="5">
        <v>0.5</v>
      </c>
      <c r="C1439" s="5">
        <v>4000000</v>
      </c>
      <c r="D1439" s="5">
        <v>15</v>
      </c>
      <c r="E1439" s="5">
        <v>0.25</v>
      </c>
      <c r="F1439" s="5">
        <v>0.1</v>
      </c>
      <c r="G1439" s="12">
        <f>(C1439*$U$4)/($U$5*$U$3)</f>
        <v>58.775510204081627</v>
      </c>
      <c r="H1439" s="11">
        <f>G1439*COS(RADIANS(D1439))</f>
        <v>56.772783259439109</v>
      </c>
      <c r="I1439" s="11">
        <f>G1439*SIN(RADIANS(D1439))</f>
        <v>15.212221426433871</v>
      </c>
      <c r="J1439" s="11">
        <v>0.23580000000000001</v>
      </c>
      <c r="K1439" s="11">
        <v>49</v>
      </c>
      <c r="L1439" s="12">
        <f>-(F1439*G1439*$U$3)/J1439</f>
        <v>-24.926000934725032</v>
      </c>
      <c r="M1439" s="11">
        <f>ABS(L1439/$U$6)</f>
        <v>7.2670556661005928E-2</v>
      </c>
      <c r="N1439" s="12">
        <f>L1439*SIN(RADIANS(K1439))</f>
        <v>-18.81189170207875</v>
      </c>
      <c r="O1439" s="12">
        <f>L1439*COS(RADIANS(K1439))</f>
        <v>-16.352927969852182</v>
      </c>
      <c r="P1439" s="5">
        <v>5.0569120506341454</v>
      </c>
      <c r="Q1439" s="5">
        <v>0.54422210306972751</v>
      </c>
      <c r="R1439" s="6">
        <f>P1439/Q1439</f>
        <v>9.2920004941185521</v>
      </c>
    </row>
    <row r="1440" spans="1:18" x14ac:dyDescent="0.35">
      <c r="A1440" s="9">
        <v>1441</v>
      </c>
      <c r="B1440" s="5">
        <v>0.5</v>
      </c>
      <c r="C1440" s="5">
        <v>2000000</v>
      </c>
      <c r="D1440" s="5">
        <v>10</v>
      </c>
      <c r="E1440" s="5">
        <v>0.125</v>
      </c>
      <c r="F1440" s="5">
        <v>0.05</v>
      </c>
      <c r="G1440" s="12">
        <f>(C1440*$U$4)/($U$5*$U$3)</f>
        <v>29.387755102040813</v>
      </c>
      <c r="H1440" s="11">
        <f>G1440*COS(RADIANS(D1440))</f>
        <v>28.941289068113864</v>
      </c>
      <c r="I1440" s="11">
        <f>G1440*SIN(RADIANS(D1440))</f>
        <v>5.1031301191914213</v>
      </c>
      <c r="J1440" s="12">
        <v>0.23300000000000001</v>
      </c>
      <c r="K1440" s="11">
        <v>27</v>
      </c>
      <c r="L1440" s="12">
        <f>-(F1440*G1440*$U$3)/J1440</f>
        <v>-6.3063852150302173</v>
      </c>
      <c r="M1440" s="11">
        <f>ABS(L1440/$U$6)</f>
        <v>1.8385962726035619E-2</v>
      </c>
      <c r="N1440" s="12">
        <f>L1440*SIN(RADIANS(K1440))</f>
        <v>-2.8630389753216572</v>
      </c>
      <c r="O1440" s="12">
        <f>L1440*COS(RADIANS(K1440))</f>
        <v>-5.6190303706369873</v>
      </c>
      <c r="P1440" s="5">
        <v>4.6954713104448897</v>
      </c>
      <c r="Q1440" s="5">
        <v>0.5578072266900691</v>
      </c>
      <c r="R1440" s="6">
        <f>P1440/Q1440</f>
        <v>8.4177312264435837</v>
      </c>
    </row>
    <row r="1441" spans="1:18" x14ac:dyDescent="0.35">
      <c r="A1441" s="9">
        <v>1442</v>
      </c>
      <c r="B1441" s="5">
        <v>0.5</v>
      </c>
      <c r="C1441" s="5">
        <v>6000000</v>
      </c>
      <c r="D1441" s="5">
        <v>5</v>
      </c>
      <c r="E1441" s="5">
        <v>0.125</v>
      </c>
      <c r="F1441" s="5">
        <v>0.05</v>
      </c>
      <c r="G1441" s="12">
        <f>(C1441*$U$4)/($U$5*$U$3)</f>
        <v>88.16326530612244</v>
      </c>
      <c r="H1441" s="11">
        <f>G1441*COS(RADIANS(D1441))</f>
        <v>87.827777464415107</v>
      </c>
      <c r="I1441" s="11">
        <f>G1441*SIN(RADIANS(D1441))</f>
        <v>7.6839348708139434</v>
      </c>
      <c r="J1441" s="12">
        <v>0.23300000000000001</v>
      </c>
      <c r="K1441" s="11">
        <v>27</v>
      </c>
      <c r="L1441" s="12">
        <f>-(F1441*G1441*$U$3)/J1441</f>
        <v>-18.919155645090651</v>
      </c>
      <c r="M1441" s="11">
        <f>ABS(L1441/$U$6)</f>
        <v>5.5157888178106858E-2</v>
      </c>
      <c r="N1441" s="12">
        <f>L1441*SIN(RADIANS(K1441))</f>
        <v>-8.5891169259649711</v>
      </c>
      <c r="O1441" s="12">
        <f>L1441*COS(RADIANS(K1441))</f>
        <v>-16.857091111910961</v>
      </c>
      <c r="P1441" s="5">
        <v>4.6807419524637739</v>
      </c>
      <c r="Q1441" s="5">
        <v>0.29313066003466692</v>
      </c>
      <c r="R1441" s="6">
        <f>P1441/Q1441</f>
        <v>15.968107709750351</v>
      </c>
    </row>
    <row r="1442" spans="1:18" x14ac:dyDescent="0.35">
      <c r="A1442" s="9">
        <v>1443</v>
      </c>
      <c r="B1442" s="5">
        <v>1</v>
      </c>
      <c r="C1442" s="5">
        <v>2000000</v>
      </c>
      <c r="D1442" s="5">
        <v>15</v>
      </c>
      <c r="E1442" s="5">
        <v>0</v>
      </c>
      <c r="F1442" s="5">
        <v>2.5000000000000001E-2</v>
      </c>
      <c r="G1442" s="12">
        <f>(C1442*$U$4)/($U$5*$U$3)</f>
        <v>29.387755102040813</v>
      </c>
      <c r="H1442" s="11">
        <f>G1442*COS(RADIANS(D1442))</f>
        <v>28.386391629719554</v>
      </c>
      <c r="I1442" s="11">
        <f>G1442*SIN(RADIANS(D1442))</f>
        <v>7.6061107132169354</v>
      </c>
      <c r="J1442" s="11">
        <v>0.33379999999999999</v>
      </c>
      <c r="K1442" s="12">
        <v>0</v>
      </c>
      <c r="L1442" s="12">
        <f>-(F1442*G1442*$U$3)/J1442</f>
        <v>-2.2010002323278024</v>
      </c>
      <c r="M1442" s="11">
        <f>ABS(L1442/$U$6)</f>
        <v>6.4169102983317851E-3</v>
      </c>
      <c r="N1442" s="12">
        <f>L1442*SIN(RADIANS(K1442))</f>
        <v>0</v>
      </c>
      <c r="O1442" s="12">
        <f>L1442*COS(RADIANS(K1442))</f>
        <v>-2.2010002323278024</v>
      </c>
      <c r="P1442" s="5">
        <v>3.2168349707728425</v>
      </c>
      <c r="Q1442" s="5">
        <v>1.4646279948989702</v>
      </c>
      <c r="R1442" s="6">
        <f>P1442/Q1442</f>
        <v>2.1963495044314918</v>
      </c>
    </row>
    <row r="1443" spans="1:18" x14ac:dyDescent="0.35">
      <c r="A1443" s="9">
        <v>1444</v>
      </c>
      <c r="B1443" s="5">
        <v>0.25</v>
      </c>
      <c r="C1443" s="5">
        <v>2000000</v>
      </c>
      <c r="D1443" s="5">
        <v>15</v>
      </c>
      <c r="E1443" s="5">
        <v>0</v>
      </c>
      <c r="F1443" s="5">
        <v>3.5000000000000003E-2</v>
      </c>
      <c r="G1443" s="12">
        <f>(C1443*$U$4)/($U$5*$U$3)</f>
        <v>29.387755102040813</v>
      </c>
      <c r="H1443" s="11">
        <f>G1443*COS(RADIANS(D1443))</f>
        <v>28.386391629719554</v>
      </c>
      <c r="I1443" s="11">
        <f>G1443*SIN(RADIANS(D1443))</f>
        <v>7.6061107132169354</v>
      </c>
      <c r="J1443" s="12">
        <v>0.18990000000000001</v>
      </c>
      <c r="K1443" s="12">
        <v>0</v>
      </c>
      <c r="L1443" s="12">
        <f>-(F1443*G1443*$U$3)/J1443</f>
        <v>-5.4163845633039935</v>
      </c>
      <c r="M1443" s="11">
        <f>ABS(L1443/$U$6)</f>
        <v>1.5791208639370245E-2</v>
      </c>
      <c r="N1443" s="12">
        <f>L1443*SIN(RADIANS(K1443))</f>
        <v>0</v>
      </c>
      <c r="O1443" s="12">
        <f>L1443*COS(RADIANS(K1443))</f>
        <v>-5.4163845633039935</v>
      </c>
      <c r="P1443" s="5">
        <v>2.1598622344512388</v>
      </c>
      <c r="Q1443" s="5">
        <v>0.53604776893821848</v>
      </c>
      <c r="R1443" s="6">
        <f>P1443/Q1443</f>
        <v>4.0292346309535167</v>
      </c>
    </row>
    <row r="1444" spans="1:18" x14ac:dyDescent="0.35">
      <c r="A1444" s="9">
        <v>1445</v>
      </c>
      <c r="B1444" s="5">
        <v>0.75</v>
      </c>
      <c r="C1444" s="5">
        <v>2000000</v>
      </c>
      <c r="D1444" s="5">
        <v>5</v>
      </c>
      <c r="E1444" s="5">
        <v>0.375</v>
      </c>
      <c r="F1444" s="5">
        <v>1.4999999999999999E-2</v>
      </c>
      <c r="G1444" s="12">
        <f>(C1444*$U$4)/($U$5*$U$3)</f>
        <v>29.387755102040813</v>
      </c>
      <c r="H1444" s="11">
        <f>G1444*COS(RADIANS(D1444))</f>
        <v>29.275925821471702</v>
      </c>
      <c r="I1444" s="11">
        <f>G1444*SIN(RADIANS(D1444))</f>
        <v>2.5613116236046478</v>
      </c>
      <c r="J1444" s="11">
        <v>0.29299999999999998</v>
      </c>
      <c r="K1444" s="12">
        <v>57</v>
      </c>
      <c r="L1444" s="12">
        <f>-(F1444*G1444*$U$3)/J1444</f>
        <v>-1.5044925820157413</v>
      </c>
      <c r="M1444" s="11">
        <f>ABS(L1444/$U$6)</f>
        <v>4.3862757493170297E-3</v>
      </c>
      <c r="N1444" s="12">
        <f>L1444*SIN(RADIANS(K1444))</f>
        <v>-1.2617736482288193</v>
      </c>
      <c r="O1444" s="12">
        <f>L1444*COS(RADIANS(K1444))</f>
        <v>-0.81940538805631979</v>
      </c>
      <c r="P1444" s="5">
        <v>4.2898764572230395</v>
      </c>
      <c r="Q1444" s="5">
        <v>-0.18539970159860453</v>
      </c>
      <c r="R1444" s="6">
        <f>P1444/Q1444</f>
        <v>-23.138529459506575</v>
      </c>
    </row>
    <row r="1445" spans="1:18" x14ac:dyDescent="0.35">
      <c r="A1445" s="9">
        <v>1446</v>
      </c>
      <c r="B1445" s="5">
        <v>0.75</v>
      </c>
      <c r="C1445" s="5">
        <v>6000000</v>
      </c>
      <c r="D1445" s="5">
        <v>0</v>
      </c>
      <c r="E1445" s="5">
        <v>0.25</v>
      </c>
      <c r="F1445" s="5">
        <v>0.05</v>
      </c>
      <c r="G1445" s="12">
        <f>(C1445*$U$4)/($U$5*$U$3)</f>
        <v>88.16326530612244</v>
      </c>
      <c r="H1445" s="11">
        <f>G1445*COS(RADIANS(D1445))</f>
        <v>88.16326530612244</v>
      </c>
      <c r="I1445" s="11">
        <f>G1445*SIN(RADIANS(D1445))</f>
        <v>0</v>
      </c>
      <c r="J1445" s="12">
        <v>0.28370000000000001</v>
      </c>
      <c r="K1445" s="11">
        <v>38</v>
      </c>
      <c r="L1445" s="12">
        <f>-(F1445*G1445*$U$3)/J1445</f>
        <v>-15.538115140310616</v>
      </c>
      <c r="M1445" s="11">
        <f>ABS(L1445/$U$6)</f>
        <v>4.5300627231226284E-2</v>
      </c>
      <c r="N1445" s="12">
        <f>L1445*SIN(RADIANS(K1445))</f>
        <v>-9.5662188910635813</v>
      </c>
      <c r="O1445" s="12">
        <f>L1445*COS(RADIANS(K1445))</f>
        <v>-12.244201821344184</v>
      </c>
      <c r="P1445" s="5">
        <v>3.2335370124357565</v>
      </c>
      <c r="Q1445" s="5">
        <v>0.16505791722018615</v>
      </c>
      <c r="R1445" s="6">
        <f>P1445/Q1445</f>
        <v>19.590317549701297</v>
      </c>
    </row>
    <row r="1446" spans="1:18" x14ac:dyDescent="0.35">
      <c r="A1446" s="9">
        <v>1447</v>
      </c>
      <c r="B1446" s="5">
        <v>1</v>
      </c>
      <c r="C1446" s="5">
        <v>6000000</v>
      </c>
      <c r="D1446" s="5">
        <v>5</v>
      </c>
      <c r="E1446" s="5">
        <v>0</v>
      </c>
      <c r="F1446" s="5">
        <v>1.4999999999999999E-2</v>
      </c>
      <c r="G1446" s="12">
        <f>(C1446*$U$4)/($U$5*$U$3)</f>
        <v>88.16326530612244</v>
      </c>
      <c r="H1446" s="11">
        <f>G1446*COS(RADIANS(D1446))</f>
        <v>87.827777464415107</v>
      </c>
      <c r="I1446" s="11">
        <f>G1446*SIN(RADIANS(D1446))</f>
        <v>7.6839348708139434</v>
      </c>
      <c r="J1446" s="11">
        <v>0.33379999999999999</v>
      </c>
      <c r="K1446" s="12">
        <v>0</v>
      </c>
      <c r="L1446" s="12">
        <f>-(F1446*G1446*$U$3)/J1446</f>
        <v>-3.9618004181900441</v>
      </c>
      <c r="M1446" s="11">
        <f>ABS(L1446/$U$6)</f>
        <v>1.1550438536997214E-2</v>
      </c>
      <c r="N1446" s="12">
        <f>L1446*SIN(RADIANS(K1446))</f>
        <v>0</v>
      </c>
      <c r="O1446" s="12">
        <f>L1446*COS(RADIANS(K1446))</f>
        <v>-3.9618004181900441</v>
      </c>
      <c r="P1446" s="5">
        <v>1.0273972300813277</v>
      </c>
      <c r="Q1446" s="5">
        <v>2.40301017628498</v>
      </c>
      <c r="R1446" s="6">
        <f>P1446/Q1446</f>
        <v>0.42754593393760376</v>
      </c>
    </row>
    <row r="1447" spans="1:18" x14ac:dyDescent="0.35">
      <c r="A1447" s="9">
        <v>1448</v>
      </c>
      <c r="B1447" s="5">
        <v>1</v>
      </c>
      <c r="C1447" s="5">
        <v>6000000</v>
      </c>
      <c r="D1447" s="5">
        <v>30</v>
      </c>
      <c r="E1447" s="5">
        <v>0.125</v>
      </c>
      <c r="F1447" s="5">
        <v>7.4999999999999997E-2</v>
      </c>
      <c r="G1447" s="12">
        <f>(C1447*$U$4)/($U$5*$U$3)</f>
        <v>88.16326530612244</v>
      </c>
      <c r="H1447" s="11">
        <f>G1447*COS(RADIANS(D1447))</f>
        <v>76.351627435689281</v>
      </c>
      <c r="I1447" s="11">
        <f>G1447*SIN(RADIANS(D1447))</f>
        <v>44.081632653061213</v>
      </c>
      <c r="J1447" s="11">
        <v>0.33379999999999999</v>
      </c>
      <c r="K1447" s="12">
        <v>14</v>
      </c>
      <c r="L1447" s="12">
        <f>-(F1447*G1447*$U$3)/J1447</f>
        <v>-19.809002090950219</v>
      </c>
      <c r="M1447" s="11">
        <f>ABS(L1447/$U$6)</f>
        <v>5.7752192684986062E-2</v>
      </c>
      <c r="N1447" s="12">
        <f>L1447*SIN(RADIANS(K1447))</f>
        <v>-4.7922313357804587</v>
      </c>
      <c r="O1447" s="12">
        <f>L1447*COS(RADIANS(K1447))</f>
        <v>-19.220590070641276</v>
      </c>
      <c r="P1447" s="5">
        <v>2.7605014990634236</v>
      </c>
      <c r="Q1447" s="5">
        <v>1.3261308772280795</v>
      </c>
      <c r="R1447" s="6">
        <f>P1447/Q1447</f>
        <v>2.0816207106447222</v>
      </c>
    </row>
    <row r="1448" spans="1:18" x14ac:dyDescent="0.35">
      <c r="A1448" s="9">
        <v>1449</v>
      </c>
      <c r="B1448" s="5">
        <v>0.25</v>
      </c>
      <c r="C1448" s="5">
        <v>4000000</v>
      </c>
      <c r="D1448" s="5">
        <v>15</v>
      </c>
      <c r="E1448" s="5">
        <v>0.125</v>
      </c>
      <c r="F1448" s="5">
        <v>0.1</v>
      </c>
      <c r="G1448" s="12">
        <f>(C1448*$U$4)/($U$5*$U$3)</f>
        <v>58.775510204081627</v>
      </c>
      <c r="H1448" s="11">
        <f>G1448*COS(RADIANS(D1448))</f>
        <v>56.772783259439109</v>
      </c>
      <c r="I1448" s="11">
        <f>G1448*SIN(RADIANS(D1448))</f>
        <v>15.212221426433871</v>
      </c>
      <c r="J1448" s="11">
        <v>0.19020000000000001</v>
      </c>
      <c r="K1448" s="12">
        <v>46</v>
      </c>
      <c r="L1448" s="12">
        <f>-(F1448*G1448*$U$3)/J1448</f>
        <v>-30.901950685637026</v>
      </c>
      <c r="M1448" s="11">
        <f>ABS(L1448/$U$6)</f>
        <v>9.0093150686988407E-2</v>
      </c>
      <c r="N1448" s="12">
        <f>L1448*SIN(RADIANS(K1448))</f>
        <v>-22.229003036280979</v>
      </c>
      <c r="O1448" s="12">
        <f>L1448*COS(RADIANS(K1448))</f>
        <v>-21.46629870728891</v>
      </c>
      <c r="P1448" s="5">
        <v>2.5678308502947216</v>
      </c>
      <c r="Q1448" s="5">
        <v>0.54158204477069938</v>
      </c>
      <c r="R1448" s="6">
        <f>P1448/Q1448</f>
        <v>4.7413515183685906</v>
      </c>
    </row>
    <row r="1449" spans="1:18" x14ac:dyDescent="0.35">
      <c r="A1449" s="9">
        <v>1450</v>
      </c>
      <c r="B1449" s="5">
        <v>0.75</v>
      </c>
      <c r="C1449" s="5">
        <v>4000000</v>
      </c>
      <c r="D1449" s="5">
        <v>10</v>
      </c>
      <c r="E1449" s="5">
        <v>0.125</v>
      </c>
      <c r="F1449" s="5">
        <v>2.5000000000000001E-2</v>
      </c>
      <c r="G1449" s="12">
        <f>(C1449*$U$4)/($U$5*$U$3)</f>
        <v>58.775510204081627</v>
      </c>
      <c r="H1449" s="11">
        <f>G1449*COS(RADIANS(D1449))</f>
        <v>57.882578136227728</v>
      </c>
      <c r="I1449" s="11">
        <f>G1449*SIN(RADIANS(D1449))</f>
        <v>10.206260238382843</v>
      </c>
      <c r="J1449" s="12">
        <v>0.2802</v>
      </c>
      <c r="K1449" s="12">
        <v>19</v>
      </c>
      <c r="L1449" s="12">
        <f>-(F1449*G1449*$U$3)/J1449</f>
        <v>-5.2440676484726643</v>
      </c>
      <c r="M1449" s="11">
        <f>ABS(L1449/$U$6)</f>
        <v>1.5288826963477156E-2</v>
      </c>
      <c r="N1449" s="12">
        <f>L1449*SIN(RADIANS(K1449))</f>
        <v>-1.707301426161727</v>
      </c>
      <c r="O1449" s="12">
        <f>L1449*COS(RADIANS(K1449))</f>
        <v>-4.9583633733303323</v>
      </c>
      <c r="P1449" s="5">
        <v>3.911011601521762</v>
      </c>
      <c r="Q1449" s="5">
        <v>0.69952723055632005</v>
      </c>
      <c r="R1449" s="6">
        <f>P1449/Q1449</f>
        <v>5.5909354642440618</v>
      </c>
    </row>
    <row r="1450" spans="1:18" x14ac:dyDescent="0.35">
      <c r="A1450" s="9">
        <v>1451</v>
      </c>
      <c r="B1450" s="5">
        <v>0.25</v>
      </c>
      <c r="C1450" s="5">
        <v>2000000</v>
      </c>
      <c r="D1450" s="5">
        <v>15</v>
      </c>
      <c r="E1450" s="5">
        <v>0.375</v>
      </c>
      <c r="F1450" s="5">
        <v>0.15</v>
      </c>
      <c r="G1450" s="12">
        <f>(C1450*$U$4)/($U$5*$U$3)</f>
        <v>29.387755102040813</v>
      </c>
      <c r="H1450" s="11">
        <f>G1450*COS(RADIANS(D1450))</f>
        <v>28.386391629719554</v>
      </c>
      <c r="I1450" s="11">
        <f>G1450*SIN(RADIANS(D1450))</f>
        <v>7.6061107132169354</v>
      </c>
      <c r="J1450" s="11">
        <v>0.1976</v>
      </c>
      <c r="K1450" s="12">
        <v>78</v>
      </c>
      <c r="L1450" s="12">
        <f>-(F1450*G1450*$U$3)/J1450</f>
        <v>-22.308518549120052</v>
      </c>
      <c r="M1450" s="11">
        <f>ABS(L1450/$U$6)</f>
        <v>6.5039412679650299E-2</v>
      </c>
      <c r="N1450" s="12">
        <f>L1450*SIN(RADIANS(K1450))</f>
        <v>-21.821023894747377</v>
      </c>
      <c r="O1450" s="12">
        <f>L1450*COS(RADIANS(K1450))</f>
        <v>-4.6382018111869003</v>
      </c>
      <c r="P1450" s="5">
        <v>3.0124318712257652</v>
      </c>
      <c r="Q1450" s="5">
        <v>0.52038068713012453</v>
      </c>
      <c r="R1450" s="6">
        <f>P1450/Q1450</f>
        <v>5.788900214262731</v>
      </c>
    </row>
    <row r="1451" spans="1:18" x14ac:dyDescent="0.35">
      <c r="A1451" s="9">
        <v>1452</v>
      </c>
      <c r="B1451" s="5">
        <v>0.75</v>
      </c>
      <c r="C1451" s="5">
        <v>6000000</v>
      </c>
      <c r="D1451" s="5">
        <v>5</v>
      </c>
      <c r="E1451" s="5">
        <v>0.25</v>
      </c>
      <c r="F1451" s="5">
        <v>7.4999999999999997E-2</v>
      </c>
      <c r="G1451" s="12">
        <f>(C1451*$U$4)/($U$5*$U$3)</f>
        <v>88.16326530612244</v>
      </c>
      <c r="H1451" s="11">
        <f>G1451*COS(RADIANS(D1451))</f>
        <v>87.827777464415107</v>
      </c>
      <c r="I1451" s="11">
        <f>G1451*SIN(RADIANS(D1451))</f>
        <v>7.6839348708139434</v>
      </c>
      <c r="J1451" s="12">
        <v>0.28370000000000001</v>
      </c>
      <c r="K1451" s="11">
        <v>38</v>
      </c>
      <c r="L1451" s="12">
        <f>-(F1451*G1451*$U$3)/J1451</f>
        <v>-23.307172710465924</v>
      </c>
      <c r="M1451" s="11">
        <f>ABS(L1451/$U$6)</f>
        <v>6.7950940846839433E-2</v>
      </c>
      <c r="N1451" s="12">
        <f>L1451*SIN(RADIANS(K1451))</f>
        <v>-14.349328336595372</v>
      </c>
      <c r="O1451" s="12">
        <f>L1451*COS(RADIANS(K1451))</f>
        <v>-18.366302732016276</v>
      </c>
      <c r="P1451" s="5">
        <v>3.7558598698328791</v>
      </c>
      <c r="Q1451" s="5">
        <v>0.16153668612877289</v>
      </c>
      <c r="R1451" s="6">
        <f>P1451/Q1451</f>
        <v>23.25081664012102</v>
      </c>
    </row>
    <row r="1452" spans="1:18" x14ac:dyDescent="0.35">
      <c r="A1452" s="9">
        <v>1521</v>
      </c>
      <c r="B1452" s="5">
        <v>0.1</v>
      </c>
      <c r="C1452" s="5">
        <v>6000000</v>
      </c>
      <c r="D1452" s="5">
        <v>5</v>
      </c>
      <c r="E1452" s="5">
        <v>0.25</v>
      </c>
      <c r="F1452" s="5">
        <v>7.4999999999999997E-2</v>
      </c>
      <c r="G1452" s="12">
        <f>(C1452*$U$4)/($U$5*$U$3)</f>
        <v>88.16326530612244</v>
      </c>
      <c r="H1452" s="11">
        <f>G1452*COS(RADIANS(D1452))</f>
        <v>87.827777464415107</v>
      </c>
      <c r="I1452" s="11">
        <f>G1452*SIN(RADIANS(D1452))</f>
        <v>7.6839348708139434</v>
      </c>
      <c r="J1452" s="11">
        <v>0.1661</v>
      </c>
      <c r="K1452" s="19">
        <v>80</v>
      </c>
      <c r="L1452" s="12">
        <f>-(F1452*G1452*$U$3)/J1452</f>
        <v>-39.808819373625425</v>
      </c>
      <c r="M1452" s="11">
        <f>ABS(L1452/$U$6)</f>
        <v>0.11606069788228987</v>
      </c>
      <c r="N1452" s="12">
        <f>L1452*SIN(RADIANS(K1452))</f>
        <v>-39.20403395740891</v>
      </c>
      <c r="O1452" s="12">
        <f>L1452*COS(RADIANS(K1452))</f>
        <v>-6.912728939302049</v>
      </c>
      <c r="P1452" s="5">
        <v>1.711318998607182</v>
      </c>
      <c r="Q1452" s="5">
        <v>0.34484609813225425</v>
      </c>
      <c r="R1452" s="6">
        <f>P1452/Q1452</f>
        <v>4.962558683064648</v>
      </c>
    </row>
    <row r="1453" spans="1:18" x14ac:dyDescent="0.35">
      <c r="A1453" s="9">
        <v>1454</v>
      </c>
      <c r="B1453" s="5">
        <v>0.75</v>
      </c>
      <c r="C1453" s="5">
        <v>4000000</v>
      </c>
      <c r="D1453" s="5">
        <v>10</v>
      </c>
      <c r="E1453" s="5">
        <v>0</v>
      </c>
      <c r="F1453" s="5">
        <v>1.4999999999999999E-2</v>
      </c>
      <c r="G1453" s="12">
        <f>(C1453*$U$4)/($U$5*$U$3)</f>
        <v>58.775510204081627</v>
      </c>
      <c r="H1453" s="11">
        <f>G1453*COS(RADIANS(D1453))</f>
        <v>57.882578136227728</v>
      </c>
      <c r="I1453" s="11">
        <f>G1453*SIN(RADIANS(D1453))</f>
        <v>10.206260238382843</v>
      </c>
      <c r="J1453" s="11">
        <v>0.27929999999999999</v>
      </c>
      <c r="K1453" s="12">
        <v>0</v>
      </c>
      <c r="L1453" s="12">
        <f>-(F1453*G1453*$U$3)/J1453</f>
        <v>-3.1565794953856945</v>
      </c>
      <c r="M1453" s="11">
        <f>ABS(L1453/$U$6)</f>
        <v>9.2028556716784102E-3</v>
      </c>
      <c r="N1453" s="12">
        <f>L1453*SIN(RADIANS(K1453))</f>
        <v>0</v>
      </c>
      <c r="O1453" s="12">
        <f>L1453*COS(RADIANS(K1453))</f>
        <v>-3.1565794953856945</v>
      </c>
      <c r="P1453" s="5">
        <v>2.4612372320886489</v>
      </c>
      <c r="Q1453" s="5">
        <v>1.178950374938071</v>
      </c>
      <c r="R1453" s="6">
        <f>P1453/Q1453</f>
        <v>2.0876512569224426</v>
      </c>
    </row>
    <row r="1454" spans="1:18" x14ac:dyDescent="0.35">
      <c r="A1454" s="9">
        <v>1455</v>
      </c>
      <c r="B1454" s="5">
        <v>0.5</v>
      </c>
      <c r="C1454" s="5">
        <v>2000000</v>
      </c>
      <c r="D1454" s="5">
        <v>15</v>
      </c>
      <c r="E1454" s="5">
        <v>0.375</v>
      </c>
      <c r="F1454" s="5">
        <v>0.15</v>
      </c>
      <c r="G1454" s="12">
        <f>(C1454*$U$4)/($U$5*$U$3)</f>
        <v>29.387755102040813</v>
      </c>
      <c r="H1454" s="11">
        <f>G1454*COS(RADIANS(D1454))</f>
        <v>28.386391629719554</v>
      </c>
      <c r="I1454" s="11">
        <f>G1454*SIN(RADIANS(D1454))</f>
        <v>7.6061107132169354</v>
      </c>
      <c r="J1454" s="12">
        <v>0.24809999999999999</v>
      </c>
      <c r="K1454" s="12">
        <v>67</v>
      </c>
      <c r="L1454" s="12">
        <f>-(F1454*G1454*$U$3)/J1454</f>
        <v>-17.767687486118994</v>
      </c>
      <c r="M1454" s="11">
        <f>ABS(L1454/$U$6)</f>
        <v>5.1800838151950419E-2</v>
      </c>
      <c r="N1454" s="12">
        <f>L1454*SIN(RADIANS(K1454))</f>
        <v>-16.355242565598722</v>
      </c>
      <c r="O1454" s="12">
        <f>L1454*COS(RADIANS(K1454))</f>
        <v>-6.9423885820960214</v>
      </c>
      <c r="P1454" s="5">
        <v>4.9869556735342258</v>
      </c>
      <c r="Q1454" s="5">
        <v>0.28657902800041246</v>
      </c>
      <c r="R1454" s="6">
        <f>P1454/Q1454</f>
        <v>17.401676976610613</v>
      </c>
    </row>
    <row r="1455" spans="1:18" x14ac:dyDescent="0.35">
      <c r="A1455" s="9">
        <v>1456</v>
      </c>
      <c r="B1455" s="5">
        <v>0.75</v>
      </c>
      <c r="C1455" s="5">
        <v>2000000</v>
      </c>
      <c r="D1455" s="5">
        <v>30</v>
      </c>
      <c r="E1455" s="5">
        <v>0</v>
      </c>
      <c r="F1455" s="5">
        <v>0.15</v>
      </c>
      <c r="G1455" s="12">
        <f>(C1455*$U$4)/($U$5*$U$3)</f>
        <v>29.387755102040813</v>
      </c>
      <c r="H1455" s="11">
        <f>G1455*COS(RADIANS(D1455))</f>
        <v>25.450542478563094</v>
      </c>
      <c r="I1455" s="11">
        <f>G1455*SIN(RADIANS(D1455))</f>
        <v>14.693877551020405</v>
      </c>
      <c r="J1455" s="11">
        <v>0.27929999999999999</v>
      </c>
      <c r="K1455" s="12">
        <v>0</v>
      </c>
      <c r="L1455" s="12">
        <f>-(F1455*G1455*$U$3)/J1455</f>
        <v>-15.782897476928472</v>
      </c>
      <c r="M1455" s="11">
        <f>ABS(L1455/$U$6)</f>
        <v>4.6014278358392044E-2</v>
      </c>
      <c r="N1455" s="12">
        <f>L1455*SIN(RADIANS(K1455))</f>
        <v>0</v>
      </c>
      <c r="O1455" s="12">
        <f>L1455*COS(RADIANS(K1455))</f>
        <v>-15.782897476928472</v>
      </c>
      <c r="P1455" s="5">
        <v>7.6725841088304438</v>
      </c>
      <c r="Q1455" s="5">
        <v>2.2561160193379144</v>
      </c>
      <c r="R1455" s="6">
        <f>P1455/Q1455</f>
        <v>3.4007932407137731</v>
      </c>
    </row>
    <row r="1456" spans="1:18" x14ac:dyDescent="0.35">
      <c r="A1456" s="9">
        <v>1457</v>
      </c>
      <c r="B1456" s="5">
        <v>0.1</v>
      </c>
      <c r="C1456" s="5">
        <v>2000000</v>
      </c>
      <c r="D1456" s="5">
        <v>10</v>
      </c>
      <c r="E1456" s="5">
        <v>0.375</v>
      </c>
      <c r="F1456" s="5">
        <v>2.5000000000000001E-2</v>
      </c>
      <c r="G1456" s="12">
        <f>(C1456*$U$4)/($U$5*$U$3)</f>
        <v>29.387755102040813</v>
      </c>
      <c r="H1456" s="11">
        <f>G1456*COS(RADIANS(D1456))</f>
        <v>28.941289068113864</v>
      </c>
      <c r="I1456" s="11">
        <f>G1456*SIN(RADIANS(D1456))</f>
        <v>5.1031301191914213</v>
      </c>
      <c r="J1456" s="12">
        <v>0.16789999999999999</v>
      </c>
      <c r="K1456" s="11">
        <v>85</v>
      </c>
      <c r="L1456" s="12">
        <f>-(F1456*G1456*$U$3)/J1456</f>
        <v>-4.3757824749911878</v>
      </c>
      <c r="M1456" s="11">
        <f>ABS(L1456/$U$6)</f>
        <v>1.2757383309012209E-2</v>
      </c>
      <c r="N1456" s="12">
        <f>L1456*SIN(RADIANS(K1456))</f>
        <v>-4.359131301588997</v>
      </c>
      <c r="O1456" s="12">
        <f>L1456*COS(RADIANS(K1456))</f>
        <v>-0.3813745717100428</v>
      </c>
      <c r="P1456" s="5">
        <v>1.8175271068266856</v>
      </c>
      <c r="Q1456" s="5">
        <v>0.51266016983631468</v>
      </c>
      <c r="R1456" s="6">
        <f>P1456/Q1456</f>
        <v>3.545286358811524</v>
      </c>
    </row>
    <row r="1457" spans="1:18" x14ac:dyDescent="0.35">
      <c r="A1457" s="9">
        <v>1458</v>
      </c>
      <c r="B1457" s="5">
        <v>0.75</v>
      </c>
      <c r="C1457" s="5">
        <v>4000000</v>
      </c>
      <c r="D1457" s="5">
        <v>5</v>
      </c>
      <c r="E1457" s="5">
        <v>0.125</v>
      </c>
      <c r="F1457" s="5">
        <v>1.4999999999999999E-2</v>
      </c>
      <c r="G1457" s="12">
        <f>(C1457*$U$4)/($U$5*$U$3)</f>
        <v>58.775510204081627</v>
      </c>
      <c r="H1457" s="11">
        <f>G1457*COS(RADIANS(D1457))</f>
        <v>58.551851642943404</v>
      </c>
      <c r="I1457" s="11">
        <f>G1457*SIN(RADIANS(D1457))</f>
        <v>5.1226232472092956</v>
      </c>
      <c r="J1457" s="12">
        <v>0.2802</v>
      </c>
      <c r="K1457" s="12">
        <v>19</v>
      </c>
      <c r="L1457" s="12">
        <f>-(F1457*G1457*$U$3)/J1457</f>
        <v>-3.1464405890835989</v>
      </c>
      <c r="M1457" s="11">
        <f>ABS(L1457/$U$6)</f>
        <v>9.1732961780862949E-3</v>
      </c>
      <c r="N1457" s="12">
        <f>L1457*SIN(RADIANS(K1457))</f>
        <v>-1.0243808556970362</v>
      </c>
      <c r="O1457" s="12">
        <f>L1457*COS(RADIANS(K1457))</f>
        <v>-2.9750180239981998</v>
      </c>
      <c r="P1457" s="5">
        <v>4.1571358237458131</v>
      </c>
      <c r="Q1457" s="5">
        <v>0.46482119831344143</v>
      </c>
      <c r="R1457" s="6">
        <f>P1457/Q1457</f>
        <v>8.9435159989036137</v>
      </c>
    </row>
    <row r="1458" spans="1:18" x14ac:dyDescent="0.35">
      <c r="A1458" s="9">
        <v>1459</v>
      </c>
      <c r="B1458" s="5">
        <v>0.1</v>
      </c>
      <c r="C1458" s="5">
        <v>2000000</v>
      </c>
      <c r="D1458" s="5">
        <v>5</v>
      </c>
      <c r="E1458" s="5">
        <v>0.125</v>
      </c>
      <c r="F1458" s="5">
        <v>7.4999999999999997E-2</v>
      </c>
      <c r="G1458" s="12">
        <f>(C1458*$U$4)/($U$5*$U$3)</f>
        <v>29.387755102040813</v>
      </c>
      <c r="H1458" s="11">
        <f>G1458*COS(RADIANS(D1458))</f>
        <v>29.275925821471702</v>
      </c>
      <c r="I1458" s="11">
        <f>G1458*SIN(RADIANS(D1458))</f>
        <v>2.5613116236046478</v>
      </c>
      <c r="J1458" s="12">
        <v>0.1658</v>
      </c>
      <c r="K1458" s="12">
        <v>69</v>
      </c>
      <c r="L1458" s="12">
        <f>-(F1458*G1458*$U$3)/J1458</f>
        <v>-13.293616602250067</v>
      </c>
      <c r="M1458" s="11">
        <f>ABS(L1458/$U$6)</f>
        <v>3.8756899715014774E-2</v>
      </c>
      <c r="N1458" s="12">
        <f>L1458*SIN(RADIANS(K1458))</f>
        <v>-12.410660257218899</v>
      </c>
      <c r="O1458" s="12">
        <f>L1458*COS(RADIANS(K1458))</f>
        <v>-4.7640061237897191</v>
      </c>
      <c r="P1458" s="5">
        <v>1.4817944861604044</v>
      </c>
      <c r="Q1458" s="5">
        <v>0.33582637880369048</v>
      </c>
      <c r="R1458" s="6">
        <f>P1458/Q1458</f>
        <v>4.4123826467681893</v>
      </c>
    </row>
    <row r="1459" spans="1:18" x14ac:dyDescent="0.35">
      <c r="A1459" s="9">
        <v>1460</v>
      </c>
      <c r="B1459" s="5">
        <v>0.5</v>
      </c>
      <c r="C1459" s="5">
        <v>2000000</v>
      </c>
      <c r="D1459" s="5">
        <v>15</v>
      </c>
      <c r="E1459" s="5">
        <v>0.25</v>
      </c>
      <c r="F1459" s="5">
        <v>7.4999999999999997E-2</v>
      </c>
      <c r="G1459" s="12">
        <f>(C1459*$U$4)/($U$5*$U$3)</f>
        <v>29.387755102040813</v>
      </c>
      <c r="H1459" s="11">
        <f>G1459*COS(RADIANS(D1459))</f>
        <v>28.386391629719554</v>
      </c>
      <c r="I1459" s="11">
        <f>G1459*SIN(RADIANS(D1459))</f>
        <v>7.6061107132169354</v>
      </c>
      <c r="J1459" s="11">
        <v>0.23580000000000001</v>
      </c>
      <c r="K1459" s="11">
        <v>49</v>
      </c>
      <c r="L1459" s="12">
        <f>-(F1459*G1459*$U$3)/J1459</f>
        <v>-9.347250350521886</v>
      </c>
      <c r="M1459" s="11">
        <f>ABS(L1459/$U$6)</f>
        <v>2.7251458747877218E-2</v>
      </c>
      <c r="N1459" s="12">
        <f>L1459*SIN(RADIANS(K1459))</f>
        <v>-7.0544593882795308</v>
      </c>
      <c r="O1459" s="12">
        <f>L1459*COS(RADIANS(K1459))</f>
        <v>-6.1323479886945673</v>
      </c>
      <c r="P1459" s="5">
        <v>4.5317514710472411</v>
      </c>
      <c r="Q1459" s="5">
        <v>0.57404001697536666</v>
      </c>
      <c r="R1459" s="6">
        <f>P1459/Q1459</f>
        <v>7.8944870340663176</v>
      </c>
    </row>
    <row r="1460" spans="1:18" x14ac:dyDescent="0.35">
      <c r="A1460" s="9">
        <v>436</v>
      </c>
      <c r="B1460" s="5">
        <v>1</v>
      </c>
      <c r="C1460" s="5">
        <v>6000000</v>
      </c>
      <c r="D1460" s="5">
        <v>15</v>
      </c>
      <c r="E1460" s="5">
        <v>0</v>
      </c>
      <c r="F1460" s="5">
        <v>0.15</v>
      </c>
      <c r="G1460" s="12">
        <f>(C1460*$U$4)/($U$5*$U$3)</f>
        <v>88.16326530612244</v>
      </c>
      <c r="H1460" s="11">
        <f>G1460*COS(RADIANS(D1460))</f>
        <v>85.159174889158663</v>
      </c>
      <c r="I1460" s="11">
        <f>G1460*SIN(RADIANS(D1460))</f>
        <v>22.818332139650806</v>
      </c>
      <c r="J1460" s="20">
        <v>0.33379999999999999</v>
      </c>
      <c r="K1460" s="19">
        <v>0</v>
      </c>
      <c r="L1460" s="12">
        <f>-(F1460*G1460*$U$3)/J1460</f>
        <v>-39.618004181900439</v>
      </c>
      <c r="M1460" s="11">
        <f>ABS(L1460/$U$6)</f>
        <v>0.11550438536997212</v>
      </c>
      <c r="N1460" s="12">
        <f>L1460*SIN(RADIANS(K1460))</f>
        <v>0</v>
      </c>
      <c r="O1460" s="12">
        <f>L1460*COS(RADIANS(K1460))</f>
        <v>-39.618004181900439</v>
      </c>
      <c r="P1460" s="5">
        <v>1.9111200038655018</v>
      </c>
      <c r="Q1460" s="5">
        <v>1.41071843413812</v>
      </c>
      <c r="R1460" s="6">
        <f>P1460/Q1460</f>
        <v>1.354713993677344</v>
      </c>
    </row>
    <row r="1461" spans="1:18" x14ac:dyDescent="0.35">
      <c r="A1461" s="9">
        <v>504</v>
      </c>
      <c r="B1461" s="5">
        <v>1</v>
      </c>
      <c r="C1461" s="5">
        <v>6000000</v>
      </c>
      <c r="D1461" s="5">
        <v>10</v>
      </c>
      <c r="E1461" s="5">
        <v>0.125</v>
      </c>
      <c r="F1461" s="5">
        <v>0.15</v>
      </c>
      <c r="G1461" s="12">
        <f>(C1461*$U$4)/($U$5*$U$3)</f>
        <v>88.16326530612244</v>
      </c>
      <c r="H1461" s="11">
        <f>G1461*COS(RADIANS(D1461))</f>
        <v>86.823867204341596</v>
      </c>
      <c r="I1461" s="11">
        <f>G1461*SIN(RADIANS(D1461))</f>
        <v>15.309390357574264</v>
      </c>
      <c r="J1461" s="20">
        <v>0.33379999999999999</v>
      </c>
      <c r="K1461" s="12">
        <v>14</v>
      </c>
      <c r="L1461" s="12">
        <f>-(F1461*G1461*$U$3)/J1461</f>
        <v>-39.618004181900439</v>
      </c>
      <c r="M1461" s="11">
        <f>ABS(L1461/$U$6)</f>
        <v>0.11550438536997212</v>
      </c>
      <c r="N1461" s="12">
        <f>L1461*SIN(RADIANS(K1461))</f>
        <v>-9.5844626715609174</v>
      </c>
      <c r="O1461" s="12">
        <f>L1461*COS(RADIANS(K1461))</f>
        <v>-38.441180141282551</v>
      </c>
      <c r="P1461" s="5">
        <v>4.1618843670577981</v>
      </c>
      <c r="Q1461" s="5">
        <v>0.44103729476105435</v>
      </c>
      <c r="R1461" s="6">
        <f>P1461/Q1461</f>
        <v>9.4365814784725366</v>
      </c>
    </row>
    <row r="1462" spans="1:18" x14ac:dyDescent="0.35">
      <c r="A1462" s="9">
        <v>1463</v>
      </c>
      <c r="B1462" s="5">
        <v>1</v>
      </c>
      <c r="C1462" s="5">
        <v>4000000</v>
      </c>
      <c r="D1462" s="5">
        <v>5</v>
      </c>
      <c r="E1462" s="5">
        <v>0.125</v>
      </c>
      <c r="F1462" s="5">
        <v>2.5000000000000001E-2</v>
      </c>
      <c r="G1462" s="12">
        <f>(C1462*$U$4)/($U$5*$U$3)</f>
        <v>58.775510204081627</v>
      </c>
      <c r="H1462" s="11">
        <f>G1462*COS(RADIANS(D1462))</f>
        <v>58.551851642943404</v>
      </c>
      <c r="I1462" s="11">
        <f>G1462*SIN(RADIANS(D1462))</f>
        <v>5.1226232472092956</v>
      </c>
      <c r="J1462" s="11">
        <v>0.33379999999999999</v>
      </c>
      <c r="K1462" s="12">
        <v>14</v>
      </c>
      <c r="L1462" s="12">
        <f>-(F1462*G1462*$U$3)/J1462</f>
        <v>-4.4020004646556048</v>
      </c>
      <c r="M1462" s="11">
        <f>ABS(L1462/$U$6)</f>
        <v>1.283382059666357E-2</v>
      </c>
      <c r="N1462" s="12">
        <f>L1462*SIN(RADIANS(K1462))</f>
        <v>-1.0649402968401021</v>
      </c>
      <c r="O1462" s="12">
        <f>L1462*COS(RADIANS(K1462))</f>
        <v>-4.2712422379202843</v>
      </c>
      <c r="P1462" s="5">
        <v>3.6410857259705467</v>
      </c>
      <c r="Q1462" s="5">
        <v>0.74313280264595261</v>
      </c>
      <c r="R1462" s="6">
        <f>P1462/Q1462</f>
        <v>4.8996433921451485</v>
      </c>
    </row>
    <row r="1463" spans="1:18" x14ac:dyDescent="0.35">
      <c r="A1463" s="9">
        <v>1464</v>
      </c>
      <c r="B1463" s="5">
        <v>0.25</v>
      </c>
      <c r="C1463" s="5">
        <v>2000000</v>
      </c>
      <c r="D1463" s="5">
        <v>20</v>
      </c>
      <c r="E1463" s="5">
        <v>0.125</v>
      </c>
      <c r="F1463" s="5">
        <v>0.15</v>
      </c>
      <c r="G1463" s="12">
        <f>(C1463*$U$4)/($U$5*$U$3)</f>
        <v>29.387755102040813</v>
      </c>
      <c r="H1463" s="11">
        <f>G1463*COS(RADIANS(D1463))</f>
        <v>27.615456610851183</v>
      </c>
      <c r="I1463" s="11">
        <f>G1463*SIN(RADIANS(D1463))</f>
        <v>10.051204212019652</v>
      </c>
      <c r="J1463" s="11">
        <v>0.19020000000000001</v>
      </c>
      <c r="K1463" s="12">
        <v>46</v>
      </c>
      <c r="L1463" s="12">
        <f>-(F1463*G1463*$U$3)/J1463</f>
        <v>-23.176463014227771</v>
      </c>
      <c r="M1463" s="11">
        <f>ABS(L1463/$U$6)</f>
        <v>6.7569863015241316E-2</v>
      </c>
      <c r="N1463" s="12">
        <f>L1463*SIN(RADIANS(K1463))</f>
        <v>-16.671752277210736</v>
      </c>
      <c r="O1463" s="12">
        <f>L1463*COS(RADIANS(K1463))</f>
        <v>-16.099724030466682</v>
      </c>
      <c r="P1463" s="5">
        <v>2.7832268792805959</v>
      </c>
      <c r="Q1463" s="5">
        <v>0.6618783235178789</v>
      </c>
      <c r="R1463" s="6">
        <f>P1463/Q1463</f>
        <v>4.205043102919225</v>
      </c>
    </row>
    <row r="1464" spans="1:18" x14ac:dyDescent="0.35">
      <c r="A1464" s="9">
        <v>1465</v>
      </c>
      <c r="B1464" s="5">
        <v>0.5</v>
      </c>
      <c r="C1464" s="5">
        <v>4000000</v>
      </c>
      <c r="D1464" s="5">
        <v>20</v>
      </c>
      <c r="E1464" s="5">
        <v>0</v>
      </c>
      <c r="F1464" s="5">
        <v>0</v>
      </c>
      <c r="G1464" s="12">
        <f>(C1464*$U$4)/($U$5*$U$3)</f>
        <v>58.775510204081627</v>
      </c>
      <c r="H1464" s="11">
        <f>G1464*COS(RADIANS(D1464))</f>
        <v>55.230913221702366</v>
      </c>
      <c r="I1464" s="11">
        <f>G1464*SIN(RADIANS(D1464))</f>
        <v>20.102408424039304</v>
      </c>
      <c r="J1464" s="12">
        <v>0.23230000000000001</v>
      </c>
      <c r="K1464" s="12">
        <v>0</v>
      </c>
      <c r="L1464" s="12">
        <f>-(F1464*G1464*$U$3)/J1464</f>
        <v>0</v>
      </c>
      <c r="M1464" s="11">
        <f>ABS(L1464/$U$6)</f>
        <v>0</v>
      </c>
      <c r="N1464" s="12">
        <f>L1464*SIN(RADIANS(K1464))</f>
        <v>0</v>
      </c>
      <c r="O1464" s="12">
        <f>L1464*COS(RADIANS(K1464))</f>
        <v>0</v>
      </c>
      <c r="P1464" s="5">
        <v>3.3936438463446139</v>
      </c>
      <c r="Q1464" s="5">
        <v>1.2450121400614247</v>
      </c>
      <c r="R1464" s="6">
        <f>P1464/Q1464</f>
        <v>2.7257917711366115</v>
      </c>
    </row>
    <row r="1465" spans="1:18" x14ac:dyDescent="0.35">
      <c r="A1465" s="9">
        <v>1466</v>
      </c>
      <c r="B1465" s="5">
        <v>1</v>
      </c>
      <c r="C1465" s="5">
        <v>4000000</v>
      </c>
      <c r="D1465" s="5">
        <v>5</v>
      </c>
      <c r="E1465" s="5">
        <v>0</v>
      </c>
      <c r="F1465" s="5">
        <v>0.1</v>
      </c>
      <c r="G1465" s="12">
        <f>(C1465*$U$4)/($U$5*$U$3)</f>
        <v>58.775510204081627</v>
      </c>
      <c r="H1465" s="11">
        <f>G1465*COS(RADIANS(D1465))</f>
        <v>58.551851642943404</v>
      </c>
      <c r="I1465" s="11">
        <f>G1465*SIN(RADIANS(D1465))</f>
        <v>5.1226232472092956</v>
      </c>
      <c r="J1465" s="11">
        <v>0.33379999999999999</v>
      </c>
      <c r="K1465" s="12">
        <v>0</v>
      </c>
      <c r="L1465" s="12">
        <f>-(F1465*G1465*$U$3)/J1465</f>
        <v>-17.608001858622419</v>
      </c>
      <c r="M1465" s="11">
        <f>ABS(L1465/$U$6)</f>
        <v>5.1335282386654281E-2</v>
      </c>
      <c r="N1465" s="12">
        <f>L1465*SIN(RADIANS(K1465))</f>
        <v>0</v>
      </c>
      <c r="O1465" s="12">
        <f>L1465*COS(RADIANS(K1465))</f>
        <v>-17.608001858622419</v>
      </c>
      <c r="P1465" s="5">
        <v>1.9181109348617864</v>
      </c>
      <c r="Q1465" s="5">
        <v>1.7756837734985012</v>
      </c>
      <c r="R1465" s="6">
        <f>P1465/Q1465</f>
        <v>1.0802097555257102</v>
      </c>
    </row>
    <row r="1466" spans="1:18" x14ac:dyDescent="0.35">
      <c r="A1466" s="9">
        <v>1467</v>
      </c>
      <c r="B1466" s="5">
        <v>0.75</v>
      </c>
      <c r="C1466" s="5">
        <v>4000000</v>
      </c>
      <c r="D1466" s="5">
        <v>0</v>
      </c>
      <c r="E1466" s="5">
        <v>0.375</v>
      </c>
      <c r="F1466" s="5">
        <v>0.05</v>
      </c>
      <c r="G1466" s="12">
        <f>(C1466*$U$4)/($U$5*$U$3)</f>
        <v>58.775510204081627</v>
      </c>
      <c r="H1466" s="11">
        <f>G1466*COS(RADIANS(D1466))</f>
        <v>58.775510204081627</v>
      </c>
      <c r="I1466" s="11">
        <f>G1466*SIN(RADIANS(D1466))</f>
        <v>0</v>
      </c>
      <c r="J1466" s="11">
        <v>0.29299999999999998</v>
      </c>
      <c r="K1466" s="12">
        <v>57</v>
      </c>
      <c r="L1466" s="12">
        <f>-(F1466*G1466*$U$3)/J1466</f>
        <v>-10.029950546771609</v>
      </c>
      <c r="M1466" s="11">
        <f>ABS(L1466/$U$6)</f>
        <v>2.92418383287802E-2</v>
      </c>
      <c r="N1466" s="12">
        <f>L1466*SIN(RADIANS(K1466))</f>
        <v>-8.4118243215254616</v>
      </c>
      <c r="O1466" s="12">
        <f>L1466*COS(RADIANS(K1466))</f>
        <v>-5.4627025870421324</v>
      </c>
      <c r="P1466" s="5">
        <v>4.0831638492392033</v>
      </c>
      <c r="Q1466" s="5">
        <v>-0.43438271956718566</v>
      </c>
      <c r="R1466" s="6">
        <f>P1466/Q1466</f>
        <v>-9.3999223848214424</v>
      </c>
    </row>
    <row r="1467" spans="1:18" x14ac:dyDescent="0.35">
      <c r="A1467" s="9">
        <v>1468</v>
      </c>
      <c r="B1467" s="5">
        <v>1</v>
      </c>
      <c r="C1467" s="5">
        <v>4000000</v>
      </c>
      <c r="D1467" s="5">
        <v>15</v>
      </c>
      <c r="E1467" s="5">
        <v>0.375</v>
      </c>
      <c r="F1467" s="5">
        <v>0</v>
      </c>
      <c r="G1467" s="12">
        <f>(C1467*$U$4)/($U$5*$U$3)</f>
        <v>58.775510204081627</v>
      </c>
      <c r="H1467" s="11">
        <f>G1467*COS(RADIANS(D1467))</f>
        <v>56.772783259439109</v>
      </c>
      <c r="I1467" s="11">
        <f>G1467*SIN(RADIANS(D1467))</f>
        <v>15.212221426433871</v>
      </c>
      <c r="J1467" s="12">
        <v>0.33379999999999999</v>
      </c>
      <c r="K1467" s="11">
        <v>49</v>
      </c>
      <c r="L1467" s="12">
        <f>-(F1467*G1467*$U$3)/J1467</f>
        <v>0</v>
      </c>
      <c r="M1467" s="11">
        <f>ABS(L1467/$U$6)</f>
        <v>0</v>
      </c>
      <c r="N1467" s="12">
        <f>L1467*SIN(RADIANS(K1467))</f>
        <v>0</v>
      </c>
      <c r="O1467" s="12">
        <f>L1467*COS(RADIANS(K1467))</f>
        <v>0</v>
      </c>
      <c r="P1467" s="5">
        <v>6.1244393428524093</v>
      </c>
      <c r="Q1467" s="5">
        <v>1.5918060314204419</v>
      </c>
      <c r="R1467" s="6">
        <f>P1467/Q1467</f>
        <v>3.8474784125470927</v>
      </c>
    </row>
    <row r="1468" spans="1:18" x14ac:dyDescent="0.35">
      <c r="A1468" s="9">
        <v>1469</v>
      </c>
      <c r="B1468" s="5">
        <v>0.1</v>
      </c>
      <c r="C1468" s="5">
        <v>4000000</v>
      </c>
      <c r="D1468" s="5">
        <v>5</v>
      </c>
      <c r="E1468" s="5">
        <v>0</v>
      </c>
      <c r="F1468" s="5">
        <v>0.05</v>
      </c>
      <c r="G1468" s="12">
        <f>(C1468*$U$4)/($U$5*$U$3)</f>
        <v>58.775510204081627</v>
      </c>
      <c r="H1468" s="11">
        <f>G1468*COS(RADIANS(D1468))</f>
        <v>58.551851642943404</v>
      </c>
      <c r="I1468" s="11">
        <f>G1468*SIN(RADIANS(D1468))</f>
        <v>5.1226232472092956</v>
      </c>
      <c r="J1468" s="11">
        <v>0.16569999999999999</v>
      </c>
      <c r="K1468" s="12">
        <v>0</v>
      </c>
      <c r="L1468" s="12">
        <f>-(F1468*G1468*$U$3)/J1468</f>
        <v>-17.735519071841168</v>
      </c>
      <c r="M1468" s="11">
        <f>ABS(L1468/$U$6)</f>
        <v>5.1707052687583577E-2</v>
      </c>
      <c r="N1468" s="12">
        <f>L1468*SIN(RADIANS(K1468))</f>
        <v>0</v>
      </c>
      <c r="O1468" s="12">
        <f>L1468*COS(RADIANS(K1468))</f>
        <v>-17.735519071841168</v>
      </c>
      <c r="P1468" s="5">
        <v>1.3392837158479949</v>
      </c>
      <c r="Q1468" s="5">
        <v>0.30887831162078994</v>
      </c>
      <c r="R1468" s="6">
        <f>P1468/Q1468</f>
        <v>4.3359590669228796</v>
      </c>
    </row>
    <row r="1469" spans="1:18" x14ac:dyDescent="0.35">
      <c r="A1469" s="9">
        <v>1470</v>
      </c>
      <c r="B1469" s="5">
        <v>0.25</v>
      </c>
      <c r="C1469" s="5">
        <v>4000000</v>
      </c>
      <c r="D1469" s="5">
        <v>15</v>
      </c>
      <c r="E1469" s="5">
        <v>0.375</v>
      </c>
      <c r="F1469" s="5">
        <v>1.4999999999999999E-2</v>
      </c>
      <c r="G1469" s="12">
        <f>(C1469*$U$4)/($U$5*$U$3)</f>
        <v>58.775510204081627</v>
      </c>
      <c r="H1469" s="11">
        <f>G1469*COS(RADIANS(D1469))</f>
        <v>56.772783259439109</v>
      </c>
      <c r="I1469" s="11">
        <f>G1469*SIN(RADIANS(D1469))</f>
        <v>15.212221426433871</v>
      </c>
      <c r="J1469" s="11">
        <v>0.1976</v>
      </c>
      <c r="K1469" s="12">
        <v>78</v>
      </c>
      <c r="L1469" s="12">
        <f>-(F1469*G1469*$U$3)/J1469</f>
        <v>-4.4617037098240102</v>
      </c>
      <c r="M1469" s="11">
        <f>ABS(L1469/$U$6)</f>
        <v>1.3007882535930059E-2</v>
      </c>
      <c r="N1469" s="12">
        <f>L1469*SIN(RADIANS(K1469))</f>
        <v>-4.3642047789494747</v>
      </c>
      <c r="O1469" s="12">
        <f>L1469*COS(RADIANS(K1469))</f>
        <v>-0.92764036223738</v>
      </c>
      <c r="P1469" s="5">
        <v>2.3636550798582667</v>
      </c>
      <c r="Q1469" s="5">
        <v>0.61190325597403572</v>
      </c>
      <c r="R1469" s="6">
        <f>P1469/Q1469</f>
        <v>3.8627921273204686</v>
      </c>
    </row>
    <row r="1470" spans="1:18" x14ac:dyDescent="0.35">
      <c r="A1470" s="9">
        <v>1471</v>
      </c>
      <c r="B1470" s="5">
        <v>0.75</v>
      </c>
      <c r="C1470" s="5">
        <v>4000000</v>
      </c>
      <c r="D1470" s="5">
        <v>0</v>
      </c>
      <c r="E1470" s="5">
        <v>0.25</v>
      </c>
      <c r="F1470" s="5">
        <v>2.5000000000000001E-2</v>
      </c>
      <c r="G1470" s="12">
        <f>(C1470*$U$4)/($U$5*$U$3)</f>
        <v>58.775510204081627</v>
      </c>
      <c r="H1470" s="11">
        <f>G1470*COS(RADIANS(D1470))</f>
        <v>58.775510204081627</v>
      </c>
      <c r="I1470" s="11">
        <f>G1470*SIN(RADIANS(D1470))</f>
        <v>0</v>
      </c>
      <c r="J1470" s="12">
        <v>0.28370000000000001</v>
      </c>
      <c r="K1470" s="11">
        <v>38</v>
      </c>
      <c r="L1470" s="12">
        <f>-(F1470*G1470*$U$3)/J1470</f>
        <v>-5.179371713436872</v>
      </c>
      <c r="M1470" s="11">
        <f>ABS(L1470/$U$6)</f>
        <v>1.5100209077075429E-2</v>
      </c>
      <c r="N1470" s="12">
        <f>L1470*SIN(RADIANS(K1470))</f>
        <v>-3.1887396303545272</v>
      </c>
      <c r="O1470" s="12">
        <f>L1470*COS(RADIANS(K1470))</f>
        <v>-4.0814006071147277</v>
      </c>
      <c r="P1470" s="5">
        <v>3.9234031637853715</v>
      </c>
      <c r="Q1470" s="5">
        <v>-6.4528491547171496E-2</v>
      </c>
      <c r="R1470" s="6">
        <f>P1470/Q1470</f>
        <v>-60.801098394145676</v>
      </c>
    </row>
    <row r="1471" spans="1:18" x14ac:dyDescent="0.35">
      <c r="A1471" s="9">
        <v>1472</v>
      </c>
      <c r="B1471" s="5">
        <v>1</v>
      </c>
      <c r="C1471" s="5">
        <v>4000000</v>
      </c>
      <c r="D1471" s="5">
        <v>15</v>
      </c>
      <c r="E1471" s="5">
        <v>0.25</v>
      </c>
      <c r="F1471" s="5">
        <v>7.4999999999999997E-2</v>
      </c>
      <c r="G1471" s="12">
        <f>(C1471*$U$4)/($U$5*$U$3)</f>
        <v>58.775510204081627</v>
      </c>
      <c r="H1471" s="11">
        <f>G1471*COS(RADIANS(D1471))</f>
        <v>56.772783259439109</v>
      </c>
      <c r="I1471" s="11">
        <f>G1471*SIN(RADIANS(D1471))</f>
        <v>15.212221426433871</v>
      </c>
      <c r="J1471" s="13">
        <v>0.33379999999999999</v>
      </c>
      <c r="K1471" s="12">
        <v>30</v>
      </c>
      <c r="L1471" s="12">
        <f>-(F1471*G1471*$U$3)/J1471</f>
        <v>-13.206001393966813</v>
      </c>
      <c r="M1471" s="11">
        <f>ABS(L1471/$U$6)</f>
        <v>3.8501461789990712E-2</v>
      </c>
      <c r="N1471" s="12">
        <f>L1471*SIN(RADIANS(K1471))</f>
        <v>-6.6030006969834059</v>
      </c>
      <c r="O1471" s="12">
        <f>L1471*COS(RADIANS(K1471))</f>
        <v>-11.43673268958797</v>
      </c>
      <c r="P1471" s="5">
        <v>4.9597970609939468</v>
      </c>
      <c r="Q1471" s="5">
        <v>0.34377409655070218</v>
      </c>
      <c r="R1471" s="6">
        <f>P1471/Q1471</f>
        <v>14.427489187692307</v>
      </c>
    </row>
    <row r="1472" spans="1:18" x14ac:dyDescent="0.35">
      <c r="A1472" s="9">
        <v>1473</v>
      </c>
      <c r="B1472" s="5">
        <v>0.1</v>
      </c>
      <c r="C1472" s="5">
        <v>6000000</v>
      </c>
      <c r="D1472" s="5">
        <v>10</v>
      </c>
      <c r="E1472" s="5">
        <v>0.125</v>
      </c>
      <c r="F1472" s="5">
        <v>1.4999999999999999E-2</v>
      </c>
      <c r="G1472" s="12">
        <f>(C1472*$U$4)/($U$5*$U$3)</f>
        <v>88.16326530612244</v>
      </c>
      <c r="H1472" s="11">
        <f>G1472*COS(RADIANS(D1472))</f>
        <v>86.823867204341596</v>
      </c>
      <c r="I1472" s="11">
        <f>G1472*SIN(RADIANS(D1472))</f>
        <v>15.309390357574264</v>
      </c>
      <c r="J1472" s="12">
        <v>0.1658</v>
      </c>
      <c r="K1472" s="12">
        <v>69</v>
      </c>
      <c r="L1472" s="12">
        <f>-(F1472*G1472*$U$3)/J1472</f>
        <v>-7.9761699613500401</v>
      </c>
      <c r="M1472" s="11">
        <f>ABS(L1472/$U$6)</f>
        <v>2.3254139829008862E-2</v>
      </c>
      <c r="N1472" s="12">
        <f>L1472*SIN(RADIANS(K1472))</f>
        <v>-7.4463961543313397</v>
      </c>
      <c r="O1472" s="12">
        <f>L1472*COS(RADIANS(K1472))</f>
        <v>-2.8584036742738315</v>
      </c>
      <c r="P1472" s="5">
        <v>1.3322437087739876</v>
      </c>
      <c r="Q1472" s="5">
        <v>0.43967986225189798</v>
      </c>
      <c r="R1472" s="6">
        <f>P1472/Q1472</f>
        <v>3.0300312185112741</v>
      </c>
    </row>
    <row r="1473" spans="1:18" x14ac:dyDescent="0.35">
      <c r="A1473" s="9">
        <v>1474</v>
      </c>
      <c r="B1473" s="5">
        <v>0.25</v>
      </c>
      <c r="C1473" s="5">
        <v>6000000</v>
      </c>
      <c r="D1473" s="5">
        <v>0</v>
      </c>
      <c r="E1473" s="5">
        <v>0.375</v>
      </c>
      <c r="F1473" s="5">
        <v>7.4999999999999997E-2</v>
      </c>
      <c r="G1473" s="12">
        <f>(C1473*$U$4)/($U$5*$U$3)</f>
        <v>88.16326530612244</v>
      </c>
      <c r="H1473" s="11">
        <f>G1473*COS(RADIANS(D1473))</f>
        <v>88.16326530612244</v>
      </c>
      <c r="I1473" s="11">
        <f>G1473*SIN(RADIANS(D1473))</f>
        <v>0</v>
      </c>
      <c r="J1473" s="11">
        <v>0.1976</v>
      </c>
      <c r="K1473" s="12">
        <v>78</v>
      </c>
      <c r="L1473" s="12">
        <f>-(F1473*G1473*$U$3)/J1473</f>
        <v>-33.462777823680078</v>
      </c>
      <c r="M1473" s="11">
        <f>ABS(L1473/$U$6)</f>
        <v>9.7559119019475449E-2</v>
      </c>
      <c r="N1473" s="12">
        <f>L1473*SIN(RADIANS(K1473))</f>
        <v>-32.731535842121062</v>
      </c>
      <c r="O1473" s="12">
        <f>L1473*COS(RADIANS(K1473))</f>
        <v>-6.9573027167803501</v>
      </c>
      <c r="P1473" s="5">
        <v>2.3401573536342219</v>
      </c>
      <c r="Q1473" s="5">
        <v>-2.0933949547492156E-2</v>
      </c>
      <c r="R1473" s="6">
        <f>P1473/Q1473</f>
        <v>-111.78766569228539</v>
      </c>
    </row>
    <row r="1474" spans="1:18" x14ac:dyDescent="0.35">
      <c r="A1474" s="9">
        <v>1475</v>
      </c>
      <c r="B1474" s="5">
        <v>0.1</v>
      </c>
      <c r="C1474" s="5">
        <v>6000000</v>
      </c>
      <c r="D1474" s="5">
        <v>0</v>
      </c>
      <c r="E1474" s="5">
        <v>0</v>
      </c>
      <c r="F1474" s="5">
        <v>2.5000000000000001E-2</v>
      </c>
      <c r="G1474" s="12">
        <f>(C1474*$U$4)/($U$5*$U$3)</f>
        <v>88.16326530612244</v>
      </c>
      <c r="H1474" s="11">
        <f>G1474*COS(RADIANS(D1474))</f>
        <v>88.16326530612244</v>
      </c>
      <c r="I1474" s="11">
        <f>G1474*SIN(RADIANS(D1474))</f>
        <v>0</v>
      </c>
      <c r="J1474" s="11">
        <v>0.16569999999999999</v>
      </c>
      <c r="K1474" s="12">
        <v>0</v>
      </c>
      <c r="L1474" s="12">
        <f>-(F1474*G1474*$U$3)/J1474</f>
        <v>-13.301639303880876</v>
      </c>
      <c r="M1474" s="11">
        <f>ABS(L1474/$U$6)</f>
        <v>3.8780289515687683E-2</v>
      </c>
      <c r="N1474" s="12">
        <f>L1474*SIN(RADIANS(K1474))</f>
        <v>0</v>
      </c>
      <c r="O1474" s="12">
        <f>L1474*COS(RADIANS(K1474))</f>
        <v>-13.301639303880876</v>
      </c>
      <c r="P1474" s="5">
        <v>1.1268342245856124</v>
      </c>
      <c r="Q1474" s="5">
        <v>0.22342780852953931</v>
      </c>
      <c r="R1474" s="6">
        <f>P1474/Q1474</f>
        <v>5.0433929061996512</v>
      </c>
    </row>
    <row r="1475" spans="1:18" x14ac:dyDescent="0.35">
      <c r="A1475" s="9">
        <v>1476</v>
      </c>
      <c r="B1475" s="5">
        <v>0.1</v>
      </c>
      <c r="C1475" s="5">
        <v>4000000</v>
      </c>
      <c r="D1475" s="5">
        <v>15</v>
      </c>
      <c r="E1475" s="5">
        <v>0.375</v>
      </c>
      <c r="F1475" s="5">
        <v>3.5000000000000003E-2</v>
      </c>
      <c r="G1475" s="12">
        <f>(C1475*$U$4)/($U$5*$U$3)</f>
        <v>58.775510204081627</v>
      </c>
      <c r="H1475" s="11">
        <f>G1475*COS(RADIANS(D1475))</f>
        <v>56.772783259439109</v>
      </c>
      <c r="I1475" s="11">
        <f>G1475*SIN(RADIANS(D1475))</f>
        <v>15.212221426433871</v>
      </c>
      <c r="J1475" s="12">
        <v>0.16789999999999999</v>
      </c>
      <c r="K1475" s="11">
        <v>85</v>
      </c>
      <c r="L1475" s="12">
        <f>-(F1475*G1475*$U$3)/J1475</f>
        <v>-12.252190929975324</v>
      </c>
      <c r="M1475" s="11">
        <f>ABS(L1475/$U$6)</f>
        <v>3.5720673265234183E-2</v>
      </c>
      <c r="N1475" s="12">
        <f>L1475*SIN(RADIANS(K1475))</f>
        <v>-12.205567644449191</v>
      </c>
      <c r="O1475" s="12">
        <f>L1475*COS(RADIANS(K1475))</f>
        <v>-1.0678488007881197</v>
      </c>
      <c r="P1475" s="5">
        <v>1.8433935687055747</v>
      </c>
      <c r="Q1475" s="5">
        <v>0.67920180513087525</v>
      </c>
      <c r="R1475" s="6">
        <f>P1475/Q1475</f>
        <v>2.7140587006396011</v>
      </c>
    </row>
    <row r="1476" spans="1:18" x14ac:dyDescent="0.35">
      <c r="A1476" s="9">
        <v>1477</v>
      </c>
      <c r="B1476" s="5">
        <v>0.5</v>
      </c>
      <c r="C1476" s="5">
        <v>2000000</v>
      </c>
      <c r="D1476" s="5">
        <v>0</v>
      </c>
      <c r="E1476" s="5">
        <v>0.375</v>
      </c>
      <c r="F1476" s="5">
        <v>3.5000000000000003E-2</v>
      </c>
      <c r="G1476" s="12">
        <f>(C1476*$U$4)/($U$5*$U$3)</f>
        <v>29.387755102040813</v>
      </c>
      <c r="H1476" s="11">
        <f>G1476*COS(RADIANS(D1476))</f>
        <v>29.387755102040813</v>
      </c>
      <c r="I1476" s="11">
        <f>G1476*SIN(RADIANS(D1476))</f>
        <v>0</v>
      </c>
      <c r="J1476" s="12">
        <v>0.24809999999999999</v>
      </c>
      <c r="K1476" s="12">
        <v>67</v>
      </c>
      <c r="L1476" s="12">
        <f>-(F1476*G1476*$U$3)/J1476</f>
        <v>-4.1457937467610986</v>
      </c>
      <c r="M1476" s="11">
        <f>ABS(L1476/$U$6)</f>
        <v>1.2086862235455098E-2</v>
      </c>
      <c r="N1476" s="12">
        <f>L1476*SIN(RADIANS(K1476))</f>
        <v>-3.8162232653063688</v>
      </c>
      <c r="O1476" s="12">
        <f>L1476*COS(RADIANS(K1476))</f>
        <v>-1.6198906691557382</v>
      </c>
      <c r="P1476" s="5">
        <v>3.0328311570344342</v>
      </c>
      <c r="Q1476" s="5">
        <v>-0.14602702192099759</v>
      </c>
      <c r="R1476" s="6">
        <f>P1476/Q1476</f>
        <v>-20.768972188416146</v>
      </c>
    </row>
    <row r="1477" spans="1:18" x14ac:dyDescent="0.35">
      <c r="A1477" s="9">
        <v>1478</v>
      </c>
      <c r="B1477" s="5">
        <v>0.1</v>
      </c>
      <c r="C1477" s="5">
        <v>6000000</v>
      </c>
      <c r="D1477" s="5">
        <v>10</v>
      </c>
      <c r="E1477" s="5">
        <v>0.125</v>
      </c>
      <c r="F1477" s="5">
        <v>3.5000000000000003E-2</v>
      </c>
      <c r="G1477" s="12">
        <f>(C1477*$U$4)/($U$5*$U$3)</f>
        <v>88.16326530612244</v>
      </c>
      <c r="H1477" s="11">
        <f>G1477*COS(RADIANS(D1477))</f>
        <v>86.823867204341596</v>
      </c>
      <c r="I1477" s="11">
        <f>G1477*SIN(RADIANS(D1477))</f>
        <v>15.309390357574264</v>
      </c>
      <c r="J1477" s="12">
        <v>0.1658</v>
      </c>
      <c r="K1477" s="12">
        <v>69</v>
      </c>
      <c r="L1477" s="12">
        <f>-(F1477*G1477*$U$3)/J1477</f>
        <v>-18.611063243150095</v>
      </c>
      <c r="M1477" s="11">
        <f>ABS(L1477/$U$6)</f>
        <v>5.4259659601020686E-2</v>
      </c>
      <c r="N1477" s="12">
        <f>L1477*SIN(RADIANS(K1477))</f>
        <v>-17.374924360106462</v>
      </c>
      <c r="O1477" s="12">
        <f>L1477*COS(RADIANS(K1477))</f>
        <v>-6.6696085733056076</v>
      </c>
      <c r="P1477" s="5">
        <v>1.4589359358169836</v>
      </c>
      <c r="Q1477" s="5">
        <v>0.44959057763023458</v>
      </c>
      <c r="R1477" s="6">
        <f>P1477/Q1477</f>
        <v>3.2450322769372724</v>
      </c>
    </row>
    <row r="1478" spans="1:18" x14ac:dyDescent="0.35">
      <c r="A1478" s="9">
        <v>1479</v>
      </c>
      <c r="B1478" s="5">
        <v>0.1</v>
      </c>
      <c r="C1478" s="5">
        <v>4000000</v>
      </c>
      <c r="D1478" s="5">
        <v>5</v>
      </c>
      <c r="E1478" s="5">
        <v>0.375</v>
      </c>
      <c r="F1478" s="5">
        <v>0</v>
      </c>
      <c r="G1478" s="12">
        <f>(C1478*$U$4)/($U$5*$U$3)</f>
        <v>58.775510204081627</v>
      </c>
      <c r="H1478" s="11">
        <f>G1478*COS(RADIANS(D1478))</f>
        <v>58.551851642943404</v>
      </c>
      <c r="I1478" s="11">
        <f>G1478*SIN(RADIANS(D1478))</f>
        <v>5.1226232472092956</v>
      </c>
      <c r="J1478" s="12">
        <v>0.16789999999999999</v>
      </c>
      <c r="K1478" s="11">
        <v>85</v>
      </c>
      <c r="L1478" s="12">
        <f>-(F1478*G1478*$U$3)/J1478</f>
        <v>0</v>
      </c>
      <c r="M1478" s="11">
        <f>ABS(L1478/$U$6)</f>
        <v>0</v>
      </c>
      <c r="N1478" s="12">
        <f>L1478*SIN(RADIANS(K1478))</f>
        <v>0</v>
      </c>
      <c r="O1478" s="12">
        <f>L1478*COS(RADIANS(K1478))</f>
        <v>0</v>
      </c>
      <c r="P1478" s="5">
        <v>1.6482914381369071</v>
      </c>
      <c r="Q1478" s="5">
        <v>0.34443871875888993</v>
      </c>
      <c r="R1478" s="6">
        <f>P1478/Q1478</f>
        <v>4.7854417879504583</v>
      </c>
    </row>
    <row r="1479" spans="1:18" x14ac:dyDescent="0.35">
      <c r="A1479" s="9">
        <v>1480</v>
      </c>
      <c r="B1479" s="5">
        <v>0.25</v>
      </c>
      <c r="C1479" s="5">
        <v>4000000</v>
      </c>
      <c r="D1479" s="5">
        <v>20</v>
      </c>
      <c r="E1479" s="5">
        <v>0.125</v>
      </c>
      <c r="F1479" s="5">
        <v>1.4999999999999999E-2</v>
      </c>
      <c r="G1479" s="12">
        <f>(C1479*$U$4)/($U$5*$U$3)</f>
        <v>58.775510204081627</v>
      </c>
      <c r="H1479" s="11">
        <f>G1479*COS(RADIANS(D1479))</f>
        <v>55.230913221702366</v>
      </c>
      <c r="I1479" s="11">
        <f>G1479*SIN(RADIANS(D1479))</f>
        <v>20.102408424039304</v>
      </c>
      <c r="J1479" s="11">
        <v>0.19020000000000001</v>
      </c>
      <c r="K1479" s="12">
        <v>46</v>
      </c>
      <c r="L1479" s="12">
        <f>-(F1479*G1479*$U$3)/J1479</f>
        <v>-4.6352926028455537</v>
      </c>
      <c r="M1479" s="11">
        <f>ABS(L1479/$U$6)</f>
        <v>1.3513972603048261E-2</v>
      </c>
      <c r="N1479" s="12">
        <f>L1479*SIN(RADIANS(K1479))</f>
        <v>-3.3343504554421468</v>
      </c>
      <c r="O1479" s="12">
        <f>L1479*COS(RADIANS(K1479))</f>
        <v>-3.2199448060933364</v>
      </c>
      <c r="P1479" s="5">
        <v>2.1707591668068544</v>
      </c>
      <c r="Q1479" s="5">
        <v>0.71418875994862807</v>
      </c>
      <c r="R1479" s="6">
        <f>P1479/Q1479</f>
        <v>3.0394753999810891</v>
      </c>
    </row>
    <row r="1480" spans="1:18" x14ac:dyDescent="0.35">
      <c r="A1480" s="9">
        <v>1481</v>
      </c>
      <c r="B1480" s="5">
        <v>0.25</v>
      </c>
      <c r="C1480" s="5">
        <v>4000000</v>
      </c>
      <c r="D1480" s="5">
        <v>5</v>
      </c>
      <c r="E1480" s="5">
        <v>0.25</v>
      </c>
      <c r="F1480" s="5">
        <v>1.4999999999999999E-2</v>
      </c>
      <c r="G1480" s="12">
        <f>(C1480*$U$4)/($U$5*$U$3)</f>
        <v>58.775510204081627</v>
      </c>
      <c r="H1480" s="11">
        <f>G1480*COS(RADIANS(D1480))</f>
        <v>58.551851642943404</v>
      </c>
      <c r="I1480" s="11">
        <f>G1480*SIN(RADIANS(D1480))</f>
        <v>5.1226232472092956</v>
      </c>
      <c r="J1480" s="12">
        <v>0.1913</v>
      </c>
      <c r="K1480" s="11">
        <v>67</v>
      </c>
      <c r="L1480" s="12">
        <f>-(F1480*G1480*$U$3)/J1480</f>
        <v>-4.6086390646169599</v>
      </c>
      <c r="M1480" s="11">
        <f>ABS(L1480/$U$6)</f>
        <v>1.3436265494510087E-2</v>
      </c>
      <c r="N1480" s="12">
        <f>L1480*SIN(RADIANS(K1480))</f>
        <v>-4.2422746267904268</v>
      </c>
      <c r="O1480" s="12">
        <f>L1480*COS(RADIANS(K1480))</f>
        <v>-1.8007387425175356</v>
      </c>
      <c r="P1480" s="5">
        <v>2.1113960302576369</v>
      </c>
      <c r="Q1480" s="5">
        <v>0.27846338771226431</v>
      </c>
      <c r="R1480" s="6">
        <f>P1480/Q1480</f>
        <v>7.5823110808352956</v>
      </c>
    </row>
    <row r="1481" spans="1:18" x14ac:dyDescent="0.35">
      <c r="A1481" s="9">
        <v>1482</v>
      </c>
      <c r="B1481" s="5">
        <v>1</v>
      </c>
      <c r="C1481" s="5">
        <v>2000000</v>
      </c>
      <c r="D1481" s="5">
        <v>20</v>
      </c>
      <c r="E1481" s="5">
        <v>0.25</v>
      </c>
      <c r="F1481" s="5">
        <v>0.1</v>
      </c>
      <c r="G1481" s="12">
        <f>(C1481*$U$4)/($U$5*$U$3)</f>
        <v>29.387755102040813</v>
      </c>
      <c r="H1481" s="11">
        <f>G1481*COS(RADIANS(D1481))</f>
        <v>27.615456610851183</v>
      </c>
      <c r="I1481" s="11">
        <f>G1481*SIN(RADIANS(D1481))</f>
        <v>10.051204212019652</v>
      </c>
      <c r="J1481" s="13">
        <v>0.33379999999999999</v>
      </c>
      <c r="K1481" s="12">
        <v>30</v>
      </c>
      <c r="L1481" s="12">
        <f>-(F1481*G1481*$U$3)/J1481</f>
        <v>-8.8040009293112096</v>
      </c>
      <c r="M1481" s="11">
        <f>ABS(L1481/$U$6)</f>
        <v>2.566764119332714E-2</v>
      </c>
      <c r="N1481" s="12">
        <f>L1481*SIN(RADIANS(K1481))</f>
        <v>-4.4020004646556039</v>
      </c>
      <c r="O1481" s="12">
        <f>L1481*COS(RADIANS(K1481))</f>
        <v>-7.6244884597253142</v>
      </c>
      <c r="P1481" s="5">
        <v>9.6638386826194402</v>
      </c>
      <c r="Q1481" s="5">
        <v>0.45787534350153247</v>
      </c>
      <c r="R1481" s="6">
        <f>P1481/Q1481</f>
        <v>21.105828954921869</v>
      </c>
    </row>
    <row r="1482" spans="1:18" x14ac:dyDescent="0.35">
      <c r="A1482" s="9">
        <v>1483</v>
      </c>
      <c r="B1482" s="5">
        <v>0.75</v>
      </c>
      <c r="C1482" s="5">
        <v>2000000</v>
      </c>
      <c r="D1482" s="5">
        <v>20</v>
      </c>
      <c r="E1482" s="5">
        <v>0.375</v>
      </c>
      <c r="F1482" s="5">
        <v>0</v>
      </c>
      <c r="G1482" s="12">
        <f>(C1482*$U$4)/($U$5*$U$3)</f>
        <v>29.387755102040813</v>
      </c>
      <c r="H1482" s="11">
        <f>G1482*COS(RADIANS(D1482))</f>
        <v>27.615456610851183</v>
      </c>
      <c r="I1482" s="11">
        <f>G1482*SIN(RADIANS(D1482))</f>
        <v>10.051204212019652</v>
      </c>
      <c r="J1482" s="11">
        <v>0.29299999999999998</v>
      </c>
      <c r="K1482" s="12">
        <v>57</v>
      </c>
      <c r="L1482" s="12">
        <f>-(F1482*G1482*$U$3)/J1482</f>
        <v>0</v>
      </c>
      <c r="M1482" s="11">
        <f>ABS(L1482/$U$6)</f>
        <v>0</v>
      </c>
      <c r="N1482" s="12">
        <f>L1482*SIN(RADIANS(K1482))</f>
        <v>0</v>
      </c>
      <c r="O1482" s="12">
        <f>L1482*COS(RADIANS(K1482))</f>
        <v>0</v>
      </c>
      <c r="P1482" s="5">
        <v>4.922912551313928</v>
      </c>
      <c r="Q1482" s="5">
        <v>1.6350500187893509</v>
      </c>
      <c r="R1482" s="6">
        <f>P1482/Q1482</f>
        <v>3.010863578937498</v>
      </c>
    </row>
    <row r="1483" spans="1:18" x14ac:dyDescent="0.35">
      <c r="A1483" s="9">
        <v>1484</v>
      </c>
      <c r="B1483" s="5">
        <v>0.1</v>
      </c>
      <c r="C1483" s="5">
        <v>2000000</v>
      </c>
      <c r="D1483" s="5">
        <v>10</v>
      </c>
      <c r="E1483" s="5">
        <v>0.125</v>
      </c>
      <c r="F1483" s="5">
        <v>0.05</v>
      </c>
      <c r="G1483" s="12">
        <f>(C1483*$U$4)/($U$5*$U$3)</f>
        <v>29.387755102040813</v>
      </c>
      <c r="H1483" s="11">
        <f>G1483*COS(RADIANS(D1483))</f>
        <v>28.941289068113864</v>
      </c>
      <c r="I1483" s="11">
        <f>G1483*SIN(RADIANS(D1483))</f>
        <v>5.1031301191914213</v>
      </c>
      <c r="J1483" s="12">
        <v>0.1658</v>
      </c>
      <c r="K1483" s="12">
        <v>69</v>
      </c>
      <c r="L1483" s="12">
        <f>-(F1483*G1483*$U$3)/J1483</f>
        <v>-8.8624110681667112</v>
      </c>
      <c r="M1483" s="11">
        <f>ABS(L1483/$U$6)</f>
        <v>2.5837933143343182E-2</v>
      </c>
      <c r="N1483" s="12">
        <f>L1483*SIN(RADIANS(K1483))</f>
        <v>-8.2737735048125991</v>
      </c>
      <c r="O1483" s="12">
        <f>L1483*COS(RADIANS(K1483))</f>
        <v>-3.1760040825264797</v>
      </c>
      <c r="P1483" s="5">
        <v>1.5343384016453063</v>
      </c>
      <c r="Q1483" s="5">
        <v>0.45533828598385623</v>
      </c>
      <c r="R1483" s="6">
        <f>P1483/Q1483</f>
        <v>3.3696670121424965</v>
      </c>
    </row>
    <row r="1484" spans="1:18" x14ac:dyDescent="0.35">
      <c r="A1484" s="9">
        <v>1485</v>
      </c>
      <c r="B1484" s="5">
        <v>0.75</v>
      </c>
      <c r="C1484" s="5">
        <v>2000000</v>
      </c>
      <c r="D1484" s="5">
        <v>5</v>
      </c>
      <c r="E1484" s="5">
        <v>0.375</v>
      </c>
      <c r="F1484" s="5">
        <v>0.1</v>
      </c>
      <c r="G1484" s="12">
        <f>(C1484*$U$4)/($U$5*$U$3)</f>
        <v>29.387755102040813</v>
      </c>
      <c r="H1484" s="11">
        <f>G1484*COS(RADIANS(D1484))</f>
        <v>29.275925821471702</v>
      </c>
      <c r="I1484" s="11">
        <f>G1484*SIN(RADIANS(D1484))</f>
        <v>2.5613116236046478</v>
      </c>
      <c r="J1484" s="11">
        <v>0.29299999999999998</v>
      </c>
      <c r="K1484" s="12">
        <v>57</v>
      </c>
      <c r="L1484" s="12">
        <f>-(F1484*G1484*$U$3)/J1484</f>
        <v>-10.029950546771609</v>
      </c>
      <c r="M1484" s="11">
        <f>ABS(L1484/$U$6)</f>
        <v>2.92418383287802E-2</v>
      </c>
      <c r="N1484" s="12">
        <f>L1484*SIN(RADIANS(K1484))</f>
        <v>-8.4118243215254616</v>
      </c>
      <c r="O1484" s="12">
        <f>L1484*COS(RADIANS(K1484))</f>
        <v>-5.4627025870421324</v>
      </c>
      <c r="P1484" s="5">
        <v>5.1958278660334729</v>
      </c>
      <c r="Q1484" s="5">
        <v>-0.36056980795730231</v>
      </c>
      <c r="R1484" s="6">
        <f>P1484/Q1484</f>
        <v>-14.410046962802689</v>
      </c>
    </row>
    <row r="1485" spans="1:18" x14ac:dyDescent="0.35">
      <c r="A1485" s="9">
        <v>1486</v>
      </c>
      <c r="B1485" s="5">
        <v>0.25</v>
      </c>
      <c r="C1485" s="5">
        <v>2000000</v>
      </c>
      <c r="D1485" s="5">
        <v>5</v>
      </c>
      <c r="E1485" s="5">
        <v>0.125</v>
      </c>
      <c r="F1485" s="5">
        <v>0.1</v>
      </c>
      <c r="G1485" s="12">
        <f>(C1485*$U$4)/($U$5*$U$3)</f>
        <v>29.387755102040813</v>
      </c>
      <c r="H1485" s="11">
        <f>G1485*COS(RADIANS(D1485))</f>
        <v>29.275925821471702</v>
      </c>
      <c r="I1485" s="11">
        <f>G1485*SIN(RADIANS(D1485))</f>
        <v>2.5613116236046478</v>
      </c>
      <c r="J1485" s="11">
        <v>0.19020000000000001</v>
      </c>
      <c r="K1485" s="12">
        <v>46</v>
      </c>
      <c r="L1485" s="12">
        <f>-(F1485*G1485*$U$3)/J1485</f>
        <v>-15.450975342818513</v>
      </c>
      <c r="M1485" s="11">
        <f>ABS(L1485/$U$6)</f>
        <v>4.5046575343494204E-2</v>
      </c>
      <c r="N1485" s="12">
        <f>L1485*SIN(RADIANS(K1485))</f>
        <v>-11.114501518140489</v>
      </c>
      <c r="O1485" s="12">
        <f>L1485*COS(RADIANS(K1485))</f>
        <v>-10.733149353644455</v>
      </c>
      <c r="P1485" s="5">
        <v>2.427806797693381</v>
      </c>
      <c r="Q1485" s="5">
        <v>0.25063254403076607</v>
      </c>
      <c r="R1485" s="6">
        <f>P1485/Q1485</f>
        <v>9.6867180879565211</v>
      </c>
    </row>
    <row r="1486" spans="1:18" x14ac:dyDescent="0.35">
      <c r="A1486" s="9">
        <v>1487</v>
      </c>
      <c r="B1486" s="5">
        <v>1</v>
      </c>
      <c r="C1486" s="5">
        <v>4000000</v>
      </c>
      <c r="D1486" s="5">
        <v>30</v>
      </c>
      <c r="E1486" s="5">
        <v>0</v>
      </c>
      <c r="F1486" s="5">
        <v>0.15</v>
      </c>
      <c r="G1486" s="12">
        <f>(C1486*$U$4)/($U$5*$U$3)</f>
        <v>58.775510204081627</v>
      </c>
      <c r="H1486" s="11">
        <f>G1486*COS(RADIANS(D1486))</f>
        <v>50.901084957126187</v>
      </c>
      <c r="I1486" s="11">
        <f>G1486*SIN(RADIANS(D1486))</f>
        <v>29.38775510204081</v>
      </c>
      <c r="J1486" s="11">
        <v>0.33379999999999999</v>
      </c>
      <c r="K1486" s="12">
        <v>0</v>
      </c>
      <c r="L1486" s="12">
        <f>-(F1486*G1486*$U$3)/J1486</f>
        <v>-26.412002787933627</v>
      </c>
      <c r="M1486" s="11">
        <f>ABS(L1486/$U$6)</f>
        <v>7.7002923579981425E-2</v>
      </c>
      <c r="N1486" s="12">
        <f>L1486*SIN(RADIANS(K1486))</f>
        <v>0</v>
      </c>
      <c r="O1486" s="12">
        <f>L1486*COS(RADIANS(K1486))</f>
        <v>-26.412002787933627</v>
      </c>
      <c r="P1486" s="5">
        <v>1.9430316232439355</v>
      </c>
      <c r="Q1486" s="5">
        <v>1.3020761817364823</v>
      </c>
      <c r="R1486" s="6">
        <f>P1486/Q1486</f>
        <v>1.4922564827602165</v>
      </c>
    </row>
    <row r="1487" spans="1:18" x14ac:dyDescent="0.35">
      <c r="A1487" s="9">
        <v>1488</v>
      </c>
      <c r="B1487" s="5">
        <v>1</v>
      </c>
      <c r="C1487" s="5">
        <v>6000000</v>
      </c>
      <c r="D1487" s="5">
        <v>5</v>
      </c>
      <c r="E1487" s="5">
        <v>0.125</v>
      </c>
      <c r="F1487" s="5">
        <v>1.4999999999999999E-2</v>
      </c>
      <c r="G1487" s="12">
        <f>(C1487*$U$4)/($U$5*$U$3)</f>
        <v>88.16326530612244</v>
      </c>
      <c r="H1487" s="11">
        <f>G1487*COS(RADIANS(D1487))</f>
        <v>87.827777464415107</v>
      </c>
      <c r="I1487" s="11">
        <f>G1487*SIN(RADIANS(D1487))</f>
        <v>7.6839348708139434</v>
      </c>
      <c r="J1487" s="11">
        <v>0.33379999999999999</v>
      </c>
      <c r="K1487" s="12">
        <v>14</v>
      </c>
      <c r="L1487" s="12">
        <f>-(F1487*G1487*$U$3)/J1487</f>
        <v>-3.9618004181900441</v>
      </c>
      <c r="M1487" s="11">
        <f>ABS(L1487/$U$6)</f>
        <v>1.1550438536997214E-2</v>
      </c>
      <c r="N1487" s="12">
        <f>L1487*SIN(RADIANS(K1487))</f>
        <v>-0.95844626715609182</v>
      </c>
      <c r="O1487" s="12">
        <f>L1487*COS(RADIANS(K1487))</f>
        <v>-3.8441180141282554</v>
      </c>
      <c r="P1487" s="5">
        <v>2.1872890744944682</v>
      </c>
      <c r="Q1487" s="5">
        <v>1.570196807371159</v>
      </c>
      <c r="R1487" s="6">
        <f>P1487/Q1487</f>
        <v>1.3930031345283729</v>
      </c>
    </row>
    <row r="1488" spans="1:18" x14ac:dyDescent="0.35">
      <c r="A1488" s="9">
        <v>1489</v>
      </c>
      <c r="B1488" s="5">
        <v>0.25</v>
      </c>
      <c r="C1488" s="5">
        <v>2000000</v>
      </c>
      <c r="D1488" s="5">
        <v>0</v>
      </c>
      <c r="E1488" s="5">
        <v>0.25</v>
      </c>
      <c r="F1488" s="5">
        <v>7.4999999999999997E-2</v>
      </c>
      <c r="G1488" s="12">
        <f>(C1488*$U$4)/($U$5*$U$3)</f>
        <v>29.387755102040813</v>
      </c>
      <c r="H1488" s="11">
        <f>G1488*COS(RADIANS(D1488))</f>
        <v>29.387755102040813</v>
      </c>
      <c r="I1488" s="11">
        <f>G1488*SIN(RADIANS(D1488))</f>
        <v>0</v>
      </c>
      <c r="J1488" s="12">
        <v>0.1913</v>
      </c>
      <c r="K1488" s="11">
        <v>67</v>
      </c>
      <c r="L1488" s="12">
        <f>-(F1488*G1488*$U$3)/J1488</f>
        <v>-11.521597661542399</v>
      </c>
      <c r="M1488" s="11">
        <f>ABS(L1488/$U$6)</f>
        <v>3.3590663736275214E-2</v>
      </c>
      <c r="N1488" s="12">
        <f>L1488*SIN(RADIANS(K1488))</f>
        <v>-10.605686566976066</v>
      </c>
      <c r="O1488" s="12">
        <f>L1488*COS(RADIANS(K1488))</f>
        <v>-4.501846856293839</v>
      </c>
      <c r="P1488" s="5">
        <v>2.110289405553567</v>
      </c>
      <c r="Q1488" s="5">
        <v>0.12770262839840529</v>
      </c>
      <c r="R1488" s="6">
        <f>P1488/Q1488</f>
        <v>16.525027182446934</v>
      </c>
    </row>
    <row r="1489" spans="1:18" x14ac:dyDescent="0.35">
      <c r="A1489" s="9">
        <v>1490</v>
      </c>
      <c r="B1489" s="5">
        <v>0.5</v>
      </c>
      <c r="C1489" s="5">
        <v>2000000</v>
      </c>
      <c r="D1489" s="5">
        <v>15</v>
      </c>
      <c r="E1489" s="5">
        <v>0.375</v>
      </c>
      <c r="F1489" s="5">
        <v>3.5000000000000003E-2</v>
      </c>
      <c r="G1489" s="12">
        <f>(C1489*$U$4)/($U$5*$U$3)</f>
        <v>29.387755102040813</v>
      </c>
      <c r="H1489" s="11">
        <f>G1489*COS(RADIANS(D1489))</f>
        <v>28.386391629719554</v>
      </c>
      <c r="I1489" s="11">
        <f>G1489*SIN(RADIANS(D1489))</f>
        <v>7.6061107132169354</v>
      </c>
      <c r="J1489" s="12">
        <v>0.24809999999999999</v>
      </c>
      <c r="K1489" s="12">
        <v>67</v>
      </c>
      <c r="L1489" s="12">
        <f>-(F1489*G1489*$U$3)/J1489</f>
        <v>-4.1457937467610986</v>
      </c>
      <c r="M1489" s="11">
        <f>ABS(L1489/$U$6)</f>
        <v>1.2086862235455098E-2</v>
      </c>
      <c r="N1489" s="12">
        <f>L1489*SIN(RADIANS(K1489))</f>
        <v>-3.8162232653063688</v>
      </c>
      <c r="O1489" s="12">
        <f>L1489*COS(RADIANS(K1489))</f>
        <v>-1.6198906691557382</v>
      </c>
      <c r="P1489" s="5">
        <v>3.3262663631670475</v>
      </c>
      <c r="Q1489" s="5">
        <v>0.47552696128270061</v>
      </c>
      <c r="R1489" s="6">
        <f>P1489/Q1489</f>
        <v>6.9949059338185107</v>
      </c>
    </row>
    <row r="1490" spans="1:18" x14ac:dyDescent="0.35">
      <c r="A1490" s="9">
        <v>1491</v>
      </c>
      <c r="B1490" s="5">
        <v>0.25</v>
      </c>
      <c r="C1490" s="5">
        <v>6000000</v>
      </c>
      <c r="D1490" s="5">
        <v>0</v>
      </c>
      <c r="E1490" s="5">
        <v>0.25</v>
      </c>
      <c r="F1490" s="5">
        <v>1.4999999999999999E-2</v>
      </c>
      <c r="G1490" s="12">
        <f>(C1490*$U$4)/($U$5*$U$3)</f>
        <v>88.16326530612244</v>
      </c>
      <c r="H1490" s="11">
        <f>G1490*COS(RADIANS(D1490))</f>
        <v>88.16326530612244</v>
      </c>
      <c r="I1490" s="11">
        <f>G1490*SIN(RADIANS(D1490))</f>
        <v>0</v>
      </c>
      <c r="J1490" s="12">
        <v>0.1913</v>
      </c>
      <c r="K1490" s="11">
        <v>67</v>
      </c>
      <c r="L1490" s="12">
        <f>-(F1490*G1490*$U$3)/J1490</f>
        <v>-6.9129585969254395</v>
      </c>
      <c r="M1490" s="11">
        <f>ABS(L1490/$U$6)</f>
        <v>2.0154398241765129E-2</v>
      </c>
      <c r="N1490" s="12">
        <f>L1490*SIN(RADIANS(K1490))</f>
        <v>-6.3634119401856397</v>
      </c>
      <c r="O1490" s="12">
        <f>L1490*COS(RADIANS(K1490))</f>
        <v>-2.7011081137763031</v>
      </c>
      <c r="P1490" s="5">
        <v>2.0241788872898647</v>
      </c>
      <c r="Q1490" s="5">
        <v>0.15632457958547666</v>
      </c>
      <c r="R1490" s="6">
        <f>P1490/Q1490</f>
        <v>12.948564407832389</v>
      </c>
    </row>
    <row r="1491" spans="1:18" x14ac:dyDescent="0.35">
      <c r="A1491" s="9">
        <v>541</v>
      </c>
      <c r="B1491" s="5">
        <v>1</v>
      </c>
      <c r="C1491" s="5">
        <v>6000000</v>
      </c>
      <c r="D1491" s="5">
        <v>10</v>
      </c>
      <c r="E1491" s="5">
        <v>0.375</v>
      </c>
      <c r="F1491" s="5">
        <v>0.15</v>
      </c>
      <c r="G1491" s="12">
        <f>(C1491*$U$4)/($U$5*$U$3)</f>
        <v>88.16326530612244</v>
      </c>
      <c r="H1491" s="11">
        <f>G1491*COS(RADIANS(D1491))</f>
        <v>86.823867204341596</v>
      </c>
      <c r="I1491" s="11">
        <f>G1491*SIN(RADIANS(D1491))</f>
        <v>15.309390357574264</v>
      </c>
      <c r="J1491" s="19">
        <v>0.33379999999999999</v>
      </c>
      <c r="K1491" s="20">
        <v>49</v>
      </c>
      <c r="L1491" s="12">
        <f>-(F1491*G1491*$U$3)/J1491</f>
        <v>-39.618004181900439</v>
      </c>
      <c r="M1491" s="11">
        <f>ABS(L1491/$U$6)</f>
        <v>0.11550438536997212</v>
      </c>
      <c r="N1491" s="12">
        <f>L1491*SIN(RADIANS(K1491))</f>
        <v>-29.900087305386105</v>
      </c>
      <c r="O1491" s="12">
        <f>L1491*COS(RADIANS(K1491))</f>
        <v>-25.99174935411946</v>
      </c>
      <c r="P1491" s="5">
        <v>8.5203214907629299</v>
      </c>
      <c r="Q1491" s="5">
        <v>-0.41061653502664425</v>
      </c>
      <c r="R1491" s="6">
        <f>P1491/Q1491</f>
        <v>-20.750069137401056</v>
      </c>
    </row>
    <row r="1492" spans="1:18" x14ac:dyDescent="0.35">
      <c r="A1492" s="9">
        <v>1493</v>
      </c>
      <c r="B1492" s="5">
        <v>0.75</v>
      </c>
      <c r="C1492" s="5">
        <v>4000000</v>
      </c>
      <c r="D1492" s="5">
        <v>0</v>
      </c>
      <c r="E1492" s="5">
        <v>0.25</v>
      </c>
      <c r="F1492" s="5">
        <v>0</v>
      </c>
      <c r="G1492" s="12">
        <f>(C1492*$U$4)/($U$5*$U$3)</f>
        <v>58.775510204081627</v>
      </c>
      <c r="H1492" s="11">
        <f>G1492*COS(RADIANS(D1492))</f>
        <v>58.775510204081627</v>
      </c>
      <c r="I1492" s="11">
        <f>G1492*SIN(RADIANS(D1492))</f>
        <v>0</v>
      </c>
      <c r="J1492" s="12">
        <v>0.28370000000000001</v>
      </c>
      <c r="K1492" s="11">
        <v>38</v>
      </c>
      <c r="L1492" s="12">
        <f>-(F1492*G1492*$U$3)/J1492</f>
        <v>0</v>
      </c>
      <c r="M1492" s="11">
        <f>ABS(L1492/$U$6)</f>
        <v>0</v>
      </c>
      <c r="N1492" s="12">
        <f>L1492*SIN(RADIANS(K1492))</f>
        <v>0</v>
      </c>
      <c r="O1492" s="12">
        <f>L1492*COS(RADIANS(K1492))</f>
        <v>0</v>
      </c>
      <c r="P1492" s="5">
        <v>6.0741396075019418</v>
      </c>
      <c r="Q1492" s="5">
        <v>0.49305405426644316</v>
      </c>
      <c r="R1492" s="6">
        <f>P1492/Q1492</f>
        <v>12.319419250165048</v>
      </c>
    </row>
    <row r="1493" spans="1:18" x14ac:dyDescent="0.35">
      <c r="A1493" s="9">
        <v>1494</v>
      </c>
      <c r="B1493" s="5">
        <v>0.25</v>
      </c>
      <c r="C1493" s="5">
        <v>2000000</v>
      </c>
      <c r="D1493" s="5">
        <v>30</v>
      </c>
      <c r="E1493" s="5">
        <v>0.125</v>
      </c>
      <c r="F1493" s="5">
        <v>2.5000000000000001E-2</v>
      </c>
      <c r="G1493" s="12">
        <f>(C1493*$U$4)/($U$5*$U$3)</f>
        <v>29.387755102040813</v>
      </c>
      <c r="H1493" s="11">
        <f>G1493*COS(RADIANS(D1493))</f>
        <v>25.450542478563094</v>
      </c>
      <c r="I1493" s="11">
        <f>G1493*SIN(RADIANS(D1493))</f>
        <v>14.693877551020405</v>
      </c>
      <c r="J1493" s="11">
        <v>0.19020000000000001</v>
      </c>
      <c r="K1493" s="12">
        <v>46</v>
      </c>
      <c r="L1493" s="12">
        <f>-(F1493*G1493*$U$3)/J1493</f>
        <v>-3.8627438357046282</v>
      </c>
      <c r="M1493" s="11">
        <f>ABS(L1493/$U$6)</f>
        <v>1.1261643835873551E-2</v>
      </c>
      <c r="N1493" s="12">
        <f>L1493*SIN(RADIANS(K1493))</f>
        <v>-2.7786253795351223</v>
      </c>
      <c r="O1493" s="12">
        <f>L1493*COS(RADIANS(K1493))</f>
        <v>-2.6832873384111138</v>
      </c>
      <c r="P1493" s="5">
        <v>2.1744808368328665</v>
      </c>
      <c r="Q1493" s="5">
        <v>0.92839253353700546</v>
      </c>
      <c r="R1493" s="6">
        <f>P1493/Q1493</f>
        <v>2.3421998328104738</v>
      </c>
    </row>
    <row r="1494" spans="1:18" x14ac:dyDescent="0.35">
      <c r="A1494" s="9">
        <v>1495</v>
      </c>
      <c r="B1494" s="5">
        <v>0.1</v>
      </c>
      <c r="C1494" s="5">
        <v>2000000</v>
      </c>
      <c r="D1494" s="5">
        <v>30</v>
      </c>
      <c r="E1494" s="5">
        <v>0</v>
      </c>
      <c r="F1494" s="5">
        <v>7.4999999999999997E-2</v>
      </c>
      <c r="G1494" s="12">
        <f>(C1494*$U$4)/($U$5*$U$3)</f>
        <v>29.387755102040813</v>
      </c>
      <c r="H1494" s="11">
        <f>G1494*COS(RADIANS(D1494))</f>
        <v>25.450542478563094</v>
      </c>
      <c r="I1494" s="11">
        <f>G1494*SIN(RADIANS(D1494))</f>
        <v>14.693877551020405</v>
      </c>
      <c r="J1494" s="11">
        <v>0.16569999999999999</v>
      </c>
      <c r="K1494" s="12">
        <v>0</v>
      </c>
      <c r="L1494" s="12">
        <f>-(F1494*G1494*$U$3)/J1494</f>
        <v>-13.301639303880876</v>
      </c>
      <c r="M1494" s="11">
        <f>ABS(L1494/$U$6)</f>
        <v>3.8780289515687683E-2</v>
      </c>
      <c r="N1494" s="12">
        <f>L1494*SIN(RADIANS(K1494))</f>
        <v>0</v>
      </c>
      <c r="O1494" s="12">
        <f>L1494*COS(RADIANS(K1494))</f>
        <v>-13.301639303880876</v>
      </c>
      <c r="P1494" s="5">
        <v>1.7419076594636673</v>
      </c>
      <c r="Q1494" s="5">
        <v>1.014328906085346</v>
      </c>
      <c r="R1494" s="6">
        <f>P1494/Q1494</f>
        <v>1.7173006201571295</v>
      </c>
    </row>
    <row r="1495" spans="1:18" x14ac:dyDescent="0.35">
      <c r="A1495" s="9">
        <v>1496</v>
      </c>
      <c r="B1495" s="5">
        <v>0.25</v>
      </c>
      <c r="C1495" s="5">
        <v>6000000</v>
      </c>
      <c r="D1495" s="5">
        <v>30</v>
      </c>
      <c r="E1495" s="5">
        <v>0.25</v>
      </c>
      <c r="F1495" s="5">
        <v>2.5000000000000001E-2</v>
      </c>
      <c r="G1495" s="12">
        <f>(C1495*$U$4)/($U$5*$U$3)</f>
        <v>88.16326530612244</v>
      </c>
      <c r="H1495" s="11">
        <f>G1495*COS(RADIANS(D1495))</f>
        <v>76.351627435689281</v>
      </c>
      <c r="I1495" s="11">
        <f>G1495*SIN(RADIANS(D1495))</f>
        <v>44.081632653061213</v>
      </c>
      <c r="J1495" s="12">
        <v>0.1913</v>
      </c>
      <c r="K1495" s="11">
        <v>67</v>
      </c>
      <c r="L1495" s="12">
        <f>-(F1495*G1495*$U$3)/J1495</f>
        <v>-11.521597661542399</v>
      </c>
      <c r="M1495" s="11">
        <f>ABS(L1495/$U$6)</f>
        <v>3.3590663736275214E-2</v>
      </c>
      <c r="N1495" s="12">
        <f>L1495*SIN(RADIANS(K1495))</f>
        <v>-10.605686566976066</v>
      </c>
      <c r="O1495" s="12">
        <f>L1495*COS(RADIANS(K1495))</f>
        <v>-4.501846856293839</v>
      </c>
      <c r="P1495" s="5">
        <v>2.1250225088804853</v>
      </c>
      <c r="Q1495" s="5">
        <v>0.90771387020527361</v>
      </c>
      <c r="R1495" s="6">
        <f>P1495/Q1495</f>
        <v>2.341070879967853</v>
      </c>
    </row>
    <row r="1496" spans="1:18" x14ac:dyDescent="0.35">
      <c r="A1496" s="9">
        <v>1497</v>
      </c>
      <c r="B1496" s="5">
        <v>0.75</v>
      </c>
      <c r="C1496" s="5">
        <v>2000000</v>
      </c>
      <c r="D1496" s="5">
        <v>5</v>
      </c>
      <c r="E1496" s="5">
        <v>0.375</v>
      </c>
      <c r="F1496" s="5">
        <v>7.4999999999999997E-2</v>
      </c>
      <c r="G1496" s="12">
        <f>(C1496*$U$4)/($U$5*$U$3)</f>
        <v>29.387755102040813</v>
      </c>
      <c r="H1496" s="11">
        <f>G1496*COS(RADIANS(D1496))</f>
        <v>29.275925821471702</v>
      </c>
      <c r="I1496" s="11">
        <f>G1496*SIN(RADIANS(D1496))</f>
        <v>2.5613116236046478</v>
      </c>
      <c r="J1496" s="11">
        <v>0.29299999999999998</v>
      </c>
      <c r="K1496" s="12">
        <v>57</v>
      </c>
      <c r="L1496" s="12">
        <f>-(F1496*G1496*$U$3)/J1496</f>
        <v>-7.5224629100787066</v>
      </c>
      <c r="M1496" s="11">
        <f>ABS(L1496/$U$6)</f>
        <v>2.1931378746585149E-2</v>
      </c>
      <c r="N1496" s="12">
        <f>L1496*SIN(RADIANS(K1496))</f>
        <v>-6.3088682411440962</v>
      </c>
      <c r="O1496" s="12">
        <f>L1496*COS(RADIANS(K1496))</f>
        <v>-4.0970269402815989</v>
      </c>
      <c r="P1496" s="5">
        <v>4.9129224144754371</v>
      </c>
      <c r="Q1496" s="5">
        <v>-0.34606983071008568</v>
      </c>
      <c r="R1496" s="6">
        <f>P1496/Q1496</f>
        <v>-14.196332585232364</v>
      </c>
    </row>
    <row r="1497" spans="1:18" x14ac:dyDescent="0.35">
      <c r="A1497" s="9">
        <v>1498</v>
      </c>
      <c r="B1497" s="5">
        <v>0.75</v>
      </c>
      <c r="C1497" s="5">
        <v>4000000</v>
      </c>
      <c r="D1497" s="5">
        <v>0</v>
      </c>
      <c r="E1497" s="5">
        <v>0</v>
      </c>
      <c r="F1497" s="5">
        <v>1.4999999999999999E-2</v>
      </c>
      <c r="G1497" s="12">
        <f>(C1497*$U$4)/($U$5*$U$3)</f>
        <v>58.775510204081627</v>
      </c>
      <c r="H1497" s="11">
        <f>G1497*COS(RADIANS(D1497))</f>
        <v>58.775510204081627</v>
      </c>
      <c r="I1497" s="11">
        <f>G1497*SIN(RADIANS(D1497))</f>
        <v>0</v>
      </c>
      <c r="J1497" s="11">
        <v>0.27929999999999999</v>
      </c>
      <c r="K1497" s="12">
        <v>0</v>
      </c>
      <c r="L1497" s="12">
        <f>-(F1497*G1497*$U$3)/J1497</f>
        <v>-3.1565794953856945</v>
      </c>
      <c r="M1497" s="11">
        <f>ABS(L1497/$U$6)</f>
        <v>9.2028556716784102E-3</v>
      </c>
      <c r="N1497" s="12">
        <f>L1497*SIN(RADIANS(K1497))</f>
        <v>0</v>
      </c>
      <c r="O1497" s="12">
        <f>L1497*COS(RADIANS(K1497))</f>
        <v>-3.1565794953856945</v>
      </c>
      <c r="P1497" s="5">
        <v>2.6650638666163187</v>
      </c>
      <c r="Q1497" s="5">
        <v>0.99020150861413292</v>
      </c>
      <c r="R1497" s="6">
        <f>P1497/Q1497</f>
        <v>2.6914358778813527</v>
      </c>
    </row>
    <row r="1498" spans="1:18" x14ac:dyDescent="0.35">
      <c r="A1498" s="9">
        <v>648</v>
      </c>
      <c r="B1498" s="5">
        <v>1</v>
      </c>
      <c r="C1498" s="5">
        <v>6000000</v>
      </c>
      <c r="D1498" s="5">
        <v>20</v>
      </c>
      <c r="E1498" s="5">
        <v>0.25</v>
      </c>
      <c r="F1498" s="5">
        <v>0.15</v>
      </c>
      <c r="G1498" s="12">
        <f>(C1498*$U$4)/($U$5*$U$3)</f>
        <v>88.16326530612244</v>
      </c>
      <c r="H1498" s="11">
        <f>G1498*COS(RADIANS(D1498))</f>
        <v>82.846369832553549</v>
      </c>
      <c r="I1498" s="11">
        <f>G1498*SIN(RADIANS(D1498))</f>
        <v>30.153612636058952</v>
      </c>
      <c r="J1498" s="21">
        <v>0.33379999999999999</v>
      </c>
      <c r="K1498" s="12">
        <v>30</v>
      </c>
      <c r="L1498" s="12">
        <f>-(F1498*G1498*$U$3)/J1498</f>
        <v>-39.618004181900439</v>
      </c>
      <c r="M1498" s="11">
        <f>ABS(L1498/$U$6)</f>
        <v>0.11550438536997212</v>
      </c>
      <c r="N1498" s="12">
        <f>L1498*SIN(RADIANS(K1498))</f>
        <v>-19.809002090950216</v>
      </c>
      <c r="O1498" s="12">
        <f>L1498*COS(RADIANS(K1498))</f>
        <v>-34.31019806876391</v>
      </c>
      <c r="P1498" s="5">
        <v>5.4575292537261282</v>
      </c>
      <c r="Q1498" s="5">
        <v>0.5912651102981259</v>
      </c>
      <c r="R1498" s="6">
        <f>P1498/Q1498</f>
        <v>9.2302575590403926</v>
      </c>
    </row>
    <row r="1499" spans="1:18" x14ac:dyDescent="0.35">
      <c r="A1499" s="9">
        <v>1500</v>
      </c>
      <c r="B1499" s="5">
        <v>0.1</v>
      </c>
      <c r="C1499" s="5">
        <v>2000000</v>
      </c>
      <c r="D1499" s="5">
        <v>20</v>
      </c>
      <c r="E1499" s="5">
        <v>0.375</v>
      </c>
      <c r="F1499" s="5">
        <v>3.5000000000000003E-2</v>
      </c>
      <c r="G1499" s="12">
        <f>(C1499*$U$4)/($U$5*$U$3)</f>
        <v>29.387755102040813</v>
      </c>
      <c r="H1499" s="11">
        <f>G1499*COS(RADIANS(D1499))</f>
        <v>27.615456610851183</v>
      </c>
      <c r="I1499" s="11">
        <f>G1499*SIN(RADIANS(D1499))</f>
        <v>10.051204212019652</v>
      </c>
      <c r="J1499" s="12">
        <v>0.16789999999999999</v>
      </c>
      <c r="K1499" s="11">
        <v>85</v>
      </c>
      <c r="L1499" s="12">
        <f>-(F1499*G1499*$U$3)/J1499</f>
        <v>-6.126095464987662</v>
      </c>
      <c r="M1499" s="11">
        <f>ABS(L1499/$U$6)</f>
        <v>1.7860336632617092E-2</v>
      </c>
      <c r="N1499" s="12">
        <f>L1499*SIN(RADIANS(K1499))</f>
        <v>-6.1027838222245956</v>
      </c>
      <c r="O1499" s="12">
        <f>L1499*COS(RADIANS(K1499))</f>
        <v>-0.53392440039405986</v>
      </c>
      <c r="P1499" s="5">
        <v>1.7585062651648793</v>
      </c>
      <c r="Q1499" s="5">
        <v>0.84139782443688749</v>
      </c>
      <c r="R1499" s="6">
        <f>P1499/Q1499</f>
        <v>2.0899819491948106</v>
      </c>
    </row>
    <row r="1500" spans="1:18" x14ac:dyDescent="0.35">
      <c r="A1500" s="9">
        <v>728</v>
      </c>
      <c r="B1500" s="5">
        <v>1</v>
      </c>
      <c r="C1500" s="5">
        <v>6000000</v>
      </c>
      <c r="D1500" s="5">
        <v>0</v>
      </c>
      <c r="E1500" s="5">
        <v>0.25</v>
      </c>
      <c r="F1500" s="5">
        <v>0.15</v>
      </c>
      <c r="G1500" s="12">
        <f>(C1500*$U$4)/($U$5*$U$3)</f>
        <v>88.16326530612244</v>
      </c>
      <c r="H1500" s="11">
        <f>G1500*COS(RADIANS(D1500))</f>
        <v>88.16326530612244</v>
      </c>
      <c r="I1500" s="11">
        <f>G1500*SIN(RADIANS(D1500))</f>
        <v>0</v>
      </c>
      <c r="J1500" s="21">
        <v>0.33379999999999999</v>
      </c>
      <c r="K1500" s="12">
        <v>30</v>
      </c>
      <c r="L1500" s="12">
        <f>-(F1500*G1500*$U$3)/J1500</f>
        <v>-39.618004181900439</v>
      </c>
      <c r="M1500" s="11">
        <f>ABS(L1500/$U$6)</f>
        <v>0.11550438536997212</v>
      </c>
      <c r="N1500" s="12">
        <f>L1500*SIN(RADIANS(K1500))</f>
        <v>-19.809002090950216</v>
      </c>
      <c r="O1500" s="12">
        <f>L1500*COS(RADIANS(K1500))</f>
        <v>-34.31019806876391</v>
      </c>
      <c r="P1500" s="5">
        <v>5.014467008293332</v>
      </c>
      <c r="Q1500" s="5">
        <v>-0.5577557105922637</v>
      </c>
      <c r="R1500" s="6">
        <f>P1500/Q1500</f>
        <v>-8.9904359795234061</v>
      </c>
    </row>
    <row r="1501" spans="1:18" x14ac:dyDescent="0.35">
      <c r="A1501" s="9">
        <v>1502</v>
      </c>
      <c r="B1501" s="5">
        <v>0.25</v>
      </c>
      <c r="C1501" s="5">
        <v>6000000</v>
      </c>
      <c r="D1501" s="5">
        <v>0</v>
      </c>
      <c r="E1501" s="5">
        <v>0.125</v>
      </c>
      <c r="F1501" s="5">
        <v>0</v>
      </c>
      <c r="G1501" s="12">
        <f>(C1501*$U$4)/($U$5*$U$3)</f>
        <v>88.16326530612244</v>
      </c>
      <c r="H1501" s="11">
        <f>G1501*COS(RADIANS(D1501))</f>
        <v>88.16326530612244</v>
      </c>
      <c r="I1501" s="11">
        <f>G1501*SIN(RADIANS(D1501))</f>
        <v>0</v>
      </c>
      <c r="J1501" s="11">
        <v>0.19020000000000001</v>
      </c>
      <c r="K1501" s="12">
        <v>46</v>
      </c>
      <c r="L1501" s="12">
        <f>-(F1501*G1501*$U$3)/J1501</f>
        <v>0</v>
      </c>
      <c r="M1501" s="11">
        <f>ABS(L1501/$U$6)</f>
        <v>0</v>
      </c>
      <c r="N1501" s="12">
        <f>L1501*SIN(RADIANS(K1501))</f>
        <v>0</v>
      </c>
      <c r="O1501" s="12">
        <f>L1501*COS(RADIANS(K1501))</f>
        <v>0</v>
      </c>
      <c r="P1501" s="5">
        <v>2.2888705242964393</v>
      </c>
      <c r="Q1501" s="5">
        <v>0.26629025270522538</v>
      </c>
      <c r="R1501" s="6">
        <f>P1501/Q1501</f>
        <v>8.5953973194435491</v>
      </c>
    </row>
    <row r="1502" spans="1:18" x14ac:dyDescent="0.35">
      <c r="A1502" s="9">
        <v>1503</v>
      </c>
      <c r="B1502" s="5">
        <v>0.25</v>
      </c>
      <c r="C1502" s="5">
        <v>2000000</v>
      </c>
      <c r="D1502" s="5">
        <v>30</v>
      </c>
      <c r="E1502" s="5">
        <v>0</v>
      </c>
      <c r="F1502" s="5">
        <v>0.15</v>
      </c>
      <c r="G1502" s="12">
        <f>(C1502*$U$4)/($U$5*$U$3)</f>
        <v>29.387755102040813</v>
      </c>
      <c r="H1502" s="11">
        <f>G1502*COS(RADIANS(D1502))</f>
        <v>25.450542478563094</v>
      </c>
      <c r="I1502" s="11">
        <f>G1502*SIN(RADIANS(D1502))</f>
        <v>14.693877551020405</v>
      </c>
      <c r="J1502" s="12">
        <v>0.18990000000000001</v>
      </c>
      <c r="K1502" s="12">
        <v>0</v>
      </c>
      <c r="L1502" s="12">
        <f>-(F1502*G1502*$U$3)/J1502</f>
        <v>-23.213076699874257</v>
      </c>
      <c r="M1502" s="11">
        <f>ABS(L1502/$U$6)</f>
        <v>6.7676608454443898E-2</v>
      </c>
      <c r="N1502" s="12">
        <f>L1502*SIN(RADIANS(K1502))</f>
        <v>0</v>
      </c>
      <c r="O1502" s="12">
        <f>L1502*COS(RADIANS(K1502))</f>
        <v>-23.213076699874257</v>
      </c>
      <c r="P1502" s="5">
        <v>2.6271483945513738</v>
      </c>
      <c r="Q1502" s="5">
        <v>0.8148108169699585</v>
      </c>
      <c r="R1502" s="6">
        <f>P1502/Q1502</f>
        <v>3.2242433947072096</v>
      </c>
    </row>
    <row r="1503" spans="1:18" x14ac:dyDescent="0.35">
      <c r="A1503" s="9">
        <v>1504</v>
      </c>
      <c r="B1503" s="5">
        <v>0.5</v>
      </c>
      <c r="C1503" s="5">
        <v>6000000</v>
      </c>
      <c r="D1503" s="5">
        <v>30</v>
      </c>
      <c r="E1503" s="5">
        <v>0.375</v>
      </c>
      <c r="F1503" s="5">
        <v>2.5000000000000001E-2</v>
      </c>
      <c r="G1503" s="12">
        <f>(C1503*$U$4)/($U$5*$U$3)</f>
        <v>88.16326530612244</v>
      </c>
      <c r="H1503" s="11">
        <f>G1503*COS(RADIANS(D1503))</f>
        <v>76.351627435689281</v>
      </c>
      <c r="I1503" s="11">
        <f>G1503*SIN(RADIANS(D1503))</f>
        <v>44.081632653061213</v>
      </c>
      <c r="J1503" s="12">
        <v>0.24809999999999999</v>
      </c>
      <c r="K1503" s="12">
        <v>67</v>
      </c>
      <c r="L1503" s="12">
        <f>-(F1503*G1503*$U$3)/J1503</f>
        <v>-8.8838437430594972</v>
      </c>
      <c r="M1503" s="11">
        <f>ABS(L1503/$U$6)</f>
        <v>2.590041907597521E-2</v>
      </c>
      <c r="N1503" s="12">
        <f>L1503*SIN(RADIANS(K1503))</f>
        <v>-8.1776212827993611</v>
      </c>
      <c r="O1503" s="12">
        <f>L1503*COS(RADIANS(K1503))</f>
        <v>-3.4711942910480107</v>
      </c>
      <c r="P1503" s="5">
        <v>3.3787847417311201</v>
      </c>
      <c r="Q1503" s="5">
        <v>1.1138588460931018</v>
      </c>
      <c r="R1503" s="6">
        <f>P1503/Q1503</f>
        <v>3.0334047743862014</v>
      </c>
    </row>
    <row r="1504" spans="1:18" x14ac:dyDescent="0.35">
      <c r="A1504" s="9">
        <v>1505</v>
      </c>
      <c r="B1504" s="5">
        <v>0.5</v>
      </c>
      <c r="C1504" s="5">
        <v>6000000</v>
      </c>
      <c r="D1504" s="5">
        <v>5</v>
      </c>
      <c r="E1504" s="5">
        <v>0.25</v>
      </c>
      <c r="F1504" s="5">
        <v>2.5000000000000001E-2</v>
      </c>
      <c r="G1504" s="12">
        <f>(C1504*$U$4)/($U$5*$U$3)</f>
        <v>88.16326530612244</v>
      </c>
      <c r="H1504" s="11">
        <f>G1504*COS(RADIANS(D1504))</f>
        <v>87.827777464415107</v>
      </c>
      <c r="I1504" s="11">
        <f>G1504*SIN(RADIANS(D1504))</f>
        <v>7.6839348708139434</v>
      </c>
      <c r="J1504" s="11">
        <v>0.23580000000000001</v>
      </c>
      <c r="K1504" s="11">
        <v>49</v>
      </c>
      <c r="L1504" s="12">
        <f>-(F1504*G1504*$U$3)/J1504</f>
        <v>-9.347250350521886</v>
      </c>
      <c r="M1504" s="11">
        <f>ABS(L1504/$U$6)</f>
        <v>2.7251458747877218E-2</v>
      </c>
      <c r="N1504" s="12">
        <f>L1504*SIN(RADIANS(K1504))</f>
        <v>-7.0544593882795308</v>
      </c>
      <c r="O1504" s="12">
        <f>L1504*COS(RADIANS(K1504))</f>
        <v>-6.1323479886945673</v>
      </c>
      <c r="P1504" s="5">
        <v>3.7449053064345819</v>
      </c>
      <c r="Q1504" s="5">
        <v>0.15447276033819846</v>
      </c>
      <c r="R1504" s="6">
        <f>P1504/Q1504</f>
        <v>24.243143569361926</v>
      </c>
    </row>
    <row r="1505" spans="1:18" x14ac:dyDescent="0.35">
      <c r="A1505" s="9">
        <v>1506</v>
      </c>
      <c r="B1505" s="5">
        <v>1</v>
      </c>
      <c r="C1505" s="5">
        <v>4000000</v>
      </c>
      <c r="D1505" s="5">
        <v>15</v>
      </c>
      <c r="E1505" s="5">
        <v>0.375</v>
      </c>
      <c r="F1505" s="5">
        <v>0.05</v>
      </c>
      <c r="G1505" s="12">
        <f>(C1505*$U$4)/($U$5*$U$3)</f>
        <v>58.775510204081627</v>
      </c>
      <c r="H1505" s="11">
        <f>G1505*COS(RADIANS(D1505))</f>
        <v>56.772783259439109</v>
      </c>
      <c r="I1505" s="11">
        <f>G1505*SIN(RADIANS(D1505))</f>
        <v>15.212221426433871</v>
      </c>
      <c r="J1505" s="12">
        <v>0.33379999999999999</v>
      </c>
      <c r="K1505" s="11">
        <v>49</v>
      </c>
      <c r="L1505" s="12">
        <f>-(F1505*G1505*$U$3)/J1505</f>
        <v>-8.8040009293112096</v>
      </c>
      <c r="M1505" s="11">
        <f>ABS(L1505/$U$6)</f>
        <v>2.566764119332714E-2</v>
      </c>
      <c r="N1505" s="12">
        <f>L1505*SIN(RADIANS(K1505))</f>
        <v>-6.6444638456413578</v>
      </c>
      <c r="O1505" s="12">
        <f>L1505*COS(RADIANS(K1505))</f>
        <v>-5.7759443009154356</v>
      </c>
      <c r="P1505" s="5">
        <v>5.2840533859647989</v>
      </c>
      <c r="Q1505" s="5">
        <v>0.41265113045393575</v>
      </c>
      <c r="R1505" s="6">
        <f>P1505/Q1505</f>
        <v>12.80513488513188</v>
      </c>
    </row>
    <row r="1506" spans="1:18" x14ac:dyDescent="0.35">
      <c r="A1506" s="9">
        <v>1507</v>
      </c>
      <c r="B1506" s="5">
        <v>0.25</v>
      </c>
      <c r="C1506" s="5">
        <v>2000000</v>
      </c>
      <c r="D1506" s="5">
        <v>5</v>
      </c>
      <c r="E1506" s="5">
        <v>0.375</v>
      </c>
      <c r="F1506" s="5">
        <v>0</v>
      </c>
      <c r="G1506" s="12">
        <f>(C1506*$U$4)/($U$5*$U$3)</f>
        <v>29.387755102040813</v>
      </c>
      <c r="H1506" s="11">
        <f>G1506*COS(RADIANS(D1506))</f>
        <v>29.275925821471702</v>
      </c>
      <c r="I1506" s="11">
        <f>G1506*SIN(RADIANS(D1506))</f>
        <v>2.5613116236046478</v>
      </c>
      <c r="J1506" s="11">
        <v>0.1976</v>
      </c>
      <c r="K1506" s="12">
        <v>78</v>
      </c>
      <c r="L1506" s="12">
        <f>-(F1506*G1506*$U$3)/J1506</f>
        <v>0</v>
      </c>
      <c r="M1506" s="11">
        <f>ABS(L1506/$U$6)</f>
        <v>0</v>
      </c>
      <c r="N1506" s="12">
        <f>L1506*SIN(RADIANS(K1506))</f>
        <v>0</v>
      </c>
      <c r="O1506" s="12">
        <f>L1506*COS(RADIANS(K1506))</f>
        <v>0</v>
      </c>
      <c r="P1506" s="5">
        <v>2.7577877454966284</v>
      </c>
      <c r="Q1506" s="5">
        <v>0.47355557095879069</v>
      </c>
      <c r="R1506" s="6">
        <f>P1506/Q1506</f>
        <v>5.8235778747424218</v>
      </c>
    </row>
    <row r="1507" spans="1:18" x14ac:dyDescent="0.35">
      <c r="A1507" s="9">
        <v>1508</v>
      </c>
      <c r="B1507" s="5">
        <v>0.5</v>
      </c>
      <c r="C1507" s="5">
        <v>2000000</v>
      </c>
      <c r="D1507" s="5">
        <v>0</v>
      </c>
      <c r="E1507" s="5">
        <v>0.375</v>
      </c>
      <c r="F1507" s="5">
        <v>2.5000000000000001E-2</v>
      </c>
      <c r="G1507" s="12">
        <f>(C1507*$U$4)/($U$5*$U$3)</f>
        <v>29.387755102040813</v>
      </c>
      <c r="H1507" s="11">
        <f>G1507*COS(RADIANS(D1507))</f>
        <v>29.387755102040813</v>
      </c>
      <c r="I1507" s="11">
        <f>G1507*SIN(RADIANS(D1507))</f>
        <v>0</v>
      </c>
      <c r="J1507" s="12">
        <v>0.24809999999999999</v>
      </c>
      <c r="K1507" s="12">
        <v>67</v>
      </c>
      <c r="L1507" s="12">
        <f>-(F1507*G1507*$U$3)/J1507</f>
        <v>-2.9612812476864989</v>
      </c>
      <c r="M1507" s="11">
        <f>ABS(L1507/$U$6)</f>
        <v>8.6334730253250693E-3</v>
      </c>
      <c r="N1507" s="12">
        <f>L1507*SIN(RADIANS(K1507))</f>
        <v>-2.7258737609331205</v>
      </c>
      <c r="O1507" s="12">
        <f>L1507*COS(RADIANS(K1507))</f>
        <v>-1.1570647636826701</v>
      </c>
      <c r="P1507" s="5">
        <v>2.8547529522776576</v>
      </c>
      <c r="Q1507" s="5">
        <v>-8.4008702195354223E-2</v>
      </c>
      <c r="R1507" s="6">
        <f>P1507/Q1507</f>
        <v>-33.981633779310172</v>
      </c>
    </row>
    <row r="1508" spans="1:18" x14ac:dyDescent="0.35">
      <c r="A1508" s="9">
        <v>1509</v>
      </c>
      <c r="B1508" s="5">
        <v>0.1</v>
      </c>
      <c r="C1508" s="5">
        <v>2000000</v>
      </c>
      <c r="D1508" s="5">
        <v>10</v>
      </c>
      <c r="E1508" s="5">
        <v>0.375</v>
      </c>
      <c r="F1508" s="5">
        <v>1.4999999999999999E-2</v>
      </c>
      <c r="G1508" s="12">
        <f>(C1508*$U$4)/($U$5*$U$3)</f>
        <v>29.387755102040813</v>
      </c>
      <c r="H1508" s="11">
        <f>G1508*COS(RADIANS(D1508))</f>
        <v>28.941289068113864</v>
      </c>
      <c r="I1508" s="11">
        <f>G1508*SIN(RADIANS(D1508))</f>
        <v>5.1031301191914213</v>
      </c>
      <c r="J1508" s="12">
        <v>0.16789999999999999</v>
      </c>
      <c r="K1508" s="11">
        <v>85</v>
      </c>
      <c r="L1508" s="12">
        <f>-(F1508*G1508*$U$3)/J1508</f>
        <v>-2.6254694849947122</v>
      </c>
      <c r="M1508" s="11">
        <f>ABS(L1508/$U$6)</f>
        <v>7.6544299854073242E-3</v>
      </c>
      <c r="N1508" s="12">
        <f>L1508*SIN(RADIANS(K1508))</f>
        <v>-2.6154787809533979</v>
      </c>
      <c r="O1508" s="12">
        <f>L1508*COS(RADIANS(K1508))</f>
        <v>-0.22882474302602562</v>
      </c>
      <c r="P1508" s="5">
        <v>1.7285737998656632</v>
      </c>
      <c r="Q1508" s="5">
        <v>0.50723976388561798</v>
      </c>
      <c r="R1508" s="6">
        <f>P1508/Q1508</f>
        <v>3.407804204118853</v>
      </c>
    </row>
    <row r="1509" spans="1:18" x14ac:dyDescent="0.35">
      <c r="A1509" s="9">
        <v>1510</v>
      </c>
      <c r="B1509" s="5">
        <v>1</v>
      </c>
      <c r="C1509" s="5">
        <v>6000000</v>
      </c>
      <c r="D1509" s="5">
        <v>0</v>
      </c>
      <c r="E1509" s="5">
        <v>0</v>
      </c>
      <c r="F1509" s="5">
        <v>0.1</v>
      </c>
      <c r="G1509" s="12">
        <f>(C1509*$U$4)/($U$5*$U$3)</f>
        <v>88.16326530612244</v>
      </c>
      <c r="H1509" s="11">
        <f>G1509*COS(RADIANS(D1509))</f>
        <v>88.16326530612244</v>
      </c>
      <c r="I1509" s="11">
        <f>G1509*SIN(RADIANS(D1509))</f>
        <v>0</v>
      </c>
      <c r="J1509" s="11">
        <v>0.33379999999999999</v>
      </c>
      <c r="K1509" s="12">
        <v>0</v>
      </c>
      <c r="L1509" s="12">
        <f>-(F1509*G1509*$U$3)/J1509</f>
        <v>-26.412002787933627</v>
      </c>
      <c r="M1509" s="11">
        <f>ABS(L1509/$U$6)</f>
        <v>7.7002923579981425E-2</v>
      </c>
      <c r="N1509" s="12">
        <f>L1509*SIN(RADIANS(K1509))</f>
        <v>0</v>
      </c>
      <c r="O1509" s="12">
        <f>L1509*COS(RADIANS(K1509))</f>
        <v>-26.412002787933627</v>
      </c>
      <c r="P1509" s="5">
        <v>3.8320202659101752</v>
      </c>
      <c r="Q1509" s="5">
        <v>1.103889754918745</v>
      </c>
      <c r="R1509" s="6">
        <f>P1509/Q1509</f>
        <v>3.4713795003852015</v>
      </c>
    </row>
    <row r="1510" spans="1:18" x14ac:dyDescent="0.35">
      <c r="A1510" s="9">
        <v>851</v>
      </c>
      <c r="B1510" s="5">
        <v>1</v>
      </c>
      <c r="C1510" s="5">
        <v>6000000</v>
      </c>
      <c r="D1510" s="5">
        <v>30</v>
      </c>
      <c r="E1510" s="5">
        <v>0</v>
      </c>
      <c r="F1510" s="5">
        <v>0.15</v>
      </c>
      <c r="G1510" s="12">
        <f>(C1510*$U$4)/($U$5*$U$3)</f>
        <v>88.16326530612244</v>
      </c>
      <c r="H1510" s="11">
        <f>G1510*COS(RADIANS(D1510))</f>
        <v>76.351627435689281</v>
      </c>
      <c r="I1510" s="11">
        <f>G1510*SIN(RADIANS(D1510))</f>
        <v>44.081632653061213</v>
      </c>
      <c r="J1510" s="20">
        <v>0.33379999999999999</v>
      </c>
      <c r="K1510" s="12">
        <v>0</v>
      </c>
      <c r="L1510" s="12">
        <f>-(F1510*G1510*$U$3)/J1510</f>
        <v>-39.618004181900439</v>
      </c>
      <c r="M1510" s="11">
        <f>ABS(L1510/$U$6)</f>
        <v>0.11550438536997212</v>
      </c>
      <c r="N1510" s="12">
        <f>L1510*SIN(RADIANS(K1510))</f>
        <v>0</v>
      </c>
      <c r="O1510" s="12">
        <f>L1510*COS(RADIANS(K1510))</f>
        <v>-39.618004181900439</v>
      </c>
      <c r="P1510" s="5">
        <v>1.9071124794626</v>
      </c>
      <c r="Q1510" s="5">
        <v>1.343374247356562</v>
      </c>
      <c r="R1510" s="6">
        <f>P1510/Q1510</f>
        <v>1.4196434710694652</v>
      </c>
    </row>
    <row r="1511" spans="1:18" x14ac:dyDescent="0.35">
      <c r="A1511" s="9">
        <v>1512</v>
      </c>
      <c r="B1511" s="5">
        <v>0.5</v>
      </c>
      <c r="C1511" s="5">
        <v>6000000</v>
      </c>
      <c r="D1511" s="5">
        <v>5</v>
      </c>
      <c r="E1511" s="5">
        <v>0.25</v>
      </c>
      <c r="F1511" s="5">
        <v>0.05</v>
      </c>
      <c r="G1511" s="12">
        <f>(C1511*$U$4)/($U$5*$U$3)</f>
        <v>88.16326530612244</v>
      </c>
      <c r="H1511" s="11">
        <f>G1511*COS(RADIANS(D1511))</f>
        <v>87.827777464415107</v>
      </c>
      <c r="I1511" s="11">
        <f>G1511*SIN(RADIANS(D1511))</f>
        <v>7.6839348708139434</v>
      </c>
      <c r="J1511" s="11">
        <v>0.23580000000000001</v>
      </c>
      <c r="K1511" s="11">
        <v>49</v>
      </c>
      <c r="L1511" s="12">
        <f>-(F1511*G1511*$U$3)/J1511</f>
        <v>-18.694500701043772</v>
      </c>
      <c r="M1511" s="11">
        <f>ABS(L1511/$U$6)</f>
        <v>5.4502917495754435E-2</v>
      </c>
      <c r="N1511" s="12">
        <f>L1511*SIN(RADIANS(K1511))</f>
        <v>-14.108918776559062</v>
      </c>
      <c r="O1511" s="12">
        <f>L1511*COS(RADIANS(K1511))</f>
        <v>-12.264695977389135</v>
      </c>
      <c r="P1511" s="5">
        <v>3.0882717534620028</v>
      </c>
      <c r="Q1511" s="5">
        <v>0.17412696858717661</v>
      </c>
      <c r="R1511" s="6">
        <f>P1511/Q1511</f>
        <v>17.735746383914453</v>
      </c>
    </row>
    <row r="1512" spans="1:18" x14ac:dyDescent="0.35">
      <c r="A1512" s="9">
        <v>1513</v>
      </c>
      <c r="B1512" s="5">
        <v>1</v>
      </c>
      <c r="C1512" s="5">
        <v>2000000</v>
      </c>
      <c r="D1512" s="5">
        <v>5</v>
      </c>
      <c r="E1512" s="5">
        <v>0.25</v>
      </c>
      <c r="F1512" s="5">
        <v>2.5000000000000001E-2</v>
      </c>
      <c r="G1512" s="12">
        <f>(C1512*$U$4)/($U$5*$U$3)</f>
        <v>29.387755102040813</v>
      </c>
      <c r="H1512" s="11">
        <f>G1512*COS(RADIANS(D1512))</f>
        <v>29.275925821471702</v>
      </c>
      <c r="I1512" s="11">
        <f>G1512*SIN(RADIANS(D1512))</f>
        <v>2.5613116236046478</v>
      </c>
      <c r="J1512" s="13">
        <v>0.33379999999999999</v>
      </c>
      <c r="K1512" s="12">
        <v>30</v>
      </c>
      <c r="L1512" s="12">
        <f>-(F1512*G1512*$U$3)/J1512</f>
        <v>-2.2010002323278024</v>
      </c>
      <c r="M1512" s="11">
        <f>ABS(L1512/$U$6)</f>
        <v>6.4169102983317851E-3</v>
      </c>
      <c r="N1512" s="12">
        <f>L1512*SIN(RADIANS(K1512))</f>
        <v>-1.100500116163901</v>
      </c>
      <c r="O1512" s="12">
        <f>L1512*COS(RADIANS(K1512))</f>
        <v>-1.9061221149313285</v>
      </c>
      <c r="P1512" s="5">
        <v>4.6492073012151733</v>
      </c>
      <c r="Q1512" s="5">
        <v>2.2056409315545117E-2</v>
      </c>
      <c r="R1512" s="6">
        <f>P1512/Q1512</f>
        <v>210.78713378511989</v>
      </c>
    </row>
    <row r="1513" spans="1:18" x14ac:dyDescent="0.35">
      <c r="A1513" s="9">
        <v>1514</v>
      </c>
      <c r="B1513" s="5">
        <v>0.75</v>
      </c>
      <c r="C1513" s="5">
        <v>6000000</v>
      </c>
      <c r="D1513" s="5">
        <v>0</v>
      </c>
      <c r="E1513" s="5">
        <v>0.125</v>
      </c>
      <c r="F1513" s="5">
        <v>3.5000000000000003E-2</v>
      </c>
      <c r="G1513" s="12">
        <f>(C1513*$U$4)/($U$5*$U$3)</f>
        <v>88.16326530612244</v>
      </c>
      <c r="H1513" s="11">
        <f>G1513*COS(RADIANS(D1513))</f>
        <v>88.16326530612244</v>
      </c>
      <c r="I1513" s="11">
        <f>G1513*SIN(RADIANS(D1513))</f>
        <v>0</v>
      </c>
      <c r="J1513" s="12">
        <v>0.2802</v>
      </c>
      <c r="K1513" s="12">
        <v>19</v>
      </c>
      <c r="L1513" s="12">
        <f>-(F1513*G1513*$U$3)/J1513</f>
        <v>-11.012542061792598</v>
      </c>
      <c r="M1513" s="11">
        <f>ABS(L1513/$U$6)</f>
        <v>3.2106536623302033E-2</v>
      </c>
      <c r="N1513" s="12">
        <f>L1513*SIN(RADIANS(K1513))</f>
        <v>-3.5853329949396273</v>
      </c>
      <c r="O1513" s="12">
        <f>L1513*COS(RADIANS(K1513))</f>
        <v>-10.412563083993701</v>
      </c>
      <c r="P1513" s="5">
        <v>2.9066415235613157</v>
      </c>
      <c r="Q1513" s="5">
        <v>0.59744640726419107</v>
      </c>
      <c r="R1513" s="6">
        <f>P1513/Q1513</f>
        <v>4.8651083816393212</v>
      </c>
    </row>
    <row r="1514" spans="1:18" x14ac:dyDescent="0.35">
      <c r="A1514" s="9">
        <v>1515</v>
      </c>
      <c r="B1514" s="5">
        <v>0.75</v>
      </c>
      <c r="C1514" s="5">
        <v>6000000</v>
      </c>
      <c r="D1514" s="5">
        <v>0</v>
      </c>
      <c r="E1514" s="5">
        <v>0.375</v>
      </c>
      <c r="F1514" s="5">
        <v>1.4999999999999999E-2</v>
      </c>
      <c r="G1514" s="12">
        <f>(C1514*$U$4)/($U$5*$U$3)</f>
        <v>88.16326530612244</v>
      </c>
      <c r="H1514" s="11">
        <f>G1514*COS(RADIANS(D1514))</f>
        <v>88.16326530612244</v>
      </c>
      <c r="I1514" s="11">
        <f>G1514*SIN(RADIANS(D1514))</f>
        <v>0</v>
      </c>
      <c r="J1514" s="11">
        <v>0.29299999999999998</v>
      </c>
      <c r="K1514" s="12">
        <v>57</v>
      </c>
      <c r="L1514" s="12">
        <f>-(F1514*G1514*$U$3)/J1514</f>
        <v>-4.513477746047224</v>
      </c>
      <c r="M1514" s="11">
        <f>ABS(L1514/$U$6)</f>
        <v>1.315882724795109E-2</v>
      </c>
      <c r="N1514" s="12">
        <f>L1514*SIN(RADIANS(K1514))</f>
        <v>-3.7853209446864575</v>
      </c>
      <c r="O1514" s="12">
        <f>L1514*COS(RADIANS(K1514))</f>
        <v>-2.4582161641689595</v>
      </c>
      <c r="P1514" s="5">
        <v>4.0694608391329243</v>
      </c>
      <c r="Q1514" s="5">
        <v>-0.42783091564627618</v>
      </c>
      <c r="R1514" s="6">
        <f>P1514/Q1514</f>
        <v>-9.5118437922739787</v>
      </c>
    </row>
    <row r="1515" spans="1:18" x14ac:dyDescent="0.35">
      <c r="A1515" s="9">
        <v>1516</v>
      </c>
      <c r="B1515" s="5">
        <v>0.5</v>
      </c>
      <c r="C1515" s="5">
        <v>2000000</v>
      </c>
      <c r="D1515" s="5">
        <v>20</v>
      </c>
      <c r="E1515" s="5">
        <v>0.125</v>
      </c>
      <c r="F1515" s="5">
        <v>0.15</v>
      </c>
      <c r="G1515" s="12">
        <f>(C1515*$U$4)/($U$5*$U$3)</f>
        <v>29.387755102040813</v>
      </c>
      <c r="H1515" s="11">
        <f>G1515*COS(RADIANS(D1515))</f>
        <v>27.615456610851183</v>
      </c>
      <c r="I1515" s="11">
        <f>G1515*SIN(RADIANS(D1515))</f>
        <v>10.051204212019652</v>
      </c>
      <c r="J1515" s="12">
        <v>0.23300000000000001</v>
      </c>
      <c r="K1515" s="11">
        <v>27</v>
      </c>
      <c r="L1515" s="12">
        <f>-(F1515*G1515*$U$3)/J1515</f>
        <v>-18.919155645090651</v>
      </c>
      <c r="M1515" s="11">
        <f>ABS(L1515/$U$6)</f>
        <v>5.5157888178106858E-2</v>
      </c>
      <c r="N1515" s="12">
        <f>L1515*SIN(RADIANS(K1515))</f>
        <v>-8.5891169259649711</v>
      </c>
      <c r="O1515" s="12">
        <f>L1515*COS(RADIANS(K1515))</f>
        <v>-16.857091111910961</v>
      </c>
      <c r="P1515" s="5">
        <v>5.3220676733168135</v>
      </c>
      <c r="Q1515" s="5">
        <v>0.93056407176249356</v>
      </c>
      <c r="R1515" s="6">
        <f>P1515/Q1515</f>
        <v>5.7191845621514137</v>
      </c>
    </row>
    <row r="1516" spans="1:18" x14ac:dyDescent="0.35">
      <c r="A1516" s="9">
        <v>1517</v>
      </c>
      <c r="B1516" s="5">
        <v>0.1</v>
      </c>
      <c r="C1516" s="5">
        <v>2000000</v>
      </c>
      <c r="D1516" s="5">
        <v>30</v>
      </c>
      <c r="E1516" s="5">
        <v>0.375</v>
      </c>
      <c r="F1516" s="5">
        <v>2.5000000000000001E-2</v>
      </c>
      <c r="G1516" s="12">
        <f>(C1516*$U$4)/($U$5*$U$3)</f>
        <v>29.387755102040813</v>
      </c>
      <c r="H1516" s="11">
        <f>G1516*COS(RADIANS(D1516))</f>
        <v>25.450542478563094</v>
      </c>
      <c r="I1516" s="11">
        <f>G1516*SIN(RADIANS(D1516))</f>
        <v>14.693877551020405</v>
      </c>
      <c r="J1516" s="12">
        <v>0.16789999999999999</v>
      </c>
      <c r="K1516" s="11">
        <v>85</v>
      </c>
      <c r="L1516" s="12">
        <f>-(F1516*G1516*$U$3)/J1516</f>
        <v>-4.3757824749911878</v>
      </c>
      <c r="M1516" s="11">
        <f>ABS(L1516/$U$6)</f>
        <v>1.2757383309012209E-2</v>
      </c>
      <c r="N1516" s="12">
        <f>L1516*SIN(RADIANS(K1516))</f>
        <v>-4.359131301588997</v>
      </c>
      <c r="O1516" s="12">
        <f>L1516*COS(RADIANS(K1516))</f>
        <v>-0.3813745717100428</v>
      </c>
      <c r="P1516" s="5">
        <v>1.5132913548829117</v>
      </c>
      <c r="Q1516" s="5">
        <v>1.1131628863903396</v>
      </c>
      <c r="R1516" s="6">
        <f>P1516/Q1516</f>
        <v>1.3594518586494302</v>
      </c>
    </row>
    <row r="1517" spans="1:18" x14ac:dyDescent="0.35">
      <c r="A1517" s="9">
        <v>1518</v>
      </c>
      <c r="B1517" s="5">
        <v>0.1</v>
      </c>
      <c r="C1517" s="5">
        <v>2000000</v>
      </c>
      <c r="D1517" s="5">
        <v>15</v>
      </c>
      <c r="E1517" s="5">
        <v>0.25</v>
      </c>
      <c r="F1517" s="5">
        <v>7.4999999999999997E-2</v>
      </c>
      <c r="G1517" s="12">
        <f>(C1517*$U$4)/($U$5*$U$3)</f>
        <v>29.387755102040813</v>
      </c>
      <c r="H1517" s="11">
        <f>G1517*COS(RADIANS(D1517))</f>
        <v>28.386391629719554</v>
      </c>
      <c r="I1517" s="11">
        <f>G1517*SIN(RADIANS(D1517))</f>
        <v>7.6061107132169354</v>
      </c>
      <c r="J1517" s="11">
        <v>0.1661</v>
      </c>
      <c r="K1517" s="12">
        <v>80</v>
      </c>
      <c r="L1517" s="12">
        <f>-(F1517*G1517*$U$3)/J1517</f>
        <v>-13.269606457875142</v>
      </c>
      <c r="M1517" s="11">
        <f>ABS(L1517/$U$6)</f>
        <v>3.8686899294096626E-2</v>
      </c>
      <c r="N1517" s="12">
        <f>L1517*SIN(RADIANS(K1517))</f>
        <v>-13.068011319136303</v>
      </c>
      <c r="O1517" s="12">
        <f>L1517*COS(RADIANS(K1517))</f>
        <v>-2.3042429797673498</v>
      </c>
      <c r="P1517" s="5">
        <v>1.7920749523656465</v>
      </c>
      <c r="Q1517" s="5">
        <v>0.65526767992992307</v>
      </c>
      <c r="R1517" s="6">
        <f>P1517/Q1517</f>
        <v>2.7348746279647091</v>
      </c>
    </row>
    <row r="1518" spans="1:18" x14ac:dyDescent="0.35">
      <c r="A1518" s="9">
        <v>1163</v>
      </c>
      <c r="B1518" s="5">
        <v>1</v>
      </c>
      <c r="C1518" s="5">
        <v>6000000</v>
      </c>
      <c r="D1518" s="5">
        <v>5</v>
      </c>
      <c r="E1518" s="5">
        <v>0.25</v>
      </c>
      <c r="F1518" s="5">
        <v>0.15</v>
      </c>
      <c r="G1518" s="12">
        <f>(C1518*$U$4)/($U$5*$U$3)</f>
        <v>88.16326530612244</v>
      </c>
      <c r="H1518" s="11">
        <f>G1518*COS(RADIANS(D1518))</f>
        <v>87.827777464415107</v>
      </c>
      <c r="I1518" s="11">
        <f>G1518*SIN(RADIANS(D1518))</f>
        <v>7.6839348708139434</v>
      </c>
      <c r="J1518" s="13">
        <v>0.33379999999999999</v>
      </c>
      <c r="K1518" s="12">
        <v>30</v>
      </c>
      <c r="L1518" s="12">
        <f>-(F1518*G1518*$U$3)/J1518</f>
        <v>-39.618004181900439</v>
      </c>
      <c r="M1518" s="11">
        <f>ABS(L1518/$U$6)</f>
        <v>0.11550438536997212</v>
      </c>
      <c r="N1518" s="12">
        <f>L1518*SIN(RADIANS(K1518))</f>
        <v>-19.809002090950216</v>
      </c>
      <c r="O1518" s="12">
        <f>L1518*COS(RADIANS(K1518))</f>
        <v>-34.31019806876391</v>
      </c>
      <c r="P1518" s="5">
        <v>5.1685431794025849</v>
      </c>
      <c r="Q1518" s="5">
        <v>-0.20516536875381552</v>
      </c>
      <c r="R1518" s="6">
        <f>P1518/Q1518</f>
        <v>-25.192083882365569</v>
      </c>
    </row>
    <row r="1519" spans="1:18" x14ac:dyDescent="0.35">
      <c r="A1519" s="9">
        <v>1520</v>
      </c>
      <c r="B1519" s="5">
        <v>1</v>
      </c>
      <c r="C1519" s="5">
        <v>4000000</v>
      </c>
      <c r="D1519" s="5">
        <v>15</v>
      </c>
      <c r="E1519" s="5">
        <v>0.125</v>
      </c>
      <c r="F1519" s="5">
        <v>7.4999999999999997E-2</v>
      </c>
      <c r="G1519" s="12">
        <f>(C1519*$U$4)/($U$5*$U$3)</f>
        <v>58.775510204081627</v>
      </c>
      <c r="H1519" s="11">
        <f>G1519*COS(RADIANS(D1519))</f>
        <v>56.772783259439109</v>
      </c>
      <c r="I1519" s="11">
        <f>G1519*SIN(RADIANS(D1519))</f>
        <v>15.212221426433871</v>
      </c>
      <c r="J1519" s="11">
        <v>0.33379999999999999</v>
      </c>
      <c r="K1519" s="12">
        <v>14</v>
      </c>
      <c r="L1519" s="12">
        <f>-(F1519*G1519*$U$3)/J1519</f>
        <v>-13.206001393966813</v>
      </c>
      <c r="M1519" s="11">
        <f>ABS(L1519/$U$6)</f>
        <v>3.8501461789990712E-2</v>
      </c>
      <c r="N1519" s="12">
        <f>L1519*SIN(RADIANS(K1519))</f>
        <v>-3.1948208905203059</v>
      </c>
      <c r="O1519" s="12">
        <f>L1519*COS(RADIANS(K1519))</f>
        <v>-12.81372671376085</v>
      </c>
      <c r="P1519" s="5">
        <v>3.0203302790057336</v>
      </c>
      <c r="Q1519" s="5">
        <v>0.95234848302206043</v>
      </c>
      <c r="R1519" s="6">
        <f>P1519/Q1519</f>
        <v>3.1714549168193193</v>
      </c>
    </row>
    <row r="1520" spans="1:18" x14ac:dyDescent="0.35">
      <c r="A1520" s="9">
        <v>1341</v>
      </c>
      <c r="B1520" s="5">
        <v>1</v>
      </c>
      <c r="C1520" s="5">
        <v>6000000</v>
      </c>
      <c r="D1520" s="5">
        <v>5</v>
      </c>
      <c r="E1520" s="5">
        <v>0.125</v>
      </c>
      <c r="F1520" s="5">
        <v>0.15</v>
      </c>
      <c r="G1520" s="12">
        <f>(C1520*$U$4)/($U$5*$U$3)</f>
        <v>88.16326530612244</v>
      </c>
      <c r="H1520" s="11">
        <f>G1520*COS(RADIANS(D1520))</f>
        <v>87.827777464415107</v>
      </c>
      <c r="I1520" s="11">
        <f>G1520*SIN(RADIANS(D1520))</f>
        <v>7.6839348708139434</v>
      </c>
      <c r="J1520" s="11">
        <v>0.33379999999999999</v>
      </c>
      <c r="K1520" s="12">
        <v>14</v>
      </c>
      <c r="L1520" s="12">
        <f>-(F1520*G1520*$U$3)/J1520</f>
        <v>-39.618004181900439</v>
      </c>
      <c r="M1520" s="11">
        <f>ABS(L1520/$U$6)</f>
        <v>0.11550438536997212</v>
      </c>
      <c r="N1520" s="12">
        <f>L1520*SIN(RADIANS(K1520))</f>
        <v>-9.5844626715609174</v>
      </c>
      <c r="O1520" s="12">
        <f>L1520*COS(RADIANS(K1520))</f>
        <v>-38.441180141282551</v>
      </c>
      <c r="P1520" s="5">
        <v>4.2210719941989998</v>
      </c>
      <c r="Q1520" s="5">
        <v>0.17362007166073462</v>
      </c>
      <c r="R1520" s="6">
        <f>P1520/Q1520</f>
        <v>24.312119870836479</v>
      </c>
    </row>
    <row r="1521" spans="1:18" x14ac:dyDescent="0.35">
      <c r="A1521" s="9">
        <v>1522</v>
      </c>
      <c r="B1521" s="5">
        <v>0.75</v>
      </c>
      <c r="C1521" s="5">
        <v>2000000</v>
      </c>
      <c r="D1521" s="5">
        <v>10</v>
      </c>
      <c r="E1521" s="5">
        <v>0</v>
      </c>
      <c r="F1521" s="5">
        <v>0</v>
      </c>
      <c r="G1521" s="12">
        <f>(C1521*$U$4)/($U$5*$U$3)</f>
        <v>29.387755102040813</v>
      </c>
      <c r="H1521" s="11">
        <f>G1521*COS(RADIANS(D1521))</f>
        <v>28.941289068113864</v>
      </c>
      <c r="I1521" s="11">
        <f>G1521*SIN(RADIANS(D1521))</f>
        <v>5.1031301191914213</v>
      </c>
      <c r="J1521" s="11">
        <v>0.27929999999999999</v>
      </c>
      <c r="K1521" s="12">
        <v>0</v>
      </c>
      <c r="L1521" s="12">
        <f>-(F1521*G1521*$U$3)/J1521</f>
        <v>0</v>
      </c>
      <c r="M1521" s="11">
        <f>ABS(L1521/$U$6)</f>
        <v>0</v>
      </c>
      <c r="N1521" s="12">
        <f>L1521*SIN(RADIANS(K1521))</f>
        <v>0</v>
      </c>
      <c r="O1521" s="12">
        <f>L1521*COS(RADIANS(K1521))</f>
        <v>0</v>
      </c>
      <c r="P1521" s="5">
        <v>3.9614379112733307</v>
      </c>
      <c r="Q1521" s="5">
        <v>1.477446946776787</v>
      </c>
      <c r="R1521" s="6">
        <f>P1521/Q1521</f>
        <v>2.6812725288820984</v>
      </c>
    </row>
    <row r="1522" spans="1:18" x14ac:dyDescent="0.35">
      <c r="A1522" s="9">
        <v>1523</v>
      </c>
      <c r="B1522" s="5">
        <v>0.25</v>
      </c>
      <c r="C1522" s="5">
        <v>4000000</v>
      </c>
      <c r="D1522" s="5">
        <v>0</v>
      </c>
      <c r="E1522" s="5">
        <v>0.375</v>
      </c>
      <c r="F1522" s="5">
        <v>0.05</v>
      </c>
      <c r="G1522" s="12">
        <f>(C1522*$U$4)/($U$5*$U$3)</f>
        <v>58.775510204081627</v>
      </c>
      <c r="H1522" s="11">
        <f>G1522*COS(RADIANS(D1522))</f>
        <v>58.775510204081627</v>
      </c>
      <c r="I1522" s="11">
        <f>G1522*SIN(RADIANS(D1522))</f>
        <v>0</v>
      </c>
      <c r="J1522" s="11">
        <v>0.1976</v>
      </c>
      <c r="K1522" s="12">
        <v>78</v>
      </c>
      <c r="L1522" s="12">
        <f>-(F1522*G1522*$U$3)/J1522</f>
        <v>-14.872345699413367</v>
      </c>
      <c r="M1522" s="11">
        <f>ABS(L1522/$U$6)</f>
        <v>4.3359608453100197E-2</v>
      </c>
      <c r="N1522" s="12">
        <f>L1522*SIN(RADIANS(K1522))</f>
        <v>-14.547349263164916</v>
      </c>
      <c r="O1522" s="12">
        <f>L1522*COS(RADIANS(K1522))</f>
        <v>-3.0921345407912666</v>
      </c>
      <c r="P1522" s="5">
        <v>2.2965566764869605</v>
      </c>
      <c r="Q1522" s="5">
        <v>9.1699770912603326E-2</v>
      </c>
      <c r="R1522" s="6">
        <f>P1522/Q1522</f>
        <v>25.044301132177846</v>
      </c>
    </row>
    <row r="1523" spans="1:18" x14ac:dyDescent="0.35">
      <c r="A1523" s="9">
        <v>1524</v>
      </c>
      <c r="B1523" s="5">
        <v>0.75</v>
      </c>
      <c r="C1523" s="5">
        <v>2000000</v>
      </c>
      <c r="D1523" s="5">
        <v>5</v>
      </c>
      <c r="E1523" s="5">
        <v>0.125</v>
      </c>
      <c r="F1523" s="5">
        <v>1.4999999999999999E-2</v>
      </c>
      <c r="G1523" s="12">
        <f>(C1523*$U$4)/($U$5*$U$3)</f>
        <v>29.387755102040813</v>
      </c>
      <c r="H1523" s="11">
        <f>G1523*COS(RADIANS(D1523))</f>
        <v>29.275925821471702</v>
      </c>
      <c r="I1523" s="11">
        <f>G1523*SIN(RADIANS(D1523))</f>
        <v>2.5613116236046478</v>
      </c>
      <c r="J1523" s="12">
        <v>0.2802</v>
      </c>
      <c r="K1523" s="12">
        <v>19</v>
      </c>
      <c r="L1523" s="12">
        <f>-(F1523*G1523*$U$3)/J1523</f>
        <v>-1.5732202945417995</v>
      </c>
      <c r="M1523" s="11">
        <f>ABS(L1523/$U$6)</f>
        <v>4.5866480890431474E-3</v>
      </c>
      <c r="N1523" s="12">
        <f>L1523*SIN(RADIANS(K1523))</f>
        <v>-0.51219042784851809</v>
      </c>
      <c r="O1523" s="12">
        <f>L1523*COS(RADIANS(K1523))</f>
        <v>-1.4875090119990999</v>
      </c>
      <c r="P1523" s="5">
        <v>4.2388182731213542</v>
      </c>
      <c r="Q1523" s="5">
        <v>0.44475398272395295</v>
      </c>
      <c r="R1523" s="6">
        <f>P1523/Q1523</f>
        <v>9.5307033501086753</v>
      </c>
    </row>
    <row r="1524" spans="1:18" x14ac:dyDescent="0.35">
      <c r="A1524" s="9">
        <v>1525</v>
      </c>
      <c r="B1524" s="5">
        <v>0.1</v>
      </c>
      <c r="C1524" s="5">
        <v>2000000</v>
      </c>
      <c r="D1524" s="5">
        <v>5</v>
      </c>
      <c r="E1524" s="5">
        <v>0</v>
      </c>
      <c r="F1524" s="5">
        <v>7.4999999999999997E-2</v>
      </c>
      <c r="G1524" s="12">
        <f>(C1524*$U$4)/($U$5*$U$3)</f>
        <v>29.387755102040813</v>
      </c>
      <c r="H1524" s="11">
        <f>G1524*COS(RADIANS(D1524))</f>
        <v>29.275925821471702</v>
      </c>
      <c r="I1524" s="11">
        <f>G1524*SIN(RADIANS(D1524))</f>
        <v>2.5613116236046478</v>
      </c>
      <c r="J1524" s="11">
        <v>0.16569999999999999</v>
      </c>
      <c r="K1524" s="12">
        <v>0</v>
      </c>
      <c r="L1524" s="12">
        <f>-(F1524*G1524*$U$3)/J1524</f>
        <v>-13.301639303880876</v>
      </c>
      <c r="M1524" s="11">
        <f>ABS(L1524/$U$6)</f>
        <v>3.8780289515687683E-2</v>
      </c>
      <c r="N1524" s="12">
        <f>L1524*SIN(RADIANS(K1524))</f>
        <v>0</v>
      </c>
      <c r="O1524" s="12">
        <f>L1524*COS(RADIANS(K1524))</f>
        <v>-13.301639303880876</v>
      </c>
      <c r="P1524" s="5">
        <v>1.4002365345301715</v>
      </c>
      <c r="Q1524" s="5">
        <v>0.29570192002807932</v>
      </c>
      <c r="R1524" s="6">
        <f>P1524/Q1524</f>
        <v>4.7352974048907344</v>
      </c>
    </row>
    <row r="1525" spans="1:18" x14ac:dyDescent="0.35">
      <c r="A1525" s="9">
        <v>1526</v>
      </c>
      <c r="B1525" s="5">
        <v>1</v>
      </c>
      <c r="C1525" s="5">
        <v>4000000</v>
      </c>
      <c r="D1525" s="5">
        <v>10</v>
      </c>
      <c r="E1525" s="5">
        <v>0.25</v>
      </c>
      <c r="F1525" s="5">
        <v>0.15</v>
      </c>
      <c r="G1525" s="12">
        <f>(C1525*$U$4)/($U$5*$U$3)</f>
        <v>58.775510204081627</v>
      </c>
      <c r="H1525" s="11">
        <f>G1525*COS(RADIANS(D1525))</f>
        <v>57.882578136227728</v>
      </c>
      <c r="I1525" s="11">
        <f>G1525*SIN(RADIANS(D1525))</f>
        <v>10.206260238382843</v>
      </c>
      <c r="J1525" s="13">
        <v>0.33379999999999999</v>
      </c>
      <c r="K1525" s="12">
        <v>30</v>
      </c>
      <c r="L1525" s="12">
        <f>-(F1525*G1525*$U$3)/J1525</f>
        <v>-26.412002787933627</v>
      </c>
      <c r="M1525" s="11">
        <f>ABS(L1525/$U$6)</f>
        <v>7.7002923579981425E-2</v>
      </c>
      <c r="N1525" s="12">
        <f>L1525*SIN(RADIANS(K1525))</f>
        <v>-13.206001393966812</v>
      </c>
      <c r="O1525" s="12">
        <f>L1525*COS(RADIANS(K1525))</f>
        <v>-22.87346537917594</v>
      </c>
      <c r="P1525" s="5">
        <v>5.3655769907664244</v>
      </c>
      <c r="Q1525" s="5">
        <v>-4.5112528328494488E-2</v>
      </c>
      <c r="R1525" s="6">
        <f>P1525/Q1525</f>
        <v>-118.93762530213492</v>
      </c>
    </row>
    <row r="1526" spans="1:18" x14ac:dyDescent="0.35">
      <c r="A1526" s="9">
        <v>1527</v>
      </c>
      <c r="B1526" s="5">
        <v>1</v>
      </c>
      <c r="C1526" s="5">
        <v>2000000</v>
      </c>
      <c r="D1526" s="5">
        <v>5</v>
      </c>
      <c r="E1526" s="5">
        <v>0</v>
      </c>
      <c r="F1526" s="5">
        <v>3.5000000000000003E-2</v>
      </c>
      <c r="G1526" s="12">
        <f>(C1526*$U$4)/($U$5*$U$3)</f>
        <v>29.387755102040813</v>
      </c>
      <c r="H1526" s="11">
        <f>G1526*COS(RADIANS(D1526))</f>
        <v>29.275925821471702</v>
      </c>
      <c r="I1526" s="11">
        <f>G1526*SIN(RADIANS(D1526))</f>
        <v>2.5613116236046478</v>
      </c>
      <c r="J1526" s="11">
        <v>0.33379999999999999</v>
      </c>
      <c r="K1526" s="12">
        <v>0</v>
      </c>
      <c r="L1526" s="12">
        <f>-(F1526*G1526*$U$3)/J1526</f>
        <v>-3.0814003252589233</v>
      </c>
      <c r="M1526" s="11">
        <f>ABS(L1526/$U$6)</f>
        <v>8.983674417664499E-3</v>
      </c>
      <c r="N1526" s="12">
        <f>L1526*SIN(RADIANS(K1526))</f>
        <v>0</v>
      </c>
      <c r="O1526" s="12">
        <f>L1526*COS(RADIANS(K1526))</f>
        <v>-3.0814003252589233</v>
      </c>
      <c r="P1526" s="5">
        <v>1.0630321212225584</v>
      </c>
      <c r="Q1526" s="5">
        <v>2.2655519099306431</v>
      </c>
      <c r="R1526" s="6">
        <f>P1526/Q1526</f>
        <v>0.46921552164086222</v>
      </c>
    </row>
    <row r="1527" spans="1:18" x14ac:dyDescent="0.35">
      <c r="A1527" s="9">
        <v>1528</v>
      </c>
      <c r="B1527" s="5">
        <v>0.1</v>
      </c>
      <c r="C1527" s="5">
        <v>4000000</v>
      </c>
      <c r="D1527" s="5">
        <v>0</v>
      </c>
      <c r="E1527" s="5">
        <v>0.375</v>
      </c>
      <c r="F1527" s="5">
        <v>3.5000000000000003E-2</v>
      </c>
      <c r="G1527" s="12">
        <f>(C1527*$U$4)/($U$5*$U$3)</f>
        <v>58.775510204081627</v>
      </c>
      <c r="H1527" s="11">
        <f>G1527*COS(RADIANS(D1527))</f>
        <v>58.775510204081627</v>
      </c>
      <c r="I1527" s="11">
        <f>G1527*SIN(RADIANS(D1527))</f>
        <v>0</v>
      </c>
      <c r="J1527" s="12">
        <v>0.16789999999999999</v>
      </c>
      <c r="K1527" s="11">
        <v>85</v>
      </c>
      <c r="L1527" s="12">
        <f>-(F1527*G1527*$U$3)/J1527</f>
        <v>-12.252190929975324</v>
      </c>
      <c r="M1527" s="11">
        <f>ABS(L1527/$U$6)</f>
        <v>3.5720673265234183E-2</v>
      </c>
      <c r="N1527" s="12">
        <f>L1527*SIN(RADIANS(K1527))</f>
        <v>-12.205567644449191</v>
      </c>
      <c r="O1527" s="12">
        <f>L1527*COS(RADIANS(K1527))</f>
        <v>-1.0678488007881197</v>
      </c>
      <c r="P1527" s="5">
        <v>1.5344893349528732</v>
      </c>
      <c r="Q1527" s="5">
        <v>0.20426445801421142</v>
      </c>
      <c r="R1527" s="6">
        <f>P1527/Q1527</f>
        <v>7.5122679191017809</v>
      </c>
    </row>
    <row r="1528" spans="1:18" x14ac:dyDescent="0.35">
      <c r="A1528" s="9">
        <v>1529</v>
      </c>
      <c r="B1528" s="5">
        <v>0.75</v>
      </c>
      <c r="C1528" s="5">
        <v>4000000</v>
      </c>
      <c r="D1528" s="5">
        <v>5</v>
      </c>
      <c r="E1528" s="5">
        <v>0.375</v>
      </c>
      <c r="F1528" s="5">
        <v>0.05</v>
      </c>
      <c r="G1528" s="12">
        <f>(C1528*$U$4)/($U$5*$U$3)</f>
        <v>58.775510204081627</v>
      </c>
      <c r="H1528" s="11">
        <f>G1528*COS(RADIANS(D1528))</f>
        <v>58.551851642943404</v>
      </c>
      <c r="I1528" s="11">
        <f>G1528*SIN(RADIANS(D1528))</f>
        <v>5.1226232472092956</v>
      </c>
      <c r="J1528" s="11">
        <v>0.29299999999999998</v>
      </c>
      <c r="K1528" s="12">
        <v>57</v>
      </c>
      <c r="L1528" s="12">
        <f>-(F1528*G1528*$U$3)/J1528</f>
        <v>-10.029950546771609</v>
      </c>
      <c r="M1528" s="11">
        <f>ABS(L1528/$U$6)</f>
        <v>2.92418383287802E-2</v>
      </c>
      <c r="N1528" s="12">
        <f>L1528*SIN(RADIANS(K1528))</f>
        <v>-8.4118243215254616</v>
      </c>
      <c r="O1528" s="12">
        <f>L1528*COS(RADIANS(K1528))</f>
        <v>-5.4627025870421324</v>
      </c>
      <c r="P1528" s="5">
        <v>4.8810431280584368</v>
      </c>
      <c r="Q1528" s="5">
        <v>-0.34069573134525832</v>
      </c>
      <c r="R1528" s="6">
        <f>P1528/Q1528</f>
        <v>-14.326692937376508</v>
      </c>
    </row>
    <row r="1529" spans="1:18" x14ac:dyDescent="0.35">
      <c r="A1529" s="9">
        <v>1530</v>
      </c>
      <c r="B1529" s="5">
        <v>0.1</v>
      </c>
      <c r="C1529" s="5">
        <v>4000000</v>
      </c>
      <c r="D1529" s="5">
        <v>20</v>
      </c>
      <c r="E1529" s="5">
        <v>0</v>
      </c>
      <c r="F1529" s="5">
        <v>0</v>
      </c>
      <c r="G1529" s="12">
        <f>(C1529*$U$4)/($U$5*$U$3)</f>
        <v>58.775510204081627</v>
      </c>
      <c r="H1529" s="11">
        <f>G1529*COS(RADIANS(D1529))</f>
        <v>55.230913221702366</v>
      </c>
      <c r="I1529" s="11">
        <f>G1529*SIN(RADIANS(D1529))</f>
        <v>20.102408424039304</v>
      </c>
      <c r="J1529" s="11">
        <v>0.16569999999999999</v>
      </c>
      <c r="K1529" s="12">
        <v>0</v>
      </c>
      <c r="L1529" s="12">
        <f>-(F1529*G1529*$U$3)/J1529</f>
        <v>0</v>
      </c>
      <c r="M1529" s="11">
        <f>ABS(L1529/$U$6)</f>
        <v>0</v>
      </c>
      <c r="N1529" s="12">
        <f>L1529*SIN(RADIANS(K1529))</f>
        <v>0</v>
      </c>
      <c r="O1529" s="12">
        <f>L1529*COS(RADIANS(K1529))</f>
        <v>0</v>
      </c>
      <c r="P1529" s="5">
        <v>1.186997670532469</v>
      </c>
      <c r="Q1529" s="5">
        <v>0.68416362527139063</v>
      </c>
      <c r="R1529" s="6">
        <f>P1529/Q1529</f>
        <v>1.734961676838076</v>
      </c>
    </row>
    <row r="1530" spans="1:18" x14ac:dyDescent="0.35">
      <c r="A1530" s="9">
        <v>1531</v>
      </c>
      <c r="B1530" s="5">
        <v>0.25</v>
      </c>
      <c r="C1530" s="5">
        <v>6000000</v>
      </c>
      <c r="D1530" s="5">
        <v>30</v>
      </c>
      <c r="E1530" s="5">
        <v>0.375</v>
      </c>
      <c r="F1530" s="5">
        <v>0.05</v>
      </c>
      <c r="G1530" s="12">
        <f>(C1530*$U$4)/($U$5*$U$3)</f>
        <v>88.16326530612244</v>
      </c>
      <c r="H1530" s="11">
        <f>G1530*COS(RADIANS(D1530))</f>
        <v>76.351627435689281</v>
      </c>
      <c r="I1530" s="11">
        <f>G1530*SIN(RADIANS(D1530))</f>
        <v>44.081632653061213</v>
      </c>
      <c r="J1530" s="11">
        <v>0.1976</v>
      </c>
      <c r="K1530" s="12">
        <v>78</v>
      </c>
      <c r="L1530" s="12">
        <f>-(F1530*G1530*$U$3)/J1530</f>
        <v>-22.308518549120052</v>
      </c>
      <c r="M1530" s="11">
        <f>ABS(L1530/$U$6)</f>
        <v>6.5039412679650299E-2</v>
      </c>
      <c r="N1530" s="12">
        <f>L1530*SIN(RADIANS(K1530))</f>
        <v>-21.821023894747377</v>
      </c>
      <c r="O1530" s="12">
        <f>L1530*COS(RADIANS(K1530))</f>
        <v>-4.6382018111869003</v>
      </c>
      <c r="P1530" s="5">
        <v>2.6891980419972814</v>
      </c>
      <c r="Q1530" s="5">
        <v>0.96151690780935062</v>
      </c>
      <c r="R1530" s="6">
        <f>P1530/Q1530</f>
        <v>2.796828657047906</v>
      </c>
    </row>
    <row r="1531" spans="1:18" x14ac:dyDescent="0.35">
      <c r="A1531" s="9">
        <v>1532</v>
      </c>
      <c r="B1531" s="5">
        <v>0.75</v>
      </c>
      <c r="C1531" s="5">
        <v>4000000</v>
      </c>
      <c r="D1531" s="5">
        <v>5</v>
      </c>
      <c r="E1531" s="5">
        <v>0.375</v>
      </c>
      <c r="F1531" s="5">
        <v>2.5000000000000001E-2</v>
      </c>
      <c r="G1531" s="12">
        <f>(C1531*$U$4)/($U$5*$U$3)</f>
        <v>58.775510204081627</v>
      </c>
      <c r="H1531" s="11">
        <f>G1531*COS(RADIANS(D1531))</f>
        <v>58.551851642943404</v>
      </c>
      <c r="I1531" s="11">
        <f>G1531*SIN(RADIANS(D1531))</f>
        <v>5.1226232472092956</v>
      </c>
      <c r="J1531" s="11">
        <v>0.29299999999999998</v>
      </c>
      <c r="K1531" s="12">
        <v>57</v>
      </c>
      <c r="L1531" s="12">
        <f>-(F1531*G1531*$U$3)/J1531</f>
        <v>-5.0149752733858044</v>
      </c>
      <c r="M1531" s="11">
        <f>ABS(L1531/$U$6)</f>
        <v>1.46209191643901E-2</v>
      </c>
      <c r="N1531" s="12">
        <f>L1531*SIN(RADIANS(K1531))</f>
        <v>-4.2059121607627308</v>
      </c>
      <c r="O1531" s="12">
        <f>L1531*COS(RADIANS(K1531))</f>
        <v>-2.7313512935210662</v>
      </c>
      <c r="P1531" s="5">
        <v>3.9386685189607014</v>
      </c>
      <c r="Q1531" s="5">
        <v>-6.9354804309350218E-2</v>
      </c>
      <c r="R1531" s="6">
        <f>P1531/Q1531</f>
        <v>-56.790132395048822</v>
      </c>
    </row>
    <row r="1532" spans="1:18" x14ac:dyDescent="0.35">
      <c r="A1532" s="9">
        <v>1422</v>
      </c>
      <c r="B1532" s="5">
        <v>1</v>
      </c>
      <c r="C1532" s="5">
        <v>6000000</v>
      </c>
      <c r="D1532" s="5">
        <v>20</v>
      </c>
      <c r="E1532" s="5">
        <v>0.375</v>
      </c>
      <c r="F1532" s="5">
        <v>0.15</v>
      </c>
      <c r="G1532" s="12">
        <f>(C1532*$U$4)/($U$5*$U$3)</f>
        <v>88.16326530612244</v>
      </c>
      <c r="H1532" s="11">
        <f>G1532*COS(RADIANS(D1532))</f>
        <v>82.846369832553549</v>
      </c>
      <c r="I1532" s="11">
        <f>G1532*SIN(RADIANS(D1532))</f>
        <v>30.153612636058952</v>
      </c>
      <c r="J1532" s="19">
        <v>0.33379999999999999</v>
      </c>
      <c r="K1532" s="20">
        <v>49</v>
      </c>
      <c r="L1532" s="12">
        <f>-(F1532*G1532*$U$3)/J1532</f>
        <v>-39.618004181900439</v>
      </c>
      <c r="M1532" s="11">
        <f>ABS(L1532/$U$6)</f>
        <v>0.11550438536997212</v>
      </c>
      <c r="N1532" s="12">
        <f>L1532*SIN(RADIANS(K1532))</f>
        <v>-29.900087305386105</v>
      </c>
      <c r="O1532" s="12">
        <f>L1532*COS(RADIANS(K1532))</f>
        <v>-25.99174935411946</v>
      </c>
      <c r="P1532" s="5">
        <v>8.6952325368246726</v>
      </c>
      <c r="Q1532" s="5">
        <v>0.69776762498537481</v>
      </c>
      <c r="R1532" s="6">
        <f>P1532/Q1532</f>
        <v>12.461501831654807</v>
      </c>
    </row>
    <row r="1533" spans="1:18" x14ac:dyDescent="0.35">
      <c r="A1533" s="9">
        <v>1534</v>
      </c>
      <c r="B1533" s="5">
        <v>0.5</v>
      </c>
      <c r="C1533" s="5">
        <v>2000000</v>
      </c>
      <c r="D1533" s="5">
        <v>30</v>
      </c>
      <c r="E1533" s="5">
        <v>0.25</v>
      </c>
      <c r="F1533" s="5">
        <v>3.5000000000000003E-2</v>
      </c>
      <c r="G1533" s="12">
        <f>(C1533*$U$4)/($U$5*$U$3)</f>
        <v>29.387755102040813</v>
      </c>
      <c r="H1533" s="11">
        <f>G1533*COS(RADIANS(D1533))</f>
        <v>25.450542478563094</v>
      </c>
      <c r="I1533" s="11">
        <f>G1533*SIN(RADIANS(D1533))</f>
        <v>14.693877551020405</v>
      </c>
      <c r="J1533" s="11">
        <v>0.23580000000000001</v>
      </c>
      <c r="K1533" s="11">
        <v>49</v>
      </c>
      <c r="L1533" s="12">
        <f>-(F1533*G1533*$U$3)/J1533</f>
        <v>-4.3620501635768809</v>
      </c>
      <c r="M1533" s="11">
        <f>ABS(L1533/$U$6)</f>
        <v>1.2717347415676037E-2</v>
      </c>
      <c r="N1533" s="12">
        <f>L1533*SIN(RADIANS(K1533))</f>
        <v>-3.2920810478637819</v>
      </c>
      <c r="O1533" s="12">
        <f>L1533*COS(RADIANS(K1533))</f>
        <v>-2.8617623947241317</v>
      </c>
      <c r="P1533" s="5">
        <v>2.5763881594554432</v>
      </c>
      <c r="Q1533" s="5">
        <v>1.0891189236086958</v>
      </c>
      <c r="R1533" s="6">
        <f>P1533/Q1533</f>
        <v>2.3655710167249846</v>
      </c>
    </row>
    <row r="1534" spans="1:18" x14ac:dyDescent="0.35">
      <c r="A1534" s="9">
        <v>1535</v>
      </c>
      <c r="B1534" s="5">
        <v>0.1</v>
      </c>
      <c r="C1534" s="5">
        <v>6000000</v>
      </c>
      <c r="D1534" s="5">
        <v>10</v>
      </c>
      <c r="E1534" s="5">
        <v>0.25</v>
      </c>
      <c r="F1534" s="5">
        <v>3.5000000000000003E-2</v>
      </c>
      <c r="G1534" s="12">
        <f>(C1534*$U$4)/($U$5*$U$3)</f>
        <v>88.16326530612244</v>
      </c>
      <c r="H1534" s="11">
        <f>G1534*COS(RADIANS(D1534))</f>
        <v>86.823867204341596</v>
      </c>
      <c r="I1534" s="11">
        <f>G1534*SIN(RADIANS(D1534))</f>
        <v>15.309390357574264</v>
      </c>
      <c r="J1534" s="11">
        <v>0.1661</v>
      </c>
      <c r="K1534" s="12">
        <v>80</v>
      </c>
      <c r="L1534" s="12">
        <f>-(F1534*G1534*$U$3)/J1534</f>
        <v>-18.577449041025201</v>
      </c>
      <c r="M1534" s="11">
        <f>ABS(L1534/$U$6)</f>
        <v>5.416165901173528E-2</v>
      </c>
      <c r="N1534" s="12">
        <f>L1534*SIN(RADIANS(K1534))</f>
        <v>-18.295215846790825</v>
      </c>
      <c r="O1534" s="12">
        <f>L1534*COS(RADIANS(K1534))</f>
        <v>-3.2259401716742899</v>
      </c>
      <c r="P1534" s="5">
        <v>1.6282607549848844</v>
      </c>
      <c r="Q1534" s="5">
        <v>0.48442556326047514</v>
      </c>
      <c r="R1534" s="6">
        <f>P1534/Q1534</f>
        <v>3.3612197176914265</v>
      </c>
    </row>
    <row r="1535" spans="1:18" x14ac:dyDescent="0.35">
      <c r="A1535" s="9">
        <v>1536</v>
      </c>
      <c r="B1535" s="5">
        <v>1</v>
      </c>
      <c r="C1535" s="5">
        <v>6000000</v>
      </c>
      <c r="D1535" s="5">
        <v>20</v>
      </c>
      <c r="E1535" s="5">
        <v>0.25</v>
      </c>
      <c r="F1535" s="5">
        <v>3.5000000000000003E-2</v>
      </c>
      <c r="G1535" s="12">
        <f>(C1535*$U$4)/($U$5*$U$3)</f>
        <v>88.16326530612244</v>
      </c>
      <c r="H1535" s="11">
        <f>G1535*COS(RADIANS(D1535))</f>
        <v>82.846369832553549</v>
      </c>
      <c r="I1535" s="11">
        <f>G1535*SIN(RADIANS(D1535))</f>
        <v>30.153612636058952</v>
      </c>
      <c r="J1535" s="13">
        <v>0.33379999999999999</v>
      </c>
      <c r="K1535" s="12">
        <v>30</v>
      </c>
      <c r="L1535" s="12">
        <f>-(F1535*G1535*$U$3)/J1535</f>
        <v>-9.2442009757767707</v>
      </c>
      <c r="M1535" s="11">
        <f>ABS(L1535/$U$6)</f>
        <v>2.6951023252993502E-2</v>
      </c>
      <c r="N1535" s="12">
        <f>L1535*SIN(RADIANS(K1535))</f>
        <v>-4.6221004878883845</v>
      </c>
      <c r="O1535" s="12">
        <f>L1535*COS(RADIANS(K1535))</f>
        <v>-8.0057128827115793</v>
      </c>
      <c r="P1535" s="5">
        <v>3.618214849716916</v>
      </c>
      <c r="Q1535" s="5">
        <v>1.1251445938551929</v>
      </c>
      <c r="R1535" s="6">
        <f>P1535/Q1535</f>
        <v>3.2157776604689294</v>
      </c>
    </row>
    <row r="1536" spans="1:18" x14ac:dyDescent="0.35">
      <c r="A1536" s="9">
        <v>1537</v>
      </c>
      <c r="B1536" s="5">
        <v>1</v>
      </c>
      <c r="C1536" s="5">
        <v>4000000</v>
      </c>
      <c r="D1536" s="5">
        <v>20</v>
      </c>
      <c r="E1536" s="5">
        <v>0.375</v>
      </c>
      <c r="F1536" s="5">
        <v>0</v>
      </c>
      <c r="G1536" s="12">
        <f>(C1536*$U$4)/($U$5*$U$3)</f>
        <v>58.775510204081627</v>
      </c>
      <c r="H1536" s="11">
        <f>G1536*COS(RADIANS(D1536))</f>
        <v>55.230913221702366</v>
      </c>
      <c r="I1536" s="11">
        <f>G1536*SIN(RADIANS(D1536))</f>
        <v>20.102408424039304</v>
      </c>
      <c r="J1536" s="12">
        <v>0.33379999999999999</v>
      </c>
      <c r="K1536" s="11">
        <v>49</v>
      </c>
      <c r="L1536" s="12">
        <f>-(F1536*G1536*$U$3)/J1536</f>
        <v>0</v>
      </c>
      <c r="M1536" s="11">
        <f>ABS(L1536/$U$6)</f>
        <v>0</v>
      </c>
      <c r="N1536" s="12">
        <f>L1536*SIN(RADIANS(K1536))</f>
        <v>0</v>
      </c>
      <c r="O1536" s="12">
        <f>L1536*COS(RADIANS(K1536))</f>
        <v>0</v>
      </c>
      <c r="P1536" s="5">
        <v>5.9985923585695797</v>
      </c>
      <c r="Q1536" s="5">
        <v>1.9779441490711818</v>
      </c>
      <c r="R1536" s="6">
        <f>P1536/Q1536</f>
        <v>3.0327410212196564</v>
      </c>
    </row>
    <row r="1537" spans="1:18" x14ac:dyDescent="0.35">
      <c r="A1537" s="9">
        <v>1538</v>
      </c>
      <c r="B1537" s="5">
        <v>0.5</v>
      </c>
      <c r="C1537" s="5">
        <v>4000000</v>
      </c>
      <c r="D1537" s="5">
        <v>30</v>
      </c>
      <c r="E1537" s="5">
        <v>0</v>
      </c>
      <c r="F1537" s="5">
        <v>1.4999999999999999E-2</v>
      </c>
      <c r="G1537" s="12">
        <f>(C1537*$U$4)/($U$5*$U$3)</f>
        <v>58.775510204081627</v>
      </c>
      <c r="H1537" s="11">
        <f>G1537*COS(RADIANS(D1537))</f>
        <v>50.901084957126187</v>
      </c>
      <c r="I1537" s="11">
        <f>G1537*SIN(RADIANS(D1537))</f>
        <v>29.38775510204081</v>
      </c>
      <c r="J1537" s="12">
        <v>0.23230000000000001</v>
      </c>
      <c r="K1537" s="12">
        <v>0</v>
      </c>
      <c r="L1537" s="12">
        <f>-(F1537*G1537*$U$3)/J1537</f>
        <v>-3.7952331169230495</v>
      </c>
      <c r="M1537" s="11">
        <f>ABS(L1537/$U$6)</f>
        <v>1.1064819582866033E-2</v>
      </c>
      <c r="N1537" s="12">
        <f>L1537*SIN(RADIANS(K1537))</f>
        <v>0</v>
      </c>
      <c r="O1537" s="12">
        <f>L1537*COS(RADIANS(K1537))</f>
        <v>-3.7952331169230495</v>
      </c>
      <c r="P1537" s="5">
        <v>2.3297557079557394</v>
      </c>
      <c r="Q1537" s="5">
        <v>1.1099063344651148</v>
      </c>
      <c r="R1537" s="6">
        <f>P1537/Q1537</f>
        <v>2.0990561415963929</v>
      </c>
    </row>
    <row r="1538" spans="1:18" x14ac:dyDescent="0.35">
      <c r="A1538" s="9">
        <v>1539</v>
      </c>
      <c r="B1538" s="5">
        <v>1</v>
      </c>
      <c r="C1538" s="5">
        <v>4000000</v>
      </c>
      <c r="D1538" s="5">
        <v>0</v>
      </c>
      <c r="E1538" s="5">
        <v>0</v>
      </c>
      <c r="F1538" s="5">
        <v>0</v>
      </c>
      <c r="G1538" s="12">
        <f>(C1538*$U$4)/($U$5*$U$3)</f>
        <v>58.775510204081627</v>
      </c>
      <c r="H1538" s="11">
        <f>G1538*COS(RADIANS(D1538))</f>
        <v>58.775510204081627</v>
      </c>
      <c r="I1538" s="11">
        <f>G1538*SIN(RADIANS(D1538))</f>
        <v>0</v>
      </c>
      <c r="J1538" s="11">
        <v>0.33379999999999999</v>
      </c>
      <c r="K1538" s="12">
        <v>0</v>
      </c>
      <c r="L1538" s="12">
        <f>-(F1538*G1538*$U$3)/J1538</f>
        <v>0</v>
      </c>
      <c r="M1538" s="11">
        <f>ABS(L1538/$U$6)</f>
        <v>0</v>
      </c>
      <c r="N1538" s="12">
        <f>L1538*SIN(RADIANS(K1538))</f>
        <v>0</v>
      </c>
      <c r="O1538" s="12">
        <f>L1538*COS(RADIANS(K1538))</f>
        <v>0</v>
      </c>
      <c r="P1538" s="5">
        <v>6.0761620447493589</v>
      </c>
      <c r="Q1538" s="5">
        <v>1.2638878913753864</v>
      </c>
      <c r="R1538" s="6">
        <f>P1538/Q1538</f>
        <v>4.8075166209062781</v>
      </c>
    </row>
    <row r="1539" spans="1:18" x14ac:dyDescent="0.35">
      <c r="A1539" s="9">
        <v>1540</v>
      </c>
      <c r="B1539" s="5">
        <v>0.1</v>
      </c>
      <c r="C1539" s="5">
        <v>4000000</v>
      </c>
      <c r="D1539" s="5">
        <v>10</v>
      </c>
      <c r="E1539" s="5">
        <v>0.125</v>
      </c>
      <c r="F1539" s="5">
        <v>0</v>
      </c>
      <c r="G1539" s="12">
        <f>(C1539*$U$4)/($U$5*$U$3)</f>
        <v>58.775510204081627</v>
      </c>
      <c r="H1539" s="11">
        <f>G1539*COS(RADIANS(D1539))</f>
        <v>57.882578136227728</v>
      </c>
      <c r="I1539" s="11">
        <f>G1539*SIN(RADIANS(D1539))</f>
        <v>10.206260238382843</v>
      </c>
      <c r="J1539" s="12">
        <v>0.1658</v>
      </c>
      <c r="K1539" s="12">
        <v>69</v>
      </c>
      <c r="L1539" s="12">
        <f>-(F1539*G1539*$U$3)/J1539</f>
        <v>0</v>
      </c>
      <c r="M1539" s="11">
        <f>ABS(L1539/$U$6)</f>
        <v>0</v>
      </c>
      <c r="N1539" s="12">
        <f>L1539*SIN(RADIANS(K1539))</f>
        <v>0</v>
      </c>
      <c r="O1539" s="12">
        <f>L1539*COS(RADIANS(K1539))</f>
        <v>0</v>
      </c>
      <c r="P1539" s="5">
        <v>1.4242134607161405</v>
      </c>
      <c r="Q1539" s="5">
        <v>0.47352662982742644</v>
      </c>
      <c r="R1539" s="6">
        <f>P1539/Q1539</f>
        <v>3.0076734253260171</v>
      </c>
    </row>
    <row r="1540" spans="1:18" x14ac:dyDescent="0.35">
      <c r="A1540" s="9">
        <v>1461</v>
      </c>
      <c r="B1540" s="5">
        <v>1</v>
      </c>
      <c r="C1540" s="5">
        <v>6000000</v>
      </c>
      <c r="D1540" s="5">
        <v>0</v>
      </c>
      <c r="E1540" s="5">
        <v>0.375</v>
      </c>
      <c r="F1540" s="5">
        <v>0.15</v>
      </c>
      <c r="G1540" s="12">
        <f>(C1540*$U$4)/($U$5*$U$3)</f>
        <v>88.16326530612244</v>
      </c>
      <c r="H1540" s="11">
        <f>G1540*COS(RADIANS(D1540))</f>
        <v>88.16326530612244</v>
      </c>
      <c r="I1540" s="11">
        <f>G1540*SIN(RADIANS(D1540))</f>
        <v>0</v>
      </c>
      <c r="J1540" s="12">
        <v>0.33379999999999999</v>
      </c>
      <c r="K1540" s="20">
        <v>49</v>
      </c>
      <c r="L1540" s="12">
        <f>-(F1540*G1540*$U$3)/J1540</f>
        <v>-39.618004181900439</v>
      </c>
      <c r="M1540" s="11">
        <f>ABS(L1540/$U$6)</f>
        <v>0.11550438536997212</v>
      </c>
      <c r="N1540" s="12">
        <f>L1540*SIN(RADIANS(K1540))</f>
        <v>-29.900087305386105</v>
      </c>
      <c r="O1540" s="12">
        <f>L1540*COS(RADIANS(K1540))</f>
        <v>-25.99174935411946</v>
      </c>
      <c r="P1540" s="5">
        <v>7.9323361705821771</v>
      </c>
      <c r="Q1540" s="5">
        <v>-1.4279262386384346</v>
      </c>
      <c r="R1540" s="6">
        <f>P1540/Q1540</f>
        <v>-5.5551442055899676</v>
      </c>
    </row>
    <row r="1541" spans="1:18" x14ac:dyDescent="0.35">
      <c r="A1541" s="9">
        <v>1542</v>
      </c>
      <c r="B1541" s="5">
        <v>0.25</v>
      </c>
      <c r="C1541" s="5">
        <v>2000000</v>
      </c>
      <c r="D1541" s="5">
        <v>30</v>
      </c>
      <c r="E1541" s="5">
        <v>0.25</v>
      </c>
      <c r="F1541" s="5">
        <v>7.4999999999999997E-2</v>
      </c>
      <c r="G1541" s="12">
        <f>(C1541*$U$4)/($U$5*$U$3)</f>
        <v>29.387755102040813</v>
      </c>
      <c r="H1541" s="11">
        <f>G1541*COS(RADIANS(D1541))</f>
        <v>25.450542478563094</v>
      </c>
      <c r="I1541" s="11">
        <f>G1541*SIN(RADIANS(D1541))</f>
        <v>14.693877551020405</v>
      </c>
      <c r="J1541" s="12">
        <v>0.1913</v>
      </c>
      <c r="K1541" s="11">
        <v>67</v>
      </c>
      <c r="L1541" s="12">
        <f>-(F1541*G1541*$U$3)/J1541</f>
        <v>-11.521597661542399</v>
      </c>
      <c r="M1541" s="11">
        <f>ABS(L1541/$U$6)</f>
        <v>3.3590663736275214E-2</v>
      </c>
      <c r="N1541" s="12">
        <f>L1541*SIN(RADIANS(K1541))</f>
        <v>-10.605686566976066</v>
      </c>
      <c r="O1541" s="12">
        <f>L1541*COS(RADIANS(K1541))</f>
        <v>-4.501846856293839</v>
      </c>
      <c r="P1541" s="5">
        <v>2.4329742037563342</v>
      </c>
      <c r="Q1541" s="5">
        <v>0.96222875190876889</v>
      </c>
      <c r="R1541" s="6">
        <f>P1541/Q1541</f>
        <v>2.5284779725507622</v>
      </c>
    </row>
    <row r="1542" spans="1:18" x14ac:dyDescent="0.35">
      <c r="A1542" s="9">
        <v>1543</v>
      </c>
      <c r="B1542" s="5">
        <v>0.1</v>
      </c>
      <c r="C1542" s="5">
        <v>6000000</v>
      </c>
      <c r="D1542" s="5">
        <v>20</v>
      </c>
      <c r="E1542" s="5">
        <v>0.25</v>
      </c>
      <c r="F1542" s="5">
        <v>2.5000000000000001E-2</v>
      </c>
      <c r="G1542" s="12">
        <f>(C1542*$U$4)/($U$5*$U$3)</f>
        <v>88.16326530612244</v>
      </c>
      <c r="H1542" s="11">
        <f>G1542*COS(RADIANS(D1542))</f>
        <v>82.846369832553549</v>
      </c>
      <c r="I1542" s="11">
        <f>G1542*SIN(RADIANS(D1542))</f>
        <v>30.153612636058952</v>
      </c>
      <c r="J1542" s="11">
        <v>0.1661</v>
      </c>
      <c r="K1542" s="12">
        <v>80</v>
      </c>
      <c r="L1542" s="12">
        <f>-(F1542*G1542*$U$3)/J1542</f>
        <v>-13.269606457875142</v>
      </c>
      <c r="M1542" s="11">
        <f>ABS(L1542/$U$6)</f>
        <v>3.8686899294096626E-2</v>
      </c>
      <c r="N1542" s="12">
        <f>L1542*SIN(RADIANS(K1542))</f>
        <v>-13.068011319136303</v>
      </c>
      <c r="O1542" s="12">
        <f>L1542*COS(RADIANS(K1542))</f>
        <v>-2.3042429797673498</v>
      </c>
      <c r="P1542" s="5">
        <v>1.4637147366085932</v>
      </c>
      <c r="Q1542" s="5">
        <v>0.75521285163940777</v>
      </c>
      <c r="R1542" s="6">
        <f>P1542/Q1542</f>
        <v>1.9381486072849228</v>
      </c>
    </row>
    <row r="1543" spans="1:18" x14ac:dyDescent="0.35">
      <c r="A1543" s="9">
        <v>1544</v>
      </c>
      <c r="B1543" s="5">
        <v>0.1</v>
      </c>
      <c r="C1543" s="5">
        <v>4000000</v>
      </c>
      <c r="D1543" s="5">
        <v>20</v>
      </c>
      <c r="E1543" s="5">
        <v>0</v>
      </c>
      <c r="F1543" s="5">
        <v>7.4999999999999997E-2</v>
      </c>
      <c r="G1543" s="12">
        <f>(C1543*$U$4)/($U$5*$U$3)</f>
        <v>58.775510204081627</v>
      </c>
      <c r="H1543" s="11">
        <f>G1543*COS(RADIANS(D1543))</f>
        <v>55.230913221702366</v>
      </c>
      <c r="I1543" s="11">
        <f>G1543*SIN(RADIANS(D1543))</f>
        <v>20.102408424039304</v>
      </c>
      <c r="J1543" s="11">
        <v>0.16569999999999999</v>
      </c>
      <c r="K1543" s="12">
        <v>0</v>
      </c>
      <c r="L1543" s="12">
        <f>-(F1543*G1543*$U$3)/J1543</f>
        <v>-26.603278607761752</v>
      </c>
      <c r="M1543" s="11">
        <f>ABS(L1543/$U$6)</f>
        <v>7.7560579031375365E-2</v>
      </c>
      <c r="N1543" s="12">
        <f>L1543*SIN(RADIANS(K1543))</f>
        <v>0</v>
      </c>
      <c r="O1543" s="12">
        <f>L1543*COS(RADIANS(K1543))</f>
        <v>-26.603278607761752</v>
      </c>
      <c r="P1543" s="5">
        <v>1.6854742165050705</v>
      </c>
      <c r="Q1543" s="5">
        <v>0.70086715338930539</v>
      </c>
      <c r="R1543" s="6">
        <f>P1543/Q1543</f>
        <v>2.4048412147071372</v>
      </c>
    </row>
    <row r="1544" spans="1:18" x14ac:dyDescent="0.35">
      <c r="A1544" s="9">
        <v>1545</v>
      </c>
      <c r="B1544" s="5">
        <v>0.1</v>
      </c>
      <c r="C1544" s="5">
        <v>2000000</v>
      </c>
      <c r="D1544" s="5">
        <v>5</v>
      </c>
      <c r="E1544" s="5">
        <v>0</v>
      </c>
      <c r="F1544" s="5">
        <v>2.5000000000000001E-2</v>
      </c>
      <c r="G1544" s="12">
        <f>(C1544*$U$4)/($U$5*$U$3)</f>
        <v>29.387755102040813</v>
      </c>
      <c r="H1544" s="11">
        <f>G1544*COS(RADIANS(D1544))</f>
        <v>29.275925821471702</v>
      </c>
      <c r="I1544" s="11">
        <f>G1544*SIN(RADIANS(D1544))</f>
        <v>2.5613116236046478</v>
      </c>
      <c r="J1544" s="11">
        <v>0.16569999999999999</v>
      </c>
      <c r="K1544" s="12">
        <v>0</v>
      </c>
      <c r="L1544" s="12">
        <f>-(F1544*G1544*$U$3)/J1544</f>
        <v>-4.4338797679602919</v>
      </c>
      <c r="M1544" s="11">
        <f>ABS(L1544/$U$6)</f>
        <v>1.2926763171895894E-2</v>
      </c>
      <c r="N1544" s="12">
        <f>L1544*SIN(RADIANS(K1544))</f>
        <v>0</v>
      </c>
      <c r="O1544" s="12">
        <f>L1544*COS(RADIANS(K1544))</f>
        <v>-4.4338797679602919</v>
      </c>
      <c r="P1544" s="5">
        <v>1.2230627721638161</v>
      </c>
      <c r="Q1544" s="5">
        <v>0.30813308403185069</v>
      </c>
      <c r="R1544" s="6">
        <f>P1544/Q1544</f>
        <v>3.9692679415021601</v>
      </c>
    </row>
    <row r="1545" spans="1:18" x14ac:dyDescent="0.35">
      <c r="A1545" s="9">
        <v>1546</v>
      </c>
      <c r="B1545" s="5">
        <v>1</v>
      </c>
      <c r="C1545" s="5">
        <v>4000000</v>
      </c>
      <c r="D1545" s="5">
        <v>10</v>
      </c>
      <c r="E1545" s="5">
        <v>0</v>
      </c>
      <c r="F1545" s="5">
        <v>1.4999999999999999E-2</v>
      </c>
      <c r="G1545" s="12">
        <f>(C1545*$U$4)/($U$5*$U$3)</f>
        <v>58.775510204081627</v>
      </c>
      <c r="H1545" s="11">
        <f>G1545*COS(RADIANS(D1545))</f>
        <v>57.882578136227728</v>
      </c>
      <c r="I1545" s="11">
        <f>G1545*SIN(RADIANS(D1545))</f>
        <v>10.206260238382843</v>
      </c>
      <c r="J1545" s="11">
        <v>0.33379999999999999</v>
      </c>
      <c r="K1545" s="12">
        <v>0</v>
      </c>
      <c r="L1545" s="12">
        <f>-(F1545*G1545*$U$3)/J1545</f>
        <v>-2.6412002787933626</v>
      </c>
      <c r="M1545" s="11">
        <f>ABS(L1545/$U$6)</f>
        <v>7.7002923579981416E-3</v>
      </c>
      <c r="N1545" s="12">
        <f>L1545*SIN(RADIANS(K1545))</f>
        <v>0</v>
      </c>
      <c r="O1545" s="12">
        <f>L1545*COS(RADIANS(K1545))</f>
        <v>-2.6412002787933626</v>
      </c>
      <c r="P1545" s="5">
        <v>0.81822069899720573</v>
      </c>
      <c r="Q1545" s="5">
        <v>2.3526713800795775</v>
      </c>
      <c r="R1545" s="6">
        <f>P1545/Q1545</f>
        <v>0.34778367515548642</v>
      </c>
    </row>
    <row r="1546" spans="1:18" x14ac:dyDescent="0.35">
      <c r="A1546" s="9">
        <v>1547</v>
      </c>
      <c r="B1546" s="5">
        <v>0.75</v>
      </c>
      <c r="C1546" s="5">
        <v>2000000</v>
      </c>
      <c r="D1546" s="5">
        <v>0</v>
      </c>
      <c r="E1546" s="5">
        <v>0</v>
      </c>
      <c r="F1546" s="5">
        <v>1.4999999999999999E-2</v>
      </c>
      <c r="G1546" s="12">
        <f>(C1546*$U$4)/($U$5*$U$3)</f>
        <v>29.387755102040813</v>
      </c>
      <c r="H1546" s="11">
        <f>G1546*COS(RADIANS(D1546))</f>
        <v>29.387755102040813</v>
      </c>
      <c r="I1546" s="11">
        <f>G1546*SIN(RADIANS(D1546))</f>
        <v>0</v>
      </c>
      <c r="J1546" s="11">
        <v>0.27929999999999999</v>
      </c>
      <c r="K1546" s="12">
        <v>0</v>
      </c>
      <c r="L1546" s="12">
        <f>-(F1546*G1546*$U$3)/J1546</f>
        <v>-1.5782897476928472</v>
      </c>
      <c r="M1546" s="11">
        <f>ABS(L1546/$U$6)</f>
        <v>4.6014278358392051E-3</v>
      </c>
      <c r="N1546" s="12">
        <f>L1546*SIN(RADIANS(K1546))</f>
        <v>0</v>
      </c>
      <c r="O1546" s="12">
        <f>L1546*COS(RADIANS(K1546))</f>
        <v>-1.5782897476928472</v>
      </c>
      <c r="P1546" s="5">
        <v>2.7276295722151884</v>
      </c>
      <c r="Q1546" s="5">
        <v>0.94964511256403106</v>
      </c>
      <c r="R1546" s="6">
        <f>P1546/Q1546</f>
        <v>2.8722620020131724</v>
      </c>
    </row>
    <row r="1547" spans="1:18" x14ac:dyDescent="0.35">
      <c r="A1547" s="9">
        <v>1548</v>
      </c>
      <c r="B1547" s="5">
        <v>0.5</v>
      </c>
      <c r="C1547" s="5">
        <v>4000000</v>
      </c>
      <c r="D1547" s="5">
        <v>20</v>
      </c>
      <c r="E1547" s="5">
        <v>0.125</v>
      </c>
      <c r="F1547" s="5">
        <v>7.4999999999999997E-2</v>
      </c>
      <c r="G1547" s="12">
        <f>(C1547*$U$4)/($U$5*$U$3)</f>
        <v>58.775510204081627</v>
      </c>
      <c r="H1547" s="11">
        <f>G1547*COS(RADIANS(D1547))</f>
        <v>55.230913221702366</v>
      </c>
      <c r="I1547" s="11">
        <f>G1547*SIN(RADIANS(D1547))</f>
        <v>20.102408424039304</v>
      </c>
      <c r="J1547" s="12">
        <v>0.23300000000000001</v>
      </c>
      <c r="K1547" s="11">
        <v>27</v>
      </c>
      <c r="L1547" s="12">
        <f>-(F1547*G1547*$U$3)/J1547</f>
        <v>-18.919155645090651</v>
      </c>
      <c r="M1547" s="11">
        <f>ABS(L1547/$U$6)</f>
        <v>5.5157888178106858E-2</v>
      </c>
      <c r="N1547" s="12">
        <f>L1547*SIN(RADIANS(K1547))</f>
        <v>-8.5891169259649711</v>
      </c>
      <c r="O1547" s="12">
        <f>L1547*COS(RADIANS(K1547))</f>
        <v>-16.857091111910961</v>
      </c>
      <c r="P1547" s="5">
        <v>4.2832373940469726</v>
      </c>
      <c r="Q1547" s="5">
        <v>0.93845446629241069</v>
      </c>
      <c r="R1547" s="6">
        <f>P1547/Q1547</f>
        <v>4.5641398148691525</v>
      </c>
    </row>
    <row r="1548" spans="1:18" x14ac:dyDescent="0.35">
      <c r="A1548" s="9">
        <v>1549</v>
      </c>
      <c r="B1548" s="5">
        <v>1</v>
      </c>
      <c r="C1548" s="5">
        <v>6000000</v>
      </c>
      <c r="D1548" s="5">
        <v>15</v>
      </c>
      <c r="E1548" s="5">
        <v>0.25</v>
      </c>
      <c r="F1548" s="5">
        <v>3.5000000000000003E-2</v>
      </c>
      <c r="G1548" s="12">
        <f>(C1548*$U$4)/($U$5*$U$3)</f>
        <v>88.16326530612244</v>
      </c>
      <c r="H1548" s="11">
        <f>G1548*COS(RADIANS(D1548))</f>
        <v>85.159174889158663</v>
      </c>
      <c r="I1548" s="11">
        <f>G1548*SIN(RADIANS(D1548))</f>
        <v>22.818332139650806</v>
      </c>
      <c r="J1548" s="13">
        <v>0.33379999999999999</v>
      </c>
      <c r="K1548" s="12">
        <v>30</v>
      </c>
      <c r="L1548" s="12">
        <f>-(F1548*G1548*$U$3)/J1548</f>
        <v>-9.2442009757767707</v>
      </c>
      <c r="M1548" s="11">
        <f>ABS(L1548/$U$6)</f>
        <v>2.6951023252993502E-2</v>
      </c>
      <c r="N1548" s="12">
        <f>L1548*SIN(RADIANS(K1548))</f>
        <v>-4.6221004878883845</v>
      </c>
      <c r="O1548" s="12">
        <f>L1548*COS(RADIANS(K1548))</f>
        <v>-8.0057128827115793</v>
      </c>
      <c r="P1548" s="5">
        <v>3.7360665639945672</v>
      </c>
      <c r="Q1548" s="5">
        <v>0.89376803800325622</v>
      </c>
      <c r="R1548" s="6">
        <f>P1548/Q1548</f>
        <v>4.1801299723597367</v>
      </c>
    </row>
    <row r="1549" spans="1:18" x14ac:dyDescent="0.35">
      <c r="A1549" s="9">
        <v>1589</v>
      </c>
      <c r="B1549" s="5">
        <v>1</v>
      </c>
      <c r="C1549" s="5">
        <v>6000000</v>
      </c>
      <c r="D1549" s="5">
        <v>5</v>
      </c>
      <c r="E1549" s="5">
        <v>0</v>
      </c>
      <c r="F1549" s="5">
        <v>0.15</v>
      </c>
      <c r="G1549" s="12">
        <f>(C1549*$U$4)/($U$5*$U$3)</f>
        <v>88.16326530612244</v>
      </c>
      <c r="H1549" s="11">
        <f>G1549*COS(RADIANS(D1549))</f>
        <v>87.827777464415107</v>
      </c>
      <c r="I1549" s="11">
        <f>G1549*SIN(RADIANS(D1549))</f>
        <v>7.6839348708139434</v>
      </c>
      <c r="J1549" s="11">
        <v>0.33379999999999999</v>
      </c>
      <c r="K1549" s="12">
        <v>0</v>
      </c>
      <c r="L1549" s="12">
        <f>-(F1549*G1549*$U$3)/J1549</f>
        <v>-39.618004181900439</v>
      </c>
      <c r="M1549" s="11">
        <f>ABS(L1549/$U$6)</f>
        <v>0.11550438536997212</v>
      </c>
      <c r="N1549" s="12">
        <f>L1549*SIN(RADIANS(K1549))</f>
        <v>0</v>
      </c>
      <c r="O1549" s="12">
        <f>L1549*COS(RADIANS(K1549))</f>
        <v>-39.618004181900439</v>
      </c>
      <c r="P1549" s="5">
        <v>2.0741934106014637</v>
      </c>
      <c r="Q1549" s="5">
        <v>1.3356113983117199</v>
      </c>
      <c r="R1549" s="6">
        <f>P1549/Q1549</f>
        <v>1.5529916959553869</v>
      </c>
    </row>
    <row r="1550" spans="1:18" x14ac:dyDescent="0.35">
      <c r="A1550" s="9">
        <v>1634</v>
      </c>
      <c r="B1550" s="5">
        <v>1</v>
      </c>
      <c r="C1550" s="5">
        <v>6000000</v>
      </c>
      <c r="D1550" s="5">
        <v>15</v>
      </c>
      <c r="E1550" s="5">
        <v>0.375</v>
      </c>
      <c r="F1550" s="5">
        <v>0.15</v>
      </c>
      <c r="G1550" s="12">
        <f>(C1550*$U$4)/($U$5*$U$3)</f>
        <v>88.16326530612244</v>
      </c>
      <c r="H1550" s="11">
        <f>G1550*COS(RADIANS(D1550))</f>
        <v>85.159174889158663</v>
      </c>
      <c r="I1550" s="11">
        <f>G1550*SIN(RADIANS(D1550))</f>
        <v>22.818332139650806</v>
      </c>
      <c r="J1550" s="19">
        <v>0.33379999999999999</v>
      </c>
      <c r="K1550" s="20">
        <v>49</v>
      </c>
      <c r="L1550" s="12">
        <f>-(F1550*G1550*$U$3)/J1550</f>
        <v>-39.618004181900439</v>
      </c>
      <c r="M1550" s="11">
        <f>ABS(L1550/$U$6)</f>
        <v>0.11550438536997212</v>
      </c>
      <c r="N1550" s="12">
        <f>L1550*SIN(RADIANS(K1550))</f>
        <v>-29.900087305386105</v>
      </c>
      <c r="O1550" s="12">
        <f>L1550*COS(RADIANS(K1550))</f>
        <v>-25.99174935411946</v>
      </c>
      <c r="P1550" s="5">
        <v>8.5733740142268324</v>
      </c>
      <c r="Q1550" s="5">
        <v>0.14164448480091454</v>
      </c>
      <c r="R1550" s="6">
        <f>P1550/Q1550</f>
        <v>60.527411471593545</v>
      </c>
    </row>
    <row r="1551" spans="1:18" x14ac:dyDescent="0.35">
      <c r="A1551" s="9">
        <v>1552</v>
      </c>
      <c r="B1551" s="5">
        <v>0.1</v>
      </c>
      <c r="C1551" s="5">
        <v>2000000</v>
      </c>
      <c r="D1551" s="5">
        <v>20</v>
      </c>
      <c r="E1551" s="5">
        <v>0.125</v>
      </c>
      <c r="F1551" s="5">
        <v>0.1</v>
      </c>
      <c r="G1551" s="12">
        <f>(C1551*$U$4)/($U$5*$U$3)</f>
        <v>29.387755102040813</v>
      </c>
      <c r="H1551" s="11">
        <f>G1551*COS(RADIANS(D1551))</f>
        <v>27.615456610851183</v>
      </c>
      <c r="I1551" s="11">
        <f>G1551*SIN(RADIANS(D1551))</f>
        <v>10.051204212019652</v>
      </c>
      <c r="J1551" s="12">
        <v>0.1658</v>
      </c>
      <c r="K1551" s="12">
        <v>69</v>
      </c>
      <c r="L1551" s="12">
        <f>-(F1551*G1551*$U$3)/J1551</f>
        <v>-17.724822136333422</v>
      </c>
      <c r="M1551" s="11">
        <f>ABS(L1551/$U$6)</f>
        <v>5.1675866286686363E-2</v>
      </c>
      <c r="N1551" s="12">
        <f>L1551*SIN(RADIANS(K1551))</f>
        <v>-16.547547009625198</v>
      </c>
      <c r="O1551" s="12">
        <f>L1551*COS(RADIANS(K1551))</f>
        <v>-6.3520081650529594</v>
      </c>
      <c r="P1551" s="5">
        <v>1.8035270711833018</v>
      </c>
      <c r="Q1551" s="5">
        <v>0.77150795385800586</v>
      </c>
      <c r="R1551" s="6">
        <f>P1551/Q1551</f>
        <v>2.3376649095638959</v>
      </c>
    </row>
    <row r="1552" spans="1:18" x14ac:dyDescent="0.35">
      <c r="A1552" s="9">
        <v>1775</v>
      </c>
      <c r="B1552" s="5">
        <v>1</v>
      </c>
      <c r="C1552" s="5">
        <v>6000000</v>
      </c>
      <c r="D1552" s="5">
        <v>15</v>
      </c>
      <c r="E1552" s="5">
        <v>0.125</v>
      </c>
      <c r="F1552" s="5">
        <v>0.15</v>
      </c>
      <c r="G1552" s="12">
        <f>(C1552*$U$4)/($U$5*$U$3)</f>
        <v>88.16326530612244</v>
      </c>
      <c r="H1552" s="11">
        <f>G1552*COS(RADIANS(D1552))</f>
        <v>85.159174889158663</v>
      </c>
      <c r="I1552" s="11">
        <f>G1552*SIN(RADIANS(D1552))</f>
        <v>22.818332139650806</v>
      </c>
      <c r="J1552" s="20">
        <v>0.33379999999999999</v>
      </c>
      <c r="K1552" s="12">
        <v>14</v>
      </c>
      <c r="L1552" s="12">
        <f>-(F1552*G1552*$U$3)/J1552</f>
        <v>-39.618004181900439</v>
      </c>
      <c r="M1552" s="11">
        <f>ABS(L1552/$U$6)</f>
        <v>0.11550438536997212</v>
      </c>
      <c r="N1552" s="12">
        <f>L1552*SIN(RADIANS(K1552))</f>
        <v>-9.5844626715609174</v>
      </c>
      <c r="O1552" s="12">
        <f>L1552*COS(RADIANS(K1552))</f>
        <v>-38.441180141282551</v>
      </c>
      <c r="P1552" s="5">
        <v>4.06399048524269</v>
      </c>
      <c r="Q1552" s="5">
        <v>0.63829287861216177</v>
      </c>
      <c r="R1552" s="6">
        <f>P1552/Q1552</f>
        <v>6.3669682389047049</v>
      </c>
    </row>
    <row r="1553" spans="1:18" x14ac:dyDescent="0.35">
      <c r="A1553" s="9">
        <v>1554</v>
      </c>
      <c r="B1553" s="5">
        <v>0.75</v>
      </c>
      <c r="C1553" s="5">
        <v>4000000</v>
      </c>
      <c r="D1553" s="5">
        <v>20</v>
      </c>
      <c r="E1553" s="5">
        <v>0.375</v>
      </c>
      <c r="F1553" s="5">
        <v>1.4999999999999999E-2</v>
      </c>
      <c r="G1553" s="12">
        <f>(C1553*$U$4)/($U$5*$U$3)</f>
        <v>58.775510204081627</v>
      </c>
      <c r="H1553" s="11">
        <f>G1553*COS(RADIANS(D1553))</f>
        <v>55.230913221702366</v>
      </c>
      <c r="I1553" s="11">
        <f>G1553*SIN(RADIANS(D1553))</f>
        <v>20.102408424039304</v>
      </c>
      <c r="J1553" s="11">
        <v>0.29299999999999998</v>
      </c>
      <c r="K1553" s="12">
        <v>57</v>
      </c>
      <c r="L1553" s="12">
        <f>-(F1553*G1553*$U$3)/J1553</f>
        <v>-3.0089851640314826</v>
      </c>
      <c r="M1553" s="11">
        <f>ABS(L1553/$U$6)</f>
        <v>8.7725514986340593E-3</v>
      </c>
      <c r="N1553" s="12">
        <f>L1553*SIN(RADIANS(K1553))</f>
        <v>-2.5235472964576386</v>
      </c>
      <c r="O1553" s="12">
        <f>L1553*COS(RADIANS(K1553))</f>
        <v>-1.6388107761126396</v>
      </c>
      <c r="P1553" s="5">
        <v>4.6008414625265734</v>
      </c>
      <c r="Q1553" s="5">
        <v>0.68088912642381239</v>
      </c>
      <c r="R1553" s="6">
        <f>P1553/Q1553</f>
        <v>6.7571081457729543</v>
      </c>
    </row>
    <row r="1554" spans="1:18" x14ac:dyDescent="0.35">
      <c r="A1554" s="9">
        <v>1830</v>
      </c>
      <c r="B1554" s="5">
        <v>1</v>
      </c>
      <c r="C1554" s="5">
        <v>6000000</v>
      </c>
      <c r="D1554" s="5">
        <v>30</v>
      </c>
      <c r="E1554" s="5">
        <v>0.375</v>
      </c>
      <c r="F1554" s="5">
        <v>0.15</v>
      </c>
      <c r="G1554" s="12">
        <f>(C1554*$U$4)/($U$5*$U$3)</f>
        <v>88.16326530612244</v>
      </c>
      <c r="H1554" s="11">
        <f>G1554*COS(RADIANS(D1554))</f>
        <v>76.351627435689281</v>
      </c>
      <c r="I1554" s="11">
        <f>G1554*SIN(RADIANS(D1554))</f>
        <v>44.081632653061213</v>
      </c>
      <c r="J1554" s="12">
        <v>0.33379999999999999</v>
      </c>
      <c r="K1554" s="20">
        <v>49</v>
      </c>
      <c r="L1554" s="12">
        <f>-(F1554*G1554*$U$3)/J1554</f>
        <v>-39.618004181900439</v>
      </c>
      <c r="M1554" s="11">
        <f>ABS(L1554/$U$6)</f>
        <v>0.11550438536997212</v>
      </c>
      <c r="N1554" s="12">
        <f>L1554*SIN(RADIANS(K1554))</f>
        <v>-29.900087305386105</v>
      </c>
      <c r="O1554" s="12">
        <f>L1554*COS(RADIANS(K1554))</f>
        <v>-25.99174935411946</v>
      </c>
      <c r="P1554" s="5">
        <v>10.804203186372426</v>
      </c>
      <c r="Q1554" s="5">
        <v>2.0595959781982689</v>
      </c>
      <c r="R1554" s="6">
        <f>P1554/Q1554</f>
        <v>5.245787669397143</v>
      </c>
    </row>
    <row r="1555" spans="1:18" x14ac:dyDescent="0.35">
      <c r="A1555" s="9">
        <v>1556</v>
      </c>
      <c r="B1555" s="5">
        <v>0.75</v>
      </c>
      <c r="C1555" s="5">
        <v>6000000</v>
      </c>
      <c r="D1555" s="5">
        <v>15</v>
      </c>
      <c r="E1555" s="5">
        <v>0.375</v>
      </c>
      <c r="F1555" s="5">
        <v>0</v>
      </c>
      <c r="G1555" s="12">
        <f>(C1555*$U$4)/($U$5*$U$3)</f>
        <v>88.16326530612244</v>
      </c>
      <c r="H1555" s="11">
        <f>G1555*COS(RADIANS(D1555))</f>
        <v>85.159174889158663</v>
      </c>
      <c r="I1555" s="11">
        <f>G1555*SIN(RADIANS(D1555))</f>
        <v>22.818332139650806</v>
      </c>
      <c r="J1555" s="11">
        <v>0.29299999999999998</v>
      </c>
      <c r="K1555" s="12">
        <v>57</v>
      </c>
      <c r="L1555" s="12">
        <f>-(F1555*G1555*$U$3)/J1555</f>
        <v>0</v>
      </c>
      <c r="M1555" s="11">
        <f>ABS(L1555/$U$6)</f>
        <v>0</v>
      </c>
      <c r="N1555" s="12">
        <f>L1555*SIN(RADIANS(K1555))</f>
        <v>0</v>
      </c>
      <c r="O1555" s="12">
        <f>L1555*COS(RADIANS(K1555))</f>
        <v>0</v>
      </c>
      <c r="P1555" s="5">
        <v>5.0973889745527314</v>
      </c>
      <c r="Q1555" s="5">
        <v>1.3560916391238302</v>
      </c>
      <c r="R1555" s="6">
        <f>P1555/Q1555</f>
        <v>3.7588823848557538</v>
      </c>
    </row>
    <row r="1556" spans="1:18" x14ac:dyDescent="0.35">
      <c r="A1556" s="9">
        <v>1557</v>
      </c>
      <c r="B1556" s="5">
        <v>0.5</v>
      </c>
      <c r="C1556" s="5">
        <v>2000000</v>
      </c>
      <c r="D1556" s="5">
        <v>30</v>
      </c>
      <c r="E1556" s="5">
        <v>0</v>
      </c>
      <c r="F1556" s="5">
        <v>2.5000000000000001E-2</v>
      </c>
      <c r="G1556" s="12">
        <f>(C1556*$U$4)/($U$5*$U$3)</f>
        <v>29.387755102040813</v>
      </c>
      <c r="H1556" s="11">
        <f>G1556*COS(RADIANS(D1556))</f>
        <v>25.450542478563094</v>
      </c>
      <c r="I1556" s="11">
        <f>G1556*SIN(RADIANS(D1556))</f>
        <v>14.693877551020405</v>
      </c>
      <c r="J1556" s="12">
        <v>0.23230000000000001</v>
      </c>
      <c r="K1556" s="12">
        <v>0</v>
      </c>
      <c r="L1556" s="12">
        <f>-(F1556*G1556*$U$3)/J1556</f>
        <v>-3.1626942641025413</v>
      </c>
      <c r="M1556" s="11">
        <f>ABS(L1556/$U$6)</f>
        <v>9.2206829857216944E-3</v>
      </c>
      <c r="N1556" s="12">
        <f>L1556*SIN(RADIANS(K1556))</f>
        <v>0</v>
      </c>
      <c r="O1556" s="12">
        <f>L1556*COS(RADIANS(K1556))</f>
        <v>-3.1626942641025413</v>
      </c>
      <c r="P1556" s="5">
        <v>1.9797747620531096</v>
      </c>
      <c r="Q1556" s="5">
        <v>1.0125197965492627</v>
      </c>
      <c r="R1556" s="6">
        <f>P1556/Q1556</f>
        <v>1.9552948681105482</v>
      </c>
    </row>
    <row r="1557" spans="1:18" x14ac:dyDescent="0.35">
      <c r="A1557" s="9">
        <v>1858</v>
      </c>
      <c r="B1557" s="5">
        <v>1</v>
      </c>
      <c r="C1557" s="5">
        <v>6000000</v>
      </c>
      <c r="D1557" s="5">
        <v>30</v>
      </c>
      <c r="E1557" s="5">
        <v>0.125</v>
      </c>
      <c r="F1557" s="5">
        <v>0.15</v>
      </c>
      <c r="G1557" s="12">
        <f>(C1557*$U$4)/($U$5*$U$3)</f>
        <v>88.16326530612244</v>
      </c>
      <c r="H1557" s="11">
        <f>G1557*COS(RADIANS(D1557))</f>
        <v>76.351627435689281</v>
      </c>
      <c r="I1557" s="11">
        <f>G1557*SIN(RADIANS(D1557))</f>
        <v>44.081632653061213</v>
      </c>
      <c r="J1557" s="20">
        <v>0.33379999999999999</v>
      </c>
      <c r="K1557" s="19">
        <v>14</v>
      </c>
      <c r="L1557" s="12">
        <f>-(F1557*G1557*$U$3)/J1557</f>
        <v>-39.618004181900439</v>
      </c>
      <c r="M1557" s="11">
        <f>ABS(L1557/$U$6)</f>
        <v>0.11550438536997212</v>
      </c>
      <c r="N1557" s="12">
        <f>L1557*SIN(RADIANS(K1557))</f>
        <v>-9.5844626715609174</v>
      </c>
      <c r="O1557" s="12">
        <f>L1557*COS(RADIANS(K1557))</f>
        <v>-38.441180141282551</v>
      </c>
      <c r="P1557" s="5">
        <v>3.8775952749024651</v>
      </c>
      <c r="Q1557" s="5">
        <v>1.1756263654576371</v>
      </c>
      <c r="R1557" s="6">
        <f>P1557/Q1557</f>
        <v>3.2983228250355121</v>
      </c>
    </row>
    <row r="1558" spans="1:18" x14ac:dyDescent="0.35">
      <c r="A1558" s="9">
        <v>1559</v>
      </c>
      <c r="B1558" s="5">
        <v>0.75</v>
      </c>
      <c r="C1558" s="5">
        <v>2000000</v>
      </c>
      <c r="D1558" s="5">
        <v>5</v>
      </c>
      <c r="E1558" s="5">
        <v>0.25</v>
      </c>
      <c r="F1558" s="5">
        <v>0.15</v>
      </c>
      <c r="G1558" s="12">
        <f>(C1558*$U$4)/($U$5*$U$3)</f>
        <v>29.387755102040813</v>
      </c>
      <c r="H1558" s="11">
        <f>G1558*COS(RADIANS(D1558))</f>
        <v>29.275925821471702</v>
      </c>
      <c r="I1558" s="11">
        <f>G1558*SIN(RADIANS(D1558))</f>
        <v>2.5613116236046478</v>
      </c>
      <c r="J1558" s="12">
        <v>0.28370000000000001</v>
      </c>
      <c r="K1558" s="11">
        <v>38</v>
      </c>
      <c r="L1558" s="12">
        <f>-(F1558*G1558*$U$3)/J1558</f>
        <v>-15.538115140310616</v>
      </c>
      <c r="M1558" s="11">
        <f>ABS(L1558/$U$6)</f>
        <v>4.5300627231226284E-2</v>
      </c>
      <c r="N1558" s="12">
        <f>L1558*SIN(RADIANS(K1558))</f>
        <v>-9.5662188910635813</v>
      </c>
      <c r="O1558" s="12">
        <f>L1558*COS(RADIANS(K1558))</f>
        <v>-12.244201821344184</v>
      </c>
      <c r="P1558" s="5">
        <v>4.6184955932028471</v>
      </c>
      <c r="Q1558" s="5">
        <v>-0.23304008287092687</v>
      </c>
      <c r="R1558" s="6">
        <f>P1558/Q1558</f>
        <v>-19.818460139155022</v>
      </c>
    </row>
    <row r="1559" spans="1:18" x14ac:dyDescent="0.35">
      <c r="A1559" s="9">
        <v>1560</v>
      </c>
      <c r="B1559" s="5">
        <v>0.75</v>
      </c>
      <c r="C1559" s="5">
        <v>2000000</v>
      </c>
      <c r="D1559" s="5">
        <v>20</v>
      </c>
      <c r="E1559" s="5">
        <v>0</v>
      </c>
      <c r="F1559" s="5">
        <v>0.1</v>
      </c>
      <c r="G1559" s="12">
        <f>(C1559*$U$4)/($U$5*$U$3)</f>
        <v>29.387755102040813</v>
      </c>
      <c r="H1559" s="11">
        <f>G1559*COS(RADIANS(D1559))</f>
        <v>27.615456610851183</v>
      </c>
      <c r="I1559" s="11">
        <f>G1559*SIN(RADIANS(D1559))</f>
        <v>10.051204212019652</v>
      </c>
      <c r="J1559" s="11">
        <v>0.27929999999999999</v>
      </c>
      <c r="K1559" s="12">
        <v>0</v>
      </c>
      <c r="L1559" s="12">
        <f>-(F1559*G1559*$U$3)/J1559</f>
        <v>-10.521931651285648</v>
      </c>
      <c r="M1559" s="11">
        <f>ABS(L1559/$U$6)</f>
        <v>3.0676185572261365E-2</v>
      </c>
      <c r="N1559" s="12">
        <f>L1559*SIN(RADIANS(K1559))</f>
        <v>0</v>
      </c>
      <c r="O1559" s="12">
        <f>L1559*COS(RADIANS(K1559))</f>
        <v>-10.521931651285648</v>
      </c>
      <c r="P1559" s="5">
        <v>5.0823057059329786</v>
      </c>
      <c r="Q1559" s="5">
        <v>1.0681245208883481</v>
      </c>
      <c r="R1559" s="6">
        <f>P1559/Q1559</f>
        <v>4.7581584417761311</v>
      </c>
    </row>
    <row r="1560" spans="1:18" x14ac:dyDescent="0.35">
      <c r="A1560" s="9">
        <v>1561</v>
      </c>
      <c r="B1560" s="5">
        <v>0.5</v>
      </c>
      <c r="C1560" s="5">
        <v>4000000</v>
      </c>
      <c r="D1560" s="5">
        <v>0</v>
      </c>
      <c r="E1560" s="5">
        <v>0</v>
      </c>
      <c r="F1560" s="5">
        <v>1.4999999999999999E-2</v>
      </c>
      <c r="G1560" s="12">
        <f>(C1560*$U$4)/($U$5*$U$3)</f>
        <v>58.775510204081627</v>
      </c>
      <c r="H1560" s="11">
        <f>G1560*COS(RADIANS(D1560))</f>
        <v>58.775510204081627</v>
      </c>
      <c r="I1560" s="11">
        <f>G1560*SIN(RADIANS(D1560))</f>
        <v>0</v>
      </c>
      <c r="J1560" s="12">
        <v>0.23230000000000001</v>
      </c>
      <c r="K1560" s="12">
        <v>0</v>
      </c>
      <c r="L1560" s="12">
        <f>-(F1560*G1560*$U$3)/J1560</f>
        <v>-3.7952331169230495</v>
      </c>
      <c r="M1560" s="11">
        <f>ABS(L1560/$U$6)</f>
        <v>1.1064819582866033E-2</v>
      </c>
      <c r="N1560" s="12">
        <f>L1560*SIN(RADIANS(K1560))</f>
        <v>0</v>
      </c>
      <c r="O1560" s="12">
        <f>L1560*COS(RADIANS(K1560))</f>
        <v>-3.7952331169230495</v>
      </c>
      <c r="P1560" s="5">
        <v>3.0792542895876869</v>
      </c>
      <c r="Q1560" s="5">
        <v>0.3745799598962456</v>
      </c>
      <c r="R1560" s="6">
        <f>P1560/Q1560</f>
        <v>8.2205526703580336</v>
      </c>
    </row>
    <row r="1561" spans="1:18" x14ac:dyDescent="0.35">
      <c r="A1561" s="9">
        <v>1562</v>
      </c>
      <c r="B1561" s="5">
        <v>0.25</v>
      </c>
      <c r="C1561" s="5">
        <v>4000000</v>
      </c>
      <c r="D1561" s="5">
        <v>15</v>
      </c>
      <c r="E1561" s="5">
        <v>0.25</v>
      </c>
      <c r="F1561" s="5">
        <v>0</v>
      </c>
      <c r="G1561" s="12">
        <f>(C1561*$U$4)/($U$5*$U$3)</f>
        <v>58.775510204081627</v>
      </c>
      <c r="H1561" s="11">
        <f>G1561*COS(RADIANS(D1561))</f>
        <v>56.772783259439109</v>
      </c>
      <c r="I1561" s="11">
        <f>G1561*SIN(RADIANS(D1561))</f>
        <v>15.212221426433871</v>
      </c>
      <c r="J1561" s="12">
        <v>0.1913</v>
      </c>
      <c r="K1561" s="11">
        <v>67</v>
      </c>
      <c r="L1561" s="12">
        <f>-(F1561*G1561*$U$3)/J1561</f>
        <v>0</v>
      </c>
      <c r="M1561" s="11">
        <f>ABS(L1561/$U$6)</f>
        <v>0</v>
      </c>
      <c r="N1561" s="12">
        <f>L1561*SIN(RADIANS(K1561))</f>
        <v>0</v>
      </c>
      <c r="O1561" s="12">
        <f>L1561*COS(RADIANS(K1561))</f>
        <v>0</v>
      </c>
      <c r="P1561" s="5">
        <v>2.5762594188346077</v>
      </c>
      <c r="Q1561" s="5">
        <v>0.73346505246247184</v>
      </c>
      <c r="R1561" s="6">
        <f>P1561/Q1561</f>
        <v>3.512450129948657</v>
      </c>
    </row>
    <row r="1562" spans="1:18" x14ac:dyDescent="0.35">
      <c r="A1562" s="9">
        <v>1563</v>
      </c>
      <c r="B1562" s="5">
        <v>1</v>
      </c>
      <c r="C1562" s="5">
        <v>2000000</v>
      </c>
      <c r="D1562" s="5">
        <v>10</v>
      </c>
      <c r="E1562" s="5">
        <v>0.25</v>
      </c>
      <c r="F1562" s="5">
        <v>3.5000000000000003E-2</v>
      </c>
      <c r="G1562" s="12">
        <f>(C1562*$U$4)/($U$5*$U$3)</f>
        <v>29.387755102040813</v>
      </c>
      <c r="H1562" s="11">
        <f>G1562*COS(RADIANS(D1562))</f>
        <v>28.941289068113864</v>
      </c>
      <c r="I1562" s="11">
        <f>G1562*SIN(RADIANS(D1562))</f>
        <v>5.1031301191914213</v>
      </c>
      <c r="J1562" s="13">
        <v>0.33379999999999999</v>
      </c>
      <c r="K1562" s="12">
        <v>30</v>
      </c>
      <c r="L1562" s="12">
        <f>-(F1562*G1562*$U$3)/J1562</f>
        <v>-3.0814003252589233</v>
      </c>
      <c r="M1562" s="11">
        <f>ABS(L1562/$U$6)</f>
        <v>8.983674417664499E-3</v>
      </c>
      <c r="N1562" s="12">
        <f>L1562*SIN(RADIANS(K1562))</f>
        <v>-1.5407001626294614</v>
      </c>
      <c r="O1562" s="12">
        <f>L1562*COS(RADIANS(K1562))</f>
        <v>-2.6685709609038599</v>
      </c>
      <c r="P1562" s="5">
        <v>3.7350293028988752</v>
      </c>
      <c r="Q1562" s="5">
        <v>0.65130104538796307</v>
      </c>
      <c r="R1562" s="6">
        <f>P1562/Q1562</f>
        <v>5.7347202639203738</v>
      </c>
    </row>
    <row r="1563" spans="1:18" x14ac:dyDescent="0.35">
      <c r="A1563" s="9">
        <v>1564</v>
      </c>
      <c r="B1563" s="5">
        <v>0.75</v>
      </c>
      <c r="C1563" s="5">
        <v>4000000</v>
      </c>
      <c r="D1563" s="5">
        <v>0</v>
      </c>
      <c r="E1563" s="5">
        <v>0</v>
      </c>
      <c r="F1563" s="5">
        <v>0.15</v>
      </c>
      <c r="G1563" s="12">
        <f>(C1563*$U$4)/($U$5*$U$3)</f>
        <v>58.775510204081627</v>
      </c>
      <c r="H1563" s="11">
        <f>G1563*COS(RADIANS(D1563))</f>
        <v>58.775510204081627</v>
      </c>
      <c r="I1563" s="11">
        <f>G1563*SIN(RADIANS(D1563))</f>
        <v>0</v>
      </c>
      <c r="J1563" s="11">
        <v>0.27929999999999999</v>
      </c>
      <c r="K1563" s="12">
        <v>0</v>
      </c>
      <c r="L1563" s="12">
        <f>-(F1563*G1563*$U$3)/J1563</f>
        <v>-31.565794953856944</v>
      </c>
      <c r="M1563" s="11">
        <f>ABS(L1563/$U$6)</f>
        <v>9.2028556716784088E-2</v>
      </c>
      <c r="N1563" s="12">
        <f>L1563*SIN(RADIANS(K1563))</f>
        <v>0</v>
      </c>
      <c r="O1563" s="12">
        <f>L1563*COS(RADIANS(K1563))</f>
        <v>-31.565794953856944</v>
      </c>
      <c r="P1563" s="5">
        <v>7.0432591512558638</v>
      </c>
      <c r="Q1563" s="5">
        <v>-0.15606140487427794</v>
      </c>
      <c r="R1563" s="6">
        <f>P1563/Q1563</f>
        <v>-45.131332483709649</v>
      </c>
    </row>
    <row r="1564" spans="1:18" x14ac:dyDescent="0.35">
      <c r="A1564" s="9">
        <v>1565</v>
      </c>
      <c r="B1564" s="5">
        <v>0.5</v>
      </c>
      <c r="C1564" s="5">
        <v>2000000</v>
      </c>
      <c r="D1564" s="5">
        <v>10</v>
      </c>
      <c r="E1564" s="5">
        <v>0.375</v>
      </c>
      <c r="F1564" s="5">
        <v>0.1</v>
      </c>
      <c r="G1564" s="12">
        <f>(C1564*$U$4)/($U$5*$U$3)</f>
        <v>29.387755102040813</v>
      </c>
      <c r="H1564" s="11">
        <f>G1564*COS(RADIANS(D1564))</f>
        <v>28.941289068113864</v>
      </c>
      <c r="I1564" s="11">
        <f>G1564*SIN(RADIANS(D1564))</f>
        <v>5.1031301191914213</v>
      </c>
      <c r="J1564" s="12">
        <v>0.24809999999999999</v>
      </c>
      <c r="K1564" s="12">
        <v>67</v>
      </c>
      <c r="L1564" s="12">
        <f>-(F1564*G1564*$U$3)/J1564</f>
        <v>-11.845124990745996</v>
      </c>
      <c r="M1564" s="11">
        <f>ABS(L1564/$U$6)</f>
        <v>3.4533892101300277E-2</v>
      </c>
      <c r="N1564" s="12">
        <f>L1564*SIN(RADIANS(K1564))</f>
        <v>-10.903495043732482</v>
      </c>
      <c r="O1564" s="12">
        <f>L1564*COS(RADIANS(K1564))</f>
        <v>-4.6282590547306803</v>
      </c>
      <c r="P1564" s="5">
        <v>4.1873936419108491</v>
      </c>
      <c r="Q1564" s="5">
        <v>9.0866881940843955E-2</v>
      </c>
      <c r="R1564" s="6">
        <f>P1564/Q1564</f>
        <v>46.082726208619341</v>
      </c>
    </row>
    <row r="1565" spans="1:18" x14ac:dyDescent="0.35">
      <c r="A1565" s="9">
        <v>2090</v>
      </c>
      <c r="B1565" s="5">
        <v>1</v>
      </c>
      <c r="C1565" s="5">
        <v>6000000</v>
      </c>
      <c r="D1565" s="5">
        <v>5</v>
      </c>
      <c r="E1565" s="5">
        <v>0.375</v>
      </c>
      <c r="F1565" s="5">
        <v>0.15</v>
      </c>
      <c r="G1565" s="12">
        <f>(C1565*$U$4)/($U$5*$U$3)</f>
        <v>88.16326530612244</v>
      </c>
      <c r="H1565" s="11">
        <f>G1565*COS(RADIANS(D1565))</f>
        <v>87.827777464415107</v>
      </c>
      <c r="I1565" s="11">
        <f>G1565*SIN(RADIANS(D1565))</f>
        <v>7.6839348708139434</v>
      </c>
      <c r="J1565" s="12">
        <v>0.33379999999999999</v>
      </c>
      <c r="K1565" s="20">
        <v>49</v>
      </c>
      <c r="L1565" s="12">
        <f>-(F1565*G1565*$U$3)/J1565</f>
        <v>-39.618004181900439</v>
      </c>
      <c r="M1565" s="11">
        <f>ABS(L1565/$U$6)</f>
        <v>0.11550438536997212</v>
      </c>
      <c r="N1565" s="12">
        <f>L1565*SIN(RADIANS(K1565))</f>
        <v>-29.900087305386105</v>
      </c>
      <c r="O1565" s="12">
        <f>L1565*COS(RADIANS(K1565))</f>
        <v>-25.99174935411946</v>
      </c>
      <c r="P1565" s="5">
        <v>7.9001059049901459</v>
      </c>
      <c r="Q1565" s="5">
        <v>-0.86852935086809979</v>
      </c>
      <c r="R1565" s="6">
        <f>P1565/Q1565</f>
        <v>-9.0959573180733013</v>
      </c>
    </row>
    <row r="1566" spans="1:18" x14ac:dyDescent="0.35">
      <c r="A1566" s="9">
        <v>1567</v>
      </c>
      <c r="B1566" s="5">
        <v>0.5</v>
      </c>
      <c r="C1566" s="5">
        <v>2000000</v>
      </c>
      <c r="D1566" s="5">
        <v>30</v>
      </c>
      <c r="E1566" s="5">
        <v>0.25</v>
      </c>
      <c r="F1566" s="5">
        <v>2.5000000000000001E-2</v>
      </c>
      <c r="G1566" s="12">
        <f>(C1566*$U$4)/($U$5*$U$3)</f>
        <v>29.387755102040813</v>
      </c>
      <c r="H1566" s="11">
        <f>G1566*COS(RADIANS(D1566))</f>
        <v>25.450542478563094</v>
      </c>
      <c r="I1566" s="11">
        <f>G1566*SIN(RADIANS(D1566))</f>
        <v>14.693877551020405</v>
      </c>
      <c r="J1566" s="11">
        <v>0.23580000000000001</v>
      </c>
      <c r="K1566" s="11">
        <v>49</v>
      </c>
      <c r="L1566" s="12">
        <f>-(F1566*G1566*$U$3)/J1566</f>
        <v>-3.115750116840629</v>
      </c>
      <c r="M1566" s="11">
        <f>ABS(L1566/$U$6)</f>
        <v>9.083819582625741E-3</v>
      </c>
      <c r="N1566" s="12">
        <f>L1566*SIN(RADIANS(K1566))</f>
        <v>-2.3514864627598437</v>
      </c>
      <c r="O1566" s="12">
        <f>L1566*COS(RADIANS(K1566))</f>
        <v>-2.0441159962315227</v>
      </c>
      <c r="P1566" s="5">
        <v>2.8002733446465808</v>
      </c>
      <c r="Q1566" s="5">
        <v>1.1197072955458032</v>
      </c>
      <c r="R1566" s="6">
        <f>P1566/Q1566</f>
        <v>2.5008976504717539</v>
      </c>
    </row>
    <row r="1567" spans="1:18" x14ac:dyDescent="0.35">
      <c r="A1567" s="9">
        <v>1568</v>
      </c>
      <c r="B1567" s="5">
        <v>1</v>
      </c>
      <c r="C1567" s="5">
        <v>4000000</v>
      </c>
      <c r="D1567" s="5">
        <v>0</v>
      </c>
      <c r="E1567" s="5">
        <v>0.25</v>
      </c>
      <c r="F1567" s="5">
        <v>0.05</v>
      </c>
      <c r="G1567" s="12">
        <f>(C1567*$U$4)/($U$5*$U$3)</f>
        <v>58.775510204081627</v>
      </c>
      <c r="H1567" s="11">
        <f>G1567*COS(RADIANS(D1567))</f>
        <v>58.775510204081627</v>
      </c>
      <c r="I1567" s="11">
        <f>G1567*SIN(RADIANS(D1567))</f>
        <v>0</v>
      </c>
      <c r="J1567" s="13">
        <v>0.33379999999999999</v>
      </c>
      <c r="K1567" s="12">
        <v>30</v>
      </c>
      <c r="L1567" s="12">
        <f>-(F1567*G1567*$U$3)/J1567</f>
        <v>-8.8040009293112096</v>
      </c>
      <c r="M1567" s="11">
        <f>ABS(L1567/$U$6)</f>
        <v>2.566764119332714E-2</v>
      </c>
      <c r="N1567" s="12">
        <f>L1567*SIN(RADIANS(K1567))</f>
        <v>-4.4020004646556039</v>
      </c>
      <c r="O1567" s="12">
        <f>L1567*COS(RADIANS(K1567))</f>
        <v>-7.6244884597253142</v>
      </c>
      <c r="P1567" s="5">
        <v>3.5681090314448243</v>
      </c>
      <c r="Q1567" s="5">
        <v>0.50480245322551753</v>
      </c>
      <c r="R1567" s="6">
        <f>P1567/Q1567</f>
        <v>7.0683274390720774</v>
      </c>
    </row>
    <row r="1568" spans="1:18" x14ac:dyDescent="0.35">
      <c r="A1568" s="9">
        <v>1569</v>
      </c>
      <c r="B1568" s="5">
        <v>0.75</v>
      </c>
      <c r="C1568" s="5">
        <v>4000000</v>
      </c>
      <c r="D1568" s="5">
        <v>0</v>
      </c>
      <c r="E1568" s="5">
        <v>0.375</v>
      </c>
      <c r="F1568" s="5">
        <v>3.5000000000000003E-2</v>
      </c>
      <c r="G1568" s="12">
        <f>(C1568*$U$4)/($U$5*$U$3)</f>
        <v>58.775510204081627</v>
      </c>
      <c r="H1568" s="11">
        <f>G1568*COS(RADIANS(D1568))</f>
        <v>58.775510204081627</v>
      </c>
      <c r="I1568" s="11">
        <f>G1568*SIN(RADIANS(D1568))</f>
        <v>0</v>
      </c>
      <c r="J1568" s="11">
        <v>0.29299999999999998</v>
      </c>
      <c r="K1568" s="12">
        <v>57</v>
      </c>
      <c r="L1568" s="12">
        <f>-(F1568*G1568*$U$3)/J1568</f>
        <v>-7.0209653827401262</v>
      </c>
      <c r="M1568" s="11">
        <f>ABS(L1568/$U$6)</f>
        <v>2.0469286830146139E-2</v>
      </c>
      <c r="N1568" s="12">
        <f>L1568*SIN(RADIANS(K1568))</f>
        <v>-5.8882770250678229</v>
      </c>
      <c r="O1568" s="12">
        <f>L1568*COS(RADIANS(K1568))</f>
        <v>-3.8238918109294926</v>
      </c>
      <c r="P1568" s="5">
        <v>3.5874666341015078</v>
      </c>
      <c r="Q1568" s="5">
        <v>-0.23386629616916829</v>
      </c>
      <c r="R1568" s="6">
        <f>P1568/Q1568</f>
        <v>-15.339818917329143</v>
      </c>
    </row>
    <row r="1569" spans="1:18" x14ac:dyDescent="0.35">
      <c r="A1569" s="9">
        <v>1570</v>
      </c>
      <c r="B1569" s="5">
        <v>0.5</v>
      </c>
      <c r="C1569" s="5">
        <v>6000000</v>
      </c>
      <c r="D1569" s="5">
        <v>5</v>
      </c>
      <c r="E1569" s="5">
        <v>0.25</v>
      </c>
      <c r="F1569" s="5">
        <v>0</v>
      </c>
      <c r="G1569" s="12">
        <f>(C1569*$U$4)/($U$5*$U$3)</f>
        <v>88.16326530612244</v>
      </c>
      <c r="H1569" s="11">
        <f>G1569*COS(RADIANS(D1569))</f>
        <v>87.827777464415107</v>
      </c>
      <c r="I1569" s="11">
        <f>G1569*SIN(RADIANS(D1569))</f>
        <v>7.6839348708139434</v>
      </c>
      <c r="J1569" s="11">
        <v>0.23580000000000001</v>
      </c>
      <c r="K1569" s="11">
        <v>49</v>
      </c>
      <c r="L1569" s="12">
        <f>-(F1569*G1569*$U$3)/J1569</f>
        <v>0</v>
      </c>
      <c r="M1569" s="11">
        <f>ABS(L1569/$U$6)</f>
        <v>0</v>
      </c>
      <c r="N1569" s="12">
        <f>L1569*SIN(RADIANS(K1569))</f>
        <v>0</v>
      </c>
      <c r="O1569" s="12">
        <f>L1569*COS(RADIANS(K1569))</f>
        <v>0</v>
      </c>
      <c r="P1569" s="5">
        <v>4.3082691219907217</v>
      </c>
      <c r="Q1569" s="5">
        <v>0.61514539235790588</v>
      </c>
      <c r="R1569" s="6">
        <f>P1569/Q1569</f>
        <v>7.0036599079068944</v>
      </c>
    </row>
    <row r="1570" spans="1:18" x14ac:dyDescent="0.35">
      <c r="A1570" s="9">
        <v>1571</v>
      </c>
      <c r="B1570" s="5">
        <v>0.75</v>
      </c>
      <c r="C1570" s="5">
        <v>2000000</v>
      </c>
      <c r="D1570" s="5">
        <v>30</v>
      </c>
      <c r="E1570" s="5">
        <v>0.125</v>
      </c>
      <c r="F1570" s="5">
        <v>0.1</v>
      </c>
      <c r="G1570" s="12">
        <f>(C1570*$U$4)/($U$5*$U$3)</f>
        <v>29.387755102040813</v>
      </c>
      <c r="H1570" s="11">
        <f>G1570*COS(RADIANS(D1570))</f>
        <v>25.450542478563094</v>
      </c>
      <c r="I1570" s="11">
        <f>G1570*SIN(RADIANS(D1570))</f>
        <v>14.693877551020405</v>
      </c>
      <c r="J1570" s="12">
        <v>0.2802</v>
      </c>
      <c r="K1570" s="12">
        <v>19</v>
      </c>
      <c r="L1570" s="12">
        <f>-(F1570*G1570*$U$3)/J1570</f>
        <v>-10.488135296945329</v>
      </c>
      <c r="M1570" s="11">
        <f>ABS(L1570/$U$6)</f>
        <v>3.0577653926954312E-2</v>
      </c>
      <c r="N1570" s="12">
        <f>L1570*SIN(RADIANS(K1570))</f>
        <v>-3.414602852323454</v>
      </c>
      <c r="O1570" s="12">
        <f>L1570*COS(RADIANS(K1570))</f>
        <v>-9.9167267466606646</v>
      </c>
      <c r="P1570" s="5">
        <v>3.0709257466087765</v>
      </c>
      <c r="Q1570" s="5">
        <v>1.1903056479967802</v>
      </c>
      <c r="R1570" s="6">
        <f>P1570/Q1570</f>
        <v>2.5799472192516082</v>
      </c>
    </row>
    <row r="1571" spans="1:18" x14ac:dyDescent="0.35">
      <c r="A1571" s="9">
        <v>1572</v>
      </c>
      <c r="B1571" s="5">
        <v>0.25</v>
      </c>
      <c r="C1571" s="5">
        <v>2000000</v>
      </c>
      <c r="D1571" s="5">
        <v>5</v>
      </c>
      <c r="E1571" s="5">
        <v>0</v>
      </c>
      <c r="F1571" s="5">
        <v>7.4999999999999997E-2</v>
      </c>
      <c r="G1571" s="12">
        <f>(C1571*$U$4)/($U$5*$U$3)</f>
        <v>29.387755102040813</v>
      </c>
      <c r="H1571" s="11">
        <f>G1571*COS(RADIANS(D1571))</f>
        <v>29.275925821471702</v>
      </c>
      <c r="I1571" s="11">
        <f>G1571*SIN(RADIANS(D1571))</f>
        <v>2.5613116236046478</v>
      </c>
      <c r="J1571" s="12">
        <v>0.18990000000000001</v>
      </c>
      <c r="K1571" s="12">
        <v>0</v>
      </c>
      <c r="L1571" s="12">
        <f>-(F1571*G1571*$U$3)/J1571</f>
        <v>-11.606538349937129</v>
      </c>
      <c r="M1571" s="11">
        <f>ABS(L1571/$U$6)</f>
        <v>3.3838304227221949E-2</v>
      </c>
      <c r="N1571" s="12">
        <f>L1571*SIN(RADIANS(K1571))</f>
        <v>0</v>
      </c>
      <c r="O1571" s="12">
        <f>L1571*COS(RADIANS(K1571))</f>
        <v>-11.606538349937129</v>
      </c>
      <c r="P1571" s="5">
        <v>2.3419334504394169</v>
      </c>
      <c r="Q1571" s="5">
        <v>0.24567042118222118</v>
      </c>
      <c r="R1571" s="6">
        <f>P1571/Q1571</f>
        <v>9.532826292923291</v>
      </c>
    </row>
    <row r="1572" spans="1:18" x14ac:dyDescent="0.35">
      <c r="A1572" s="9">
        <v>1573</v>
      </c>
      <c r="B1572" s="5">
        <v>1</v>
      </c>
      <c r="C1572" s="5">
        <v>4000000</v>
      </c>
      <c r="D1572" s="5">
        <v>30</v>
      </c>
      <c r="E1572" s="5">
        <v>0.125</v>
      </c>
      <c r="F1572" s="5">
        <v>0</v>
      </c>
      <c r="G1572" s="12">
        <f>(C1572*$U$4)/($U$5*$U$3)</f>
        <v>58.775510204081627</v>
      </c>
      <c r="H1572" s="11">
        <f>G1572*COS(RADIANS(D1572))</f>
        <v>50.901084957126187</v>
      </c>
      <c r="I1572" s="11">
        <f>G1572*SIN(RADIANS(D1572))</f>
        <v>29.38775510204081</v>
      </c>
      <c r="J1572" s="11">
        <v>0.33379999999999999</v>
      </c>
      <c r="K1572" s="12">
        <v>14</v>
      </c>
      <c r="L1572" s="12">
        <f>-(F1572*G1572*$U$3)/J1572</f>
        <v>0</v>
      </c>
      <c r="M1572" s="11">
        <f>ABS(L1572/$U$6)</f>
        <v>0</v>
      </c>
      <c r="N1572" s="12">
        <f>L1572*SIN(RADIANS(K1572))</f>
        <v>0</v>
      </c>
      <c r="O1572" s="12">
        <f>L1572*COS(RADIANS(K1572))</f>
        <v>0</v>
      </c>
      <c r="P1572" s="5">
        <v>5.3236431079158644</v>
      </c>
      <c r="Q1572" s="5">
        <v>3.0255507805421535</v>
      </c>
      <c r="R1572" s="6">
        <f>P1572/Q1572</f>
        <v>1.7595616448261733</v>
      </c>
    </row>
    <row r="1573" spans="1:18" x14ac:dyDescent="0.35">
      <c r="A1573" s="9">
        <v>1574</v>
      </c>
      <c r="B1573" s="5">
        <v>0.75</v>
      </c>
      <c r="C1573" s="5">
        <v>2000000</v>
      </c>
      <c r="D1573" s="5">
        <v>10</v>
      </c>
      <c r="E1573" s="5">
        <v>0.375</v>
      </c>
      <c r="F1573" s="5">
        <v>1.4999999999999999E-2</v>
      </c>
      <c r="G1573" s="12">
        <f>(C1573*$U$4)/($U$5*$U$3)</f>
        <v>29.387755102040813</v>
      </c>
      <c r="H1573" s="11">
        <f>G1573*COS(RADIANS(D1573))</f>
        <v>28.941289068113864</v>
      </c>
      <c r="I1573" s="11">
        <f>G1573*SIN(RADIANS(D1573))</f>
        <v>5.1031301191914213</v>
      </c>
      <c r="J1573" s="11">
        <v>0.29299999999999998</v>
      </c>
      <c r="K1573" s="12">
        <v>57</v>
      </c>
      <c r="L1573" s="12">
        <f>-(F1573*G1573*$U$3)/J1573</f>
        <v>-1.5044925820157413</v>
      </c>
      <c r="M1573" s="11">
        <f>ABS(L1573/$U$6)</f>
        <v>4.3862757493170297E-3</v>
      </c>
      <c r="N1573" s="12">
        <f>L1573*SIN(RADIANS(K1573))</f>
        <v>-1.2617736482288193</v>
      </c>
      <c r="O1573" s="12">
        <f>L1573*COS(RADIANS(K1573))</f>
        <v>-0.81940538805631979</v>
      </c>
      <c r="P1573" s="5">
        <v>4.4579506522232846</v>
      </c>
      <c r="Q1573" s="5">
        <v>8.6604688964671245E-2</v>
      </c>
      <c r="R1573" s="6">
        <f>P1573/Q1573</f>
        <v>51.47470310807099</v>
      </c>
    </row>
    <row r="1574" spans="1:18" x14ac:dyDescent="0.35">
      <c r="A1574" s="9">
        <v>1575</v>
      </c>
      <c r="B1574" s="5">
        <v>1</v>
      </c>
      <c r="C1574" s="5">
        <v>6000000</v>
      </c>
      <c r="D1574" s="5">
        <v>15</v>
      </c>
      <c r="E1574" s="5">
        <v>0.375</v>
      </c>
      <c r="F1574" s="5">
        <v>0.1</v>
      </c>
      <c r="G1574" s="12">
        <f>(C1574*$U$4)/($U$5*$U$3)</f>
        <v>88.16326530612244</v>
      </c>
      <c r="H1574" s="11">
        <f>G1574*COS(RADIANS(D1574))</f>
        <v>85.159174889158663</v>
      </c>
      <c r="I1574" s="11">
        <f>G1574*SIN(RADIANS(D1574))</f>
        <v>22.818332139650806</v>
      </c>
      <c r="J1574" s="12">
        <v>0.33379999999999999</v>
      </c>
      <c r="K1574" s="11">
        <v>49</v>
      </c>
      <c r="L1574" s="12">
        <f>-(F1574*G1574*$U$3)/J1574</f>
        <v>-26.412002787933627</v>
      </c>
      <c r="M1574" s="11">
        <f>ABS(L1574/$U$6)</f>
        <v>7.7002923579981425E-2</v>
      </c>
      <c r="N1574" s="12">
        <f>L1574*SIN(RADIANS(K1574))</f>
        <v>-19.933391536924074</v>
      </c>
      <c r="O1574" s="12">
        <f>L1574*COS(RADIANS(K1574))</f>
        <v>-17.327832902746305</v>
      </c>
      <c r="P1574" s="5">
        <v>6.8045744995166038</v>
      </c>
      <c r="Q1574" s="5">
        <v>0.23721303618276818</v>
      </c>
      <c r="R1574" s="6">
        <f>P1574/Q1574</f>
        <v>28.685499789622892</v>
      </c>
    </row>
    <row r="1575" spans="1:18" x14ac:dyDescent="0.35">
      <c r="A1575" s="9">
        <v>1576</v>
      </c>
      <c r="B1575" s="5">
        <v>0.1</v>
      </c>
      <c r="C1575" s="5">
        <v>4000000</v>
      </c>
      <c r="D1575" s="5">
        <v>15</v>
      </c>
      <c r="E1575" s="5">
        <v>0</v>
      </c>
      <c r="F1575" s="5">
        <v>0.05</v>
      </c>
      <c r="G1575" s="12">
        <f>(C1575*$U$4)/($U$5*$U$3)</f>
        <v>58.775510204081627</v>
      </c>
      <c r="H1575" s="11">
        <f>G1575*COS(RADIANS(D1575))</f>
        <v>56.772783259439109</v>
      </c>
      <c r="I1575" s="11">
        <f>G1575*SIN(RADIANS(D1575))</f>
        <v>15.212221426433871</v>
      </c>
      <c r="J1575" s="11">
        <v>0.16569999999999999</v>
      </c>
      <c r="K1575" s="12">
        <v>0</v>
      </c>
      <c r="L1575" s="12">
        <f>-(F1575*G1575*$U$3)/J1575</f>
        <v>-17.735519071841168</v>
      </c>
      <c r="M1575" s="11">
        <f>ABS(L1575/$U$6)</f>
        <v>5.1707052687583577E-2</v>
      </c>
      <c r="N1575" s="12">
        <f>L1575*SIN(RADIANS(K1575))</f>
        <v>0</v>
      </c>
      <c r="O1575" s="12">
        <f>L1575*COS(RADIANS(K1575))</f>
        <v>-17.735519071841168</v>
      </c>
      <c r="P1575" s="5">
        <v>1.5113891945186</v>
      </c>
      <c r="Q1575" s="5">
        <v>0.54345841201381151</v>
      </c>
      <c r="R1575" s="6">
        <f>P1575/Q1575</f>
        <v>2.7810576874099233</v>
      </c>
    </row>
    <row r="1576" spans="1:18" x14ac:dyDescent="0.35">
      <c r="A1576" s="9">
        <v>1577</v>
      </c>
      <c r="B1576" s="5">
        <v>0.25</v>
      </c>
      <c r="C1576" s="5">
        <v>2000000</v>
      </c>
      <c r="D1576" s="5">
        <v>0</v>
      </c>
      <c r="E1576" s="5">
        <v>0.125</v>
      </c>
      <c r="F1576" s="5">
        <v>0.05</v>
      </c>
      <c r="G1576" s="12">
        <f>(C1576*$U$4)/($U$5*$U$3)</f>
        <v>29.387755102040813</v>
      </c>
      <c r="H1576" s="11">
        <f>G1576*COS(RADIANS(D1576))</f>
        <v>29.387755102040813</v>
      </c>
      <c r="I1576" s="11">
        <f>G1576*SIN(RADIANS(D1576))</f>
        <v>0</v>
      </c>
      <c r="J1576" s="11">
        <v>0.19020000000000001</v>
      </c>
      <c r="K1576" s="12">
        <v>46</v>
      </c>
      <c r="L1576" s="12">
        <f>-(F1576*G1576*$U$3)/J1576</f>
        <v>-7.7254876714092564</v>
      </c>
      <c r="M1576" s="11">
        <f>ABS(L1576/$U$6)</f>
        <v>2.2523287671747102E-2</v>
      </c>
      <c r="N1576" s="12">
        <f>L1576*SIN(RADIANS(K1576))</f>
        <v>-5.5572507590702447</v>
      </c>
      <c r="O1576" s="12">
        <f>L1576*COS(RADIANS(K1576))</f>
        <v>-5.3665746768222276</v>
      </c>
      <c r="P1576" s="5">
        <v>2.1425133870497888</v>
      </c>
      <c r="Q1576" s="5">
        <v>0.17912066452812614</v>
      </c>
      <c r="R1576" s="6">
        <f>P1576/Q1576</f>
        <v>11.96128538655217</v>
      </c>
    </row>
    <row r="1577" spans="1:18" x14ac:dyDescent="0.35">
      <c r="A1577" s="9">
        <v>1578</v>
      </c>
      <c r="B1577" s="5">
        <v>0.75</v>
      </c>
      <c r="C1577" s="5">
        <v>4000000</v>
      </c>
      <c r="D1577" s="5">
        <v>10</v>
      </c>
      <c r="E1577" s="5">
        <v>0.375</v>
      </c>
      <c r="F1577" s="5">
        <v>0.05</v>
      </c>
      <c r="G1577" s="12">
        <f>(C1577*$U$4)/($U$5*$U$3)</f>
        <v>58.775510204081627</v>
      </c>
      <c r="H1577" s="11">
        <f>G1577*COS(RADIANS(D1577))</f>
        <v>57.882578136227728</v>
      </c>
      <c r="I1577" s="11">
        <f>G1577*SIN(RADIANS(D1577))</f>
        <v>10.206260238382843</v>
      </c>
      <c r="J1577" s="11">
        <v>0.29299999999999998</v>
      </c>
      <c r="K1577" s="12">
        <v>57</v>
      </c>
      <c r="L1577" s="12">
        <f>-(F1577*G1577*$U$3)/J1577</f>
        <v>-10.029950546771609</v>
      </c>
      <c r="M1577" s="11">
        <f>ABS(L1577/$U$6)</f>
        <v>2.92418383287802E-2</v>
      </c>
      <c r="N1577" s="12">
        <f>L1577*SIN(RADIANS(K1577))</f>
        <v>-8.4118243215254616</v>
      </c>
      <c r="O1577" s="12">
        <f>L1577*COS(RADIANS(K1577))</f>
        <v>-5.4627025870421324</v>
      </c>
      <c r="P1577" s="5">
        <v>4.8740478207578439</v>
      </c>
      <c r="Q1577" s="5">
        <v>1.3607014842627194E-2</v>
      </c>
      <c r="R1577" s="6">
        <f>P1577/Q1577</f>
        <v>358.20111002515671</v>
      </c>
    </row>
    <row r="1578" spans="1:18" x14ac:dyDescent="0.35">
      <c r="A1578" s="9">
        <v>1579</v>
      </c>
      <c r="B1578" s="5">
        <v>0.25</v>
      </c>
      <c r="C1578" s="5">
        <v>4000000</v>
      </c>
      <c r="D1578" s="5">
        <v>30</v>
      </c>
      <c r="E1578" s="5">
        <v>0.375</v>
      </c>
      <c r="F1578" s="5">
        <v>0.05</v>
      </c>
      <c r="G1578" s="12">
        <f>(C1578*$U$4)/($U$5*$U$3)</f>
        <v>58.775510204081627</v>
      </c>
      <c r="H1578" s="11">
        <f>G1578*COS(RADIANS(D1578))</f>
        <v>50.901084957126187</v>
      </c>
      <c r="I1578" s="11">
        <f>G1578*SIN(RADIANS(D1578))</f>
        <v>29.38775510204081</v>
      </c>
      <c r="J1578" s="11">
        <v>0.1976</v>
      </c>
      <c r="K1578" s="12">
        <v>78</v>
      </c>
      <c r="L1578" s="12">
        <f>-(F1578*G1578*$U$3)/J1578</f>
        <v>-14.872345699413367</v>
      </c>
      <c r="M1578" s="11">
        <f>ABS(L1578/$U$6)</f>
        <v>4.3359608453100197E-2</v>
      </c>
      <c r="N1578" s="12">
        <f>L1578*SIN(RADIANS(K1578))</f>
        <v>-14.547349263164916</v>
      </c>
      <c r="O1578" s="12">
        <f>L1578*COS(RADIANS(K1578))</f>
        <v>-3.0921345407912666</v>
      </c>
      <c r="P1578" s="5">
        <v>2.6903047967148797</v>
      </c>
      <c r="Q1578" s="5">
        <v>0.96156129518181421</v>
      </c>
      <c r="R1578" s="6">
        <f>P1578/Q1578</f>
        <v>2.7978505480570437</v>
      </c>
    </row>
    <row r="1579" spans="1:18" x14ac:dyDescent="0.35">
      <c r="A1579" s="9">
        <v>1580</v>
      </c>
      <c r="B1579" s="5">
        <v>0.25</v>
      </c>
      <c r="C1579" s="5">
        <v>4000000</v>
      </c>
      <c r="D1579" s="5">
        <v>20</v>
      </c>
      <c r="E1579" s="5">
        <v>0.375</v>
      </c>
      <c r="F1579" s="5">
        <v>0.1</v>
      </c>
      <c r="G1579" s="12">
        <f>(C1579*$U$4)/($U$5*$U$3)</f>
        <v>58.775510204081627</v>
      </c>
      <c r="H1579" s="11">
        <f>G1579*COS(RADIANS(D1579))</f>
        <v>55.230913221702366</v>
      </c>
      <c r="I1579" s="11">
        <f>G1579*SIN(RADIANS(D1579))</f>
        <v>20.102408424039304</v>
      </c>
      <c r="J1579" s="11">
        <v>0.1976</v>
      </c>
      <c r="K1579" s="12">
        <v>78</v>
      </c>
      <c r="L1579" s="12">
        <f>-(F1579*G1579*$U$3)/J1579</f>
        <v>-29.744691398826735</v>
      </c>
      <c r="M1579" s="11">
        <f>ABS(L1579/$U$6)</f>
        <v>8.6719216906200394E-2</v>
      </c>
      <c r="N1579" s="12">
        <f>L1579*SIN(RADIANS(K1579))</f>
        <v>-29.094698526329832</v>
      </c>
      <c r="O1579" s="12">
        <f>L1579*COS(RADIANS(K1579))</f>
        <v>-6.1842690815825332</v>
      </c>
      <c r="P1579" s="5">
        <v>2.8001527855885335</v>
      </c>
      <c r="Q1579" s="5">
        <v>0.61856349515859832</v>
      </c>
      <c r="R1579" s="6">
        <f>P1579/Q1579</f>
        <v>4.5268639476866968</v>
      </c>
    </row>
    <row r="1580" spans="1:18" x14ac:dyDescent="0.35">
      <c r="A1580" s="9">
        <v>1581</v>
      </c>
      <c r="B1580" s="5">
        <v>0.5</v>
      </c>
      <c r="C1580" s="5">
        <v>6000000</v>
      </c>
      <c r="D1580" s="5">
        <v>30</v>
      </c>
      <c r="E1580" s="5">
        <v>0.125</v>
      </c>
      <c r="F1580" s="5">
        <v>2.5000000000000001E-2</v>
      </c>
      <c r="G1580" s="12">
        <f>(C1580*$U$4)/($U$5*$U$3)</f>
        <v>88.16326530612244</v>
      </c>
      <c r="H1580" s="11">
        <f>G1580*COS(RADIANS(D1580))</f>
        <v>76.351627435689281</v>
      </c>
      <c r="I1580" s="11">
        <f>G1580*SIN(RADIANS(D1580))</f>
        <v>44.081632653061213</v>
      </c>
      <c r="J1580" s="12">
        <v>0.23300000000000001</v>
      </c>
      <c r="K1580" s="11">
        <v>27</v>
      </c>
      <c r="L1580" s="12">
        <f>-(F1580*G1580*$U$3)/J1580</f>
        <v>-9.4595778225453255</v>
      </c>
      <c r="M1580" s="11">
        <f>ABS(L1580/$U$6)</f>
        <v>2.7578944089053429E-2</v>
      </c>
      <c r="N1580" s="12">
        <f>L1580*SIN(RADIANS(K1580))</f>
        <v>-4.2945584629824856</v>
      </c>
      <c r="O1580" s="12">
        <f>L1580*COS(RADIANS(K1580))</f>
        <v>-8.4285455559554805</v>
      </c>
      <c r="P1580" s="5">
        <v>3.3544683465828116</v>
      </c>
      <c r="Q1580" s="5">
        <v>1.2708577499323503</v>
      </c>
      <c r="R1580" s="6">
        <f>P1580/Q1580</f>
        <v>2.6395309362998138</v>
      </c>
    </row>
    <row r="1581" spans="1:18" x14ac:dyDescent="0.35">
      <c r="A1581" s="9">
        <v>1582</v>
      </c>
      <c r="B1581" s="5">
        <v>0.25</v>
      </c>
      <c r="C1581" s="5">
        <v>4000000</v>
      </c>
      <c r="D1581" s="5">
        <v>10</v>
      </c>
      <c r="E1581" s="5">
        <v>0.125</v>
      </c>
      <c r="F1581" s="5">
        <v>0</v>
      </c>
      <c r="G1581" s="12">
        <f>(C1581*$U$4)/($U$5*$U$3)</f>
        <v>58.775510204081627</v>
      </c>
      <c r="H1581" s="11">
        <f>G1581*COS(RADIANS(D1581))</f>
        <v>57.882578136227728</v>
      </c>
      <c r="I1581" s="11">
        <f>G1581*SIN(RADIANS(D1581))</f>
        <v>10.206260238382843</v>
      </c>
      <c r="J1581" s="11">
        <v>0.19020000000000001</v>
      </c>
      <c r="K1581" s="12">
        <v>46</v>
      </c>
      <c r="L1581" s="12">
        <f>-(F1581*G1581*$U$3)/J1581</f>
        <v>0</v>
      </c>
      <c r="M1581" s="11">
        <f>ABS(L1581/$U$6)</f>
        <v>0</v>
      </c>
      <c r="N1581" s="12">
        <f>L1581*SIN(RADIANS(K1581))</f>
        <v>0</v>
      </c>
      <c r="O1581" s="12">
        <f>L1581*COS(RADIANS(K1581))</f>
        <v>0</v>
      </c>
      <c r="P1581" s="5">
        <v>2.3965819641117343</v>
      </c>
      <c r="Q1581" s="5">
        <v>0.55353620953427418</v>
      </c>
      <c r="R1581" s="6">
        <f>P1581/Q1581</f>
        <v>4.32958480914579</v>
      </c>
    </row>
    <row r="1582" spans="1:18" x14ac:dyDescent="0.35">
      <c r="A1582" s="9">
        <v>2119</v>
      </c>
      <c r="B1582" s="5">
        <v>1</v>
      </c>
      <c r="C1582" s="5">
        <v>6000000</v>
      </c>
      <c r="D1582" s="5">
        <v>15</v>
      </c>
      <c r="E1582" s="5">
        <v>0.25</v>
      </c>
      <c r="F1582" s="5">
        <v>0.15</v>
      </c>
      <c r="G1582" s="12">
        <f>(C1582*$U$4)/($U$5*$U$3)</f>
        <v>88.16326530612244</v>
      </c>
      <c r="H1582" s="11">
        <f>G1582*COS(RADIANS(D1582))</f>
        <v>85.159174889158663</v>
      </c>
      <c r="I1582" s="11">
        <f>G1582*SIN(RADIANS(D1582))</f>
        <v>22.818332139650806</v>
      </c>
      <c r="J1582" s="21">
        <v>0.33379999999999999</v>
      </c>
      <c r="K1582" s="12">
        <v>30</v>
      </c>
      <c r="L1582" s="12">
        <f>-(F1582*G1582*$U$3)/J1582</f>
        <v>-39.618004181900439</v>
      </c>
      <c r="M1582" s="11">
        <f>ABS(L1582/$U$6)</f>
        <v>0.11550438536997212</v>
      </c>
      <c r="N1582" s="12">
        <f>L1582*SIN(RADIANS(K1582))</f>
        <v>-19.809002090950216</v>
      </c>
      <c r="O1582" s="12">
        <f>L1582*COS(RADIANS(K1582))</f>
        <v>-34.31019806876391</v>
      </c>
      <c r="P1582" s="5">
        <v>5.4177438232674602</v>
      </c>
      <c r="Q1582" s="5">
        <v>0.2791882648984087</v>
      </c>
      <c r="R1582" s="6">
        <f>P1582/Q1582</f>
        <v>19.405342216797237</v>
      </c>
    </row>
    <row r="1583" spans="1:18" x14ac:dyDescent="0.35">
      <c r="A1583" s="9">
        <v>1584</v>
      </c>
      <c r="B1583" s="5">
        <v>0.1</v>
      </c>
      <c r="C1583" s="5">
        <v>4000000</v>
      </c>
      <c r="D1583" s="5">
        <v>5</v>
      </c>
      <c r="E1583" s="5">
        <v>0.25</v>
      </c>
      <c r="F1583" s="5">
        <v>0.05</v>
      </c>
      <c r="G1583" s="12">
        <f>(C1583*$U$4)/($U$5*$U$3)</f>
        <v>58.775510204081627</v>
      </c>
      <c r="H1583" s="11">
        <f>G1583*COS(RADIANS(D1583))</f>
        <v>58.551851642943404</v>
      </c>
      <c r="I1583" s="11">
        <f>G1583*SIN(RADIANS(D1583))</f>
        <v>5.1226232472092956</v>
      </c>
      <c r="J1583" s="11">
        <v>0.1661</v>
      </c>
      <c r="K1583" s="12">
        <v>80</v>
      </c>
      <c r="L1583" s="12">
        <f>-(F1583*G1583*$U$3)/J1583</f>
        <v>-17.69280861050019</v>
      </c>
      <c r="M1583" s="11">
        <f>ABS(L1583/$U$6)</f>
        <v>5.1582532392128837E-2</v>
      </c>
      <c r="N1583" s="12">
        <f>L1583*SIN(RADIANS(K1583))</f>
        <v>-17.42401509218174</v>
      </c>
      <c r="O1583" s="12">
        <f>L1583*COS(RADIANS(K1583))</f>
        <v>-3.0723239730231331</v>
      </c>
      <c r="P1583" s="5">
        <v>1.6140072016440252</v>
      </c>
      <c r="Q1583" s="5">
        <v>0.34627212399412943</v>
      </c>
      <c r="R1583" s="6">
        <f>P1583/Q1583</f>
        <v>4.6610948147572762</v>
      </c>
    </row>
    <row r="1584" spans="1:18" x14ac:dyDescent="0.35">
      <c r="A1584" s="9">
        <v>1585</v>
      </c>
      <c r="B1584" s="5">
        <v>0.5</v>
      </c>
      <c r="C1584" s="5">
        <v>4000000</v>
      </c>
      <c r="D1584" s="5">
        <v>20</v>
      </c>
      <c r="E1584" s="5">
        <v>0.25</v>
      </c>
      <c r="F1584" s="5">
        <v>1.4999999999999999E-2</v>
      </c>
      <c r="G1584" s="12">
        <f>(C1584*$U$4)/($U$5*$U$3)</f>
        <v>58.775510204081627</v>
      </c>
      <c r="H1584" s="11">
        <f>G1584*COS(RADIANS(D1584))</f>
        <v>55.230913221702366</v>
      </c>
      <c r="I1584" s="11">
        <f>G1584*SIN(RADIANS(D1584))</f>
        <v>20.102408424039304</v>
      </c>
      <c r="J1584" s="11">
        <v>0.23580000000000001</v>
      </c>
      <c r="K1584" s="11">
        <v>49</v>
      </c>
      <c r="L1584" s="12">
        <f>-(F1584*G1584*$U$3)/J1584</f>
        <v>-3.7389001402087549</v>
      </c>
      <c r="M1584" s="11">
        <f>ABS(L1584/$U$6)</f>
        <v>1.0900583499150889E-2</v>
      </c>
      <c r="N1584" s="12">
        <f>L1584*SIN(RADIANS(K1584))</f>
        <v>-2.821783755311813</v>
      </c>
      <c r="O1584" s="12">
        <f>L1584*COS(RADIANS(K1584))</f>
        <v>-2.4529391954778275</v>
      </c>
      <c r="P1584" s="5">
        <v>3.4816840524928896</v>
      </c>
      <c r="Q1584" s="5">
        <v>0.86178149737003218</v>
      </c>
      <c r="R1584" s="6">
        <f>P1584/Q1584</f>
        <v>4.040100725204967</v>
      </c>
    </row>
    <row r="1585" spans="1:18" x14ac:dyDescent="0.35">
      <c r="A1585" s="9">
        <v>1586</v>
      </c>
      <c r="B1585" s="5">
        <v>0.75</v>
      </c>
      <c r="C1585" s="5">
        <v>6000000</v>
      </c>
      <c r="D1585" s="5">
        <v>20</v>
      </c>
      <c r="E1585" s="5">
        <v>0.375</v>
      </c>
      <c r="F1585" s="5">
        <v>0.05</v>
      </c>
      <c r="G1585" s="12">
        <f>(C1585*$U$4)/($U$5*$U$3)</f>
        <v>88.16326530612244</v>
      </c>
      <c r="H1585" s="11">
        <f>G1585*COS(RADIANS(D1585))</f>
        <v>82.846369832553549</v>
      </c>
      <c r="I1585" s="11">
        <f>G1585*SIN(RADIANS(D1585))</f>
        <v>30.153612636058952</v>
      </c>
      <c r="J1585" s="11">
        <v>0.29299999999999998</v>
      </c>
      <c r="K1585" s="12">
        <v>57</v>
      </c>
      <c r="L1585" s="12">
        <f>-(F1585*G1585*$U$3)/J1585</f>
        <v>-15.044925820157413</v>
      </c>
      <c r="M1585" s="11">
        <f>ABS(L1585/$U$6)</f>
        <v>4.3862757493170298E-2</v>
      </c>
      <c r="N1585" s="12">
        <f>L1585*SIN(RADIANS(K1585))</f>
        <v>-12.617736482288192</v>
      </c>
      <c r="O1585" s="12">
        <f>L1585*COS(RADIANS(K1585))</f>
        <v>-8.1940538805631977</v>
      </c>
      <c r="P1585" s="5">
        <v>4.6025327703532648</v>
      </c>
      <c r="Q1585" s="5">
        <v>0.6988646369415068</v>
      </c>
      <c r="R1585" s="6">
        <f>P1585/Q1585</f>
        <v>6.5857285188955483</v>
      </c>
    </row>
    <row r="1586" spans="1:18" x14ac:dyDescent="0.35">
      <c r="A1586" s="9">
        <v>1587</v>
      </c>
      <c r="B1586" s="5">
        <v>1</v>
      </c>
      <c r="C1586" s="5">
        <v>2000000</v>
      </c>
      <c r="D1586" s="5">
        <v>0</v>
      </c>
      <c r="E1586" s="5">
        <v>0.375</v>
      </c>
      <c r="F1586" s="5">
        <v>2.5000000000000001E-2</v>
      </c>
      <c r="G1586" s="12">
        <f>(C1586*$U$4)/($U$5*$U$3)</f>
        <v>29.387755102040813</v>
      </c>
      <c r="H1586" s="11">
        <f>G1586*COS(RADIANS(D1586))</f>
        <v>29.387755102040813</v>
      </c>
      <c r="I1586" s="11">
        <f>G1586*SIN(RADIANS(D1586))</f>
        <v>0</v>
      </c>
      <c r="J1586" s="12">
        <v>0.33379999999999999</v>
      </c>
      <c r="K1586" s="11">
        <v>49</v>
      </c>
      <c r="L1586" s="12">
        <f>-(F1586*G1586*$U$3)/J1586</f>
        <v>-2.2010002323278024</v>
      </c>
      <c r="M1586" s="11">
        <f>ABS(L1586/$U$6)</f>
        <v>6.4169102983317851E-3</v>
      </c>
      <c r="N1586" s="12">
        <f>L1586*SIN(RADIANS(K1586))</f>
        <v>-1.6611159614103395</v>
      </c>
      <c r="O1586" s="12">
        <f>L1586*COS(RADIANS(K1586))</f>
        <v>-1.4439860752288589</v>
      </c>
      <c r="P1586" s="5">
        <v>4.6915005197955368</v>
      </c>
      <c r="Q1586" s="5">
        <v>-0.4889730349582106</v>
      </c>
      <c r="R1586" s="6">
        <f>P1586/Q1586</f>
        <v>-9.5945996698907727</v>
      </c>
    </row>
    <row r="1587" spans="1:18" x14ac:dyDescent="0.35">
      <c r="A1587" s="9">
        <v>1588</v>
      </c>
      <c r="B1587" s="5">
        <v>0.5</v>
      </c>
      <c r="C1587" s="5">
        <v>4000000</v>
      </c>
      <c r="D1587" s="5">
        <v>10</v>
      </c>
      <c r="E1587" s="5">
        <v>0</v>
      </c>
      <c r="F1587" s="5">
        <v>0.1</v>
      </c>
      <c r="G1587" s="12">
        <f>(C1587*$U$4)/($U$5*$U$3)</f>
        <v>58.775510204081627</v>
      </c>
      <c r="H1587" s="11">
        <f>G1587*COS(RADIANS(D1587))</f>
        <v>57.882578136227728</v>
      </c>
      <c r="I1587" s="11">
        <f>G1587*SIN(RADIANS(D1587))</f>
        <v>10.206260238382843</v>
      </c>
      <c r="J1587" s="12">
        <v>0.23230000000000001</v>
      </c>
      <c r="K1587" s="12">
        <v>0</v>
      </c>
      <c r="L1587" s="12">
        <f>-(F1587*G1587*$U$3)/J1587</f>
        <v>-25.30155411282033</v>
      </c>
      <c r="M1587" s="11">
        <f>ABS(L1587/$U$6)</f>
        <v>7.3765463885773555E-2</v>
      </c>
      <c r="N1587" s="12">
        <f>L1587*SIN(RADIANS(K1587))</f>
        <v>0</v>
      </c>
      <c r="O1587" s="12">
        <f>L1587*COS(RADIANS(K1587))</f>
        <v>-25.30155411282033</v>
      </c>
      <c r="P1587" s="5">
        <v>4.4899898805792793</v>
      </c>
      <c r="Q1587" s="5">
        <v>0.56294277924692615</v>
      </c>
      <c r="R1587" s="6">
        <f>P1587/Q1587</f>
        <v>7.9759258775567572</v>
      </c>
    </row>
    <row r="1588" spans="1:18" x14ac:dyDescent="0.35">
      <c r="A1588" s="9">
        <v>2257</v>
      </c>
      <c r="B1588" s="5">
        <v>1</v>
      </c>
      <c r="C1588" s="5">
        <v>6000000</v>
      </c>
      <c r="D1588" s="5">
        <v>10</v>
      </c>
      <c r="E1588" s="5">
        <v>0.25</v>
      </c>
      <c r="F1588" s="5">
        <v>0.15</v>
      </c>
      <c r="G1588" s="12">
        <f>(C1588*$U$4)/($U$5*$U$3)</f>
        <v>88.16326530612244</v>
      </c>
      <c r="H1588" s="11">
        <f>G1588*COS(RADIANS(D1588))</f>
        <v>86.823867204341596</v>
      </c>
      <c r="I1588" s="11">
        <f>G1588*SIN(RADIANS(D1588))</f>
        <v>15.309390357574264</v>
      </c>
      <c r="J1588" s="21">
        <v>0.33379999999999999</v>
      </c>
      <c r="K1588" s="12">
        <v>30</v>
      </c>
      <c r="L1588" s="12">
        <f>-(F1588*G1588*$U$3)/J1588</f>
        <v>-39.618004181900439</v>
      </c>
      <c r="M1588" s="11">
        <f>ABS(L1588/$U$6)</f>
        <v>0.11550438536997212</v>
      </c>
      <c r="N1588" s="12">
        <f>L1588*SIN(RADIANS(K1588))</f>
        <v>-19.809002090950216</v>
      </c>
      <c r="O1588" s="12">
        <f>L1588*COS(RADIANS(K1588))</f>
        <v>-34.31019806876391</v>
      </c>
      <c r="P1588" s="5">
        <v>5.3024206805838778</v>
      </c>
      <c r="Q1588" s="5">
        <v>-1.5432830500311558E-2</v>
      </c>
      <c r="R1588" s="6">
        <f>P1588/Q1588</f>
        <v>-343.58056874121911</v>
      </c>
    </row>
    <row r="1589" spans="1:18" x14ac:dyDescent="0.35">
      <c r="A1589" s="9">
        <v>1590</v>
      </c>
      <c r="B1589" s="5">
        <v>1</v>
      </c>
      <c r="C1589" s="5">
        <v>2000000</v>
      </c>
      <c r="D1589" s="5">
        <v>10</v>
      </c>
      <c r="E1589" s="5">
        <v>0</v>
      </c>
      <c r="F1589" s="5">
        <v>7.4999999999999997E-2</v>
      </c>
      <c r="G1589" s="12">
        <f>(C1589*$U$4)/($U$5*$U$3)</f>
        <v>29.387755102040813</v>
      </c>
      <c r="H1589" s="11">
        <f>G1589*COS(RADIANS(D1589))</f>
        <v>28.941289068113864</v>
      </c>
      <c r="I1589" s="11">
        <f>G1589*SIN(RADIANS(D1589))</f>
        <v>5.1031301191914213</v>
      </c>
      <c r="J1589" s="11">
        <v>0.33379999999999999</v>
      </c>
      <c r="K1589" s="12">
        <v>0</v>
      </c>
      <c r="L1589" s="12">
        <f>-(F1589*G1589*$U$3)/J1589</f>
        <v>-6.6030006969834067</v>
      </c>
      <c r="M1589" s="11">
        <f>ABS(L1589/$U$6)</f>
        <v>1.9250730894995356E-2</v>
      </c>
      <c r="N1589" s="12">
        <f>L1589*SIN(RADIANS(K1589))</f>
        <v>0</v>
      </c>
      <c r="O1589" s="12">
        <f>L1589*COS(RADIANS(K1589))</f>
        <v>-6.6030006969834067</v>
      </c>
      <c r="P1589" s="5">
        <v>6.1136517476560286</v>
      </c>
      <c r="Q1589" s="5">
        <v>0.88669927916368485</v>
      </c>
      <c r="R1589" s="6">
        <f>P1589/Q1589</f>
        <v>6.8948423567258219</v>
      </c>
    </row>
    <row r="1590" spans="1:18" x14ac:dyDescent="0.35">
      <c r="A1590" s="9">
        <v>1591</v>
      </c>
      <c r="B1590" s="5">
        <v>0.25</v>
      </c>
      <c r="C1590" s="5">
        <v>2000000</v>
      </c>
      <c r="D1590" s="5">
        <v>30</v>
      </c>
      <c r="E1590" s="5">
        <v>0.25</v>
      </c>
      <c r="F1590" s="5">
        <v>3.5000000000000003E-2</v>
      </c>
      <c r="G1590" s="12">
        <f>(C1590*$U$4)/($U$5*$U$3)</f>
        <v>29.387755102040813</v>
      </c>
      <c r="H1590" s="11">
        <f>G1590*COS(RADIANS(D1590))</f>
        <v>25.450542478563094</v>
      </c>
      <c r="I1590" s="11">
        <f>G1590*SIN(RADIANS(D1590))</f>
        <v>14.693877551020405</v>
      </c>
      <c r="J1590" s="12">
        <v>0.1913</v>
      </c>
      <c r="K1590" s="11">
        <v>67</v>
      </c>
      <c r="L1590" s="12">
        <f>-(F1590*G1590*$U$3)/J1590</f>
        <v>-5.3767455753864528</v>
      </c>
      <c r="M1590" s="11">
        <f>ABS(L1590/$U$6)</f>
        <v>1.5675643076928435E-2</v>
      </c>
      <c r="N1590" s="12">
        <f>L1590*SIN(RADIANS(K1590))</f>
        <v>-4.9493203979221638</v>
      </c>
      <c r="O1590" s="12">
        <f>L1590*COS(RADIANS(K1590))</f>
        <v>-2.1008618662704581</v>
      </c>
      <c r="P1590" s="5">
        <v>2.2531102905606328</v>
      </c>
      <c r="Q1590" s="5">
        <v>0.91663014875985682</v>
      </c>
      <c r="R1590" s="6">
        <f>P1590/Q1590</f>
        <v>2.4580364213515669</v>
      </c>
    </row>
    <row r="1591" spans="1:18" x14ac:dyDescent="0.35">
      <c r="A1591" s="9">
        <v>1592</v>
      </c>
      <c r="B1591" s="5">
        <v>0.1</v>
      </c>
      <c r="C1591" s="5">
        <v>4000000</v>
      </c>
      <c r="D1591" s="5">
        <v>15</v>
      </c>
      <c r="E1591" s="5">
        <v>0.125</v>
      </c>
      <c r="F1591" s="5">
        <v>0</v>
      </c>
      <c r="G1591" s="12">
        <f>(C1591*$U$4)/($U$5*$U$3)</f>
        <v>58.775510204081627</v>
      </c>
      <c r="H1591" s="11">
        <f>G1591*COS(RADIANS(D1591))</f>
        <v>56.772783259439109</v>
      </c>
      <c r="I1591" s="11">
        <f>G1591*SIN(RADIANS(D1591))</f>
        <v>15.212221426433871</v>
      </c>
      <c r="J1591" s="12">
        <v>0.1658</v>
      </c>
      <c r="K1591" s="12">
        <v>69</v>
      </c>
      <c r="L1591" s="12">
        <f>-(F1591*G1591*$U$3)/J1591</f>
        <v>0</v>
      </c>
      <c r="M1591" s="11">
        <f>ABS(L1591/$U$6)</f>
        <v>0</v>
      </c>
      <c r="N1591" s="12">
        <f>L1591*SIN(RADIANS(K1591))</f>
        <v>0</v>
      </c>
      <c r="O1591" s="12">
        <f>L1591*COS(RADIANS(K1591))</f>
        <v>0</v>
      </c>
      <c r="P1591" s="5">
        <v>1.3851979295118646</v>
      </c>
      <c r="Q1591" s="5">
        <v>0.61942375868405974</v>
      </c>
      <c r="R1591" s="6">
        <f>P1591/Q1591</f>
        <v>2.2362686449978293</v>
      </c>
    </row>
    <row r="1592" spans="1:18" x14ac:dyDescent="0.35">
      <c r="A1592" s="9">
        <v>1593</v>
      </c>
      <c r="B1592" s="5">
        <v>1</v>
      </c>
      <c r="C1592" s="5">
        <v>2000000</v>
      </c>
      <c r="D1592" s="5">
        <v>0</v>
      </c>
      <c r="E1592" s="5">
        <v>0.25</v>
      </c>
      <c r="F1592" s="5">
        <v>2.5000000000000001E-2</v>
      </c>
      <c r="G1592" s="12">
        <f>(C1592*$U$4)/($U$5*$U$3)</f>
        <v>29.387755102040813</v>
      </c>
      <c r="H1592" s="11">
        <f>G1592*COS(RADIANS(D1592))</f>
        <v>29.387755102040813</v>
      </c>
      <c r="I1592" s="11">
        <f>G1592*SIN(RADIANS(D1592))</f>
        <v>0</v>
      </c>
      <c r="J1592" s="13">
        <v>0.33379999999999999</v>
      </c>
      <c r="K1592" s="12">
        <v>30</v>
      </c>
      <c r="L1592" s="12">
        <f>-(F1592*G1592*$U$3)/J1592</f>
        <v>-2.2010002323278024</v>
      </c>
      <c r="M1592" s="11">
        <f>ABS(L1592/$U$6)</f>
        <v>6.4169102983317851E-3</v>
      </c>
      <c r="N1592" s="12">
        <f>L1592*SIN(RADIANS(K1592))</f>
        <v>-1.100500116163901</v>
      </c>
      <c r="O1592" s="12">
        <f>L1592*COS(RADIANS(K1592))</f>
        <v>-1.9061221149313285</v>
      </c>
      <c r="P1592" s="5">
        <v>4.6004749715034334</v>
      </c>
      <c r="Q1592" s="5">
        <v>-0.27738161901371738</v>
      </c>
      <c r="R1592" s="6">
        <f>P1592/Q1592</f>
        <v>-16.585363470951279</v>
      </c>
    </row>
    <row r="1593" spans="1:18" x14ac:dyDescent="0.35">
      <c r="A1593" s="9">
        <v>1594</v>
      </c>
      <c r="B1593" s="5">
        <v>0.25</v>
      </c>
      <c r="C1593" s="5">
        <v>4000000</v>
      </c>
      <c r="D1593" s="5">
        <v>5</v>
      </c>
      <c r="E1593" s="5">
        <v>0.25</v>
      </c>
      <c r="F1593" s="5">
        <v>0</v>
      </c>
      <c r="G1593" s="12">
        <f>(C1593*$U$4)/($U$5*$U$3)</f>
        <v>58.775510204081627</v>
      </c>
      <c r="H1593" s="11">
        <f>G1593*COS(RADIANS(D1593))</f>
        <v>58.551851642943404</v>
      </c>
      <c r="I1593" s="11">
        <f>G1593*SIN(RADIANS(D1593))</f>
        <v>5.1226232472092956</v>
      </c>
      <c r="J1593" s="12">
        <v>0.1913</v>
      </c>
      <c r="K1593" s="11">
        <v>67</v>
      </c>
      <c r="L1593" s="12">
        <f>-(F1593*G1593*$U$3)/J1593</f>
        <v>0</v>
      </c>
      <c r="M1593" s="11">
        <f>ABS(L1593/$U$6)</f>
        <v>0</v>
      </c>
      <c r="N1593" s="12">
        <f>L1593*SIN(RADIANS(K1593))</f>
        <v>0</v>
      </c>
      <c r="O1593" s="12">
        <f>L1593*COS(RADIANS(K1593))</f>
        <v>0</v>
      </c>
      <c r="P1593" s="5">
        <v>2.53098057976558</v>
      </c>
      <c r="Q1593" s="5">
        <v>0.41656692955068325</v>
      </c>
      <c r="R1593" s="6">
        <f>P1593/Q1593</f>
        <v>6.0758077519392675</v>
      </c>
    </row>
    <row r="1594" spans="1:18" x14ac:dyDescent="0.35">
      <c r="A1594" s="9">
        <v>1595</v>
      </c>
      <c r="B1594" s="5">
        <v>1</v>
      </c>
      <c r="C1594" s="5">
        <v>6000000</v>
      </c>
      <c r="D1594" s="5">
        <v>0</v>
      </c>
      <c r="E1594" s="5">
        <v>0.125</v>
      </c>
      <c r="F1594" s="5">
        <v>0.05</v>
      </c>
      <c r="G1594" s="12">
        <f>(C1594*$U$4)/($U$5*$U$3)</f>
        <v>88.16326530612244</v>
      </c>
      <c r="H1594" s="11">
        <f>G1594*COS(RADIANS(D1594))</f>
        <v>88.16326530612244</v>
      </c>
      <c r="I1594" s="11">
        <f>G1594*SIN(RADIANS(D1594))</f>
        <v>0</v>
      </c>
      <c r="J1594" s="11">
        <v>0.33379999999999999</v>
      </c>
      <c r="K1594" s="12">
        <v>14</v>
      </c>
      <c r="L1594" s="12">
        <f>-(F1594*G1594*$U$3)/J1594</f>
        <v>-13.206001393966813</v>
      </c>
      <c r="M1594" s="11">
        <f>ABS(L1594/$U$6)</f>
        <v>3.8501461789990712E-2</v>
      </c>
      <c r="N1594" s="12">
        <f>L1594*SIN(RADIANS(K1594))</f>
        <v>-3.1948208905203059</v>
      </c>
      <c r="O1594" s="12">
        <f>L1594*COS(RADIANS(K1594))</f>
        <v>-12.81372671376085</v>
      </c>
      <c r="P1594" s="5">
        <v>5.3781435361537762</v>
      </c>
      <c r="Q1594" s="5">
        <v>-0.39111669718391684</v>
      </c>
      <c r="R1594" s="6">
        <f>P1594/Q1594</f>
        <v>-13.750738781742125</v>
      </c>
    </row>
    <row r="1595" spans="1:18" x14ac:dyDescent="0.35">
      <c r="A1595" s="9">
        <v>1596</v>
      </c>
      <c r="B1595" s="5">
        <v>0.75</v>
      </c>
      <c r="C1595" s="5">
        <v>2000000</v>
      </c>
      <c r="D1595" s="5">
        <v>5</v>
      </c>
      <c r="E1595" s="5">
        <v>0.25</v>
      </c>
      <c r="F1595" s="5">
        <v>0.1</v>
      </c>
      <c r="G1595" s="12">
        <f>(C1595*$U$4)/($U$5*$U$3)</f>
        <v>29.387755102040813</v>
      </c>
      <c r="H1595" s="11">
        <f>G1595*COS(RADIANS(D1595))</f>
        <v>29.275925821471702</v>
      </c>
      <c r="I1595" s="11">
        <f>G1595*SIN(RADIANS(D1595))</f>
        <v>2.5613116236046478</v>
      </c>
      <c r="J1595" s="12">
        <v>0.28370000000000001</v>
      </c>
      <c r="K1595" s="11">
        <v>38</v>
      </c>
      <c r="L1595" s="12">
        <f>-(F1595*G1595*$U$3)/J1595</f>
        <v>-10.358743426873744</v>
      </c>
      <c r="M1595" s="11">
        <f>ABS(L1595/$U$6)</f>
        <v>3.0200418154150858E-2</v>
      </c>
      <c r="N1595" s="12">
        <f>L1595*SIN(RADIANS(K1595))</f>
        <v>-6.3774792607090545</v>
      </c>
      <c r="O1595" s="12">
        <f>L1595*COS(RADIANS(K1595))</f>
        <v>-8.1628012142294555</v>
      </c>
      <c r="P1595" s="5">
        <v>4.4406755789076886</v>
      </c>
      <c r="Q1595" s="5">
        <v>-9.2358215388868459E-2</v>
      </c>
      <c r="R1595" s="6">
        <f>P1595/Q1595</f>
        <v>-48.081002433952449</v>
      </c>
    </row>
    <row r="1596" spans="1:18" x14ac:dyDescent="0.35">
      <c r="A1596" s="9">
        <v>1597</v>
      </c>
      <c r="B1596" s="5">
        <v>0.25</v>
      </c>
      <c r="C1596" s="5">
        <v>6000000</v>
      </c>
      <c r="D1596" s="5">
        <v>5</v>
      </c>
      <c r="E1596" s="5">
        <v>0.125</v>
      </c>
      <c r="F1596" s="5">
        <v>0.05</v>
      </c>
      <c r="G1596" s="12">
        <f>(C1596*$U$4)/($U$5*$U$3)</f>
        <v>88.16326530612244</v>
      </c>
      <c r="H1596" s="11">
        <f>G1596*COS(RADIANS(D1596))</f>
        <v>87.827777464415107</v>
      </c>
      <c r="I1596" s="11">
        <f>G1596*SIN(RADIANS(D1596))</f>
        <v>7.6839348708139434</v>
      </c>
      <c r="J1596" s="11">
        <v>0.19020000000000001</v>
      </c>
      <c r="K1596" s="12">
        <v>46</v>
      </c>
      <c r="L1596" s="12">
        <f>-(F1596*G1596*$U$3)/J1596</f>
        <v>-23.176463014227771</v>
      </c>
      <c r="M1596" s="11">
        <f>ABS(L1596/$U$6)</f>
        <v>6.7569863015241316E-2</v>
      </c>
      <c r="N1596" s="12">
        <f>L1596*SIN(RADIANS(K1596))</f>
        <v>-16.671752277210736</v>
      </c>
      <c r="O1596" s="12">
        <f>L1596*COS(RADIANS(K1596))</f>
        <v>-16.099724030466682</v>
      </c>
      <c r="P1596" s="5">
        <v>2.2135134847428368</v>
      </c>
      <c r="Q1596" s="5">
        <v>0.30337769293756278</v>
      </c>
      <c r="R1596" s="6">
        <f>P1596/Q1596</f>
        <v>7.2962301984358264</v>
      </c>
    </row>
    <row r="1597" spans="1:18" x14ac:dyDescent="0.35">
      <c r="A1597" s="9">
        <v>1598</v>
      </c>
      <c r="B1597" s="5">
        <v>1</v>
      </c>
      <c r="C1597" s="5">
        <v>6000000</v>
      </c>
      <c r="D1597" s="5">
        <v>15</v>
      </c>
      <c r="E1597" s="5">
        <v>0.25</v>
      </c>
      <c r="F1597" s="5">
        <v>2.5000000000000001E-2</v>
      </c>
      <c r="G1597" s="12">
        <f>(C1597*$U$4)/($U$5*$U$3)</f>
        <v>88.16326530612244</v>
      </c>
      <c r="H1597" s="11">
        <f>G1597*COS(RADIANS(D1597))</f>
        <v>85.159174889158663</v>
      </c>
      <c r="I1597" s="11">
        <f>G1597*SIN(RADIANS(D1597))</f>
        <v>22.818332139650806</v>
      </c>
      <c r="J1597" s="13">
        <v>0.33379999999999999</v>
      </c>
      <c r="K1597" s="12">
        <v>30</v>
      </c>
      <c r="L1597" s="12">
        <f>-(F1597*G1597*$U$3)/J1597</f>
        <v>-6.6030006969834067</v>
      </c>
      <c r="M1597" s="11">
        <f>ABS(L1597/$U$6)</f>
        <v>1.9250730894995356E-2</v>
      </c>
      <c r="N1597" s="12">
        <f>L1597*SIN(RADIANS(K1597))</f>
        <v>-3.3015003484917029</v>
      </c>
      <c r="O1597" s="12">
        <f>L1597*COS(RADIANS(K1597))</f>
        <v>-5.718366344793985</v>
      </c>
      <c r="P1597" s="5">
        <v>4.7407747338909854</v>
      </c>
      <c r="Q1597" s="5">
        <v>0.59524347486582452</v>
      </c>
      <c r="R1597" s="6">
        <f>P1597/Q1597</f>
        <v>7.9644295722176821</v>
      </c>
    </row>
    <row r="1598" spans="1:18" x14ac:dyDescent="0.35">
      <c r="A1598" s="9">
        <v>1599</v>
      </c>
      <c r="B1598" s="5">
        <v>0.5</v>
      </c>
      <c r="C1598" s="5">
        <v>2000000</v>
      </c>
      <c r="D1598" s="5">
        <v>10</v>
      </c>
      <c r="E1598" s="5">
        <v>0.125</v>
      </c>
      <c r="F1598" s="5">
        <v>1.4999999999999999E-2</v>
      </c>
      <c r="G1598" s="12">
        <f>(C1598*$U$4)/($U$5*$U$3)</f>
        <v>29.387755102040813</v>
      </c>
      <c r="H1598" s="11">
        <f>G1598*COS(RADIANS(D1598))</f>
        <v>28.941289068113864</v>
      </c>
      <c r="I1598" s="11">
        <f>G1598*SIN(RADIANS(D1598))</f>
        <v>5.1031301191914213</v>
      </c>
      <c r="J1598" s="12">
        <v>0.23300000000000001</v>
      </c>
      <c r="K1598" s="11">
        <v>27</v>
      </c>
      <c r="L1598" s="12">
        <f>-(F1598*G1598*$U$3)/J1598</f>
        <v>-1.8919155645090651</v>
      </c>
      <c r="M1598" s="11">
        <f>ABS(L1598/$U$6)</f>
        <v>5.5157888178106853E-3</v>
      </c>
      <c r="N1598" s="12">
        <f>L1598*SIN(RADIANS(K1598))</f>
        <v>-0.85891169259649713</v>
      </c>
      <c r="O1598" s="12">
        <f>L1598*COS(RADIANS(K1598))</f>
        <v>-1.685709111191096</v>
      </c>
      <c r="P1598" s="5">
        <v>3.4379447681428399</v>
      </c>
      <c r="Q1598" s="5">
        <v>0.61333190126780435</v>
      </c>
      <c r="R1598" s="6">
        <f>P1598/Q1598</f>
        <v>5.6053578185585042</v>
      </c>
    </row>
    <row r="1599" spans="1:18" x14ac:dyDescent="0.35">
      <c r="A1599" s="9">
        <v>1600</v>
      </c>
      <c r="B1599" s="5">
        <v>0.5</v>
      </c>
      <c r="C1599" s="5">
        <v>4000000</v>
      </c>
      <c r="D1599" s="5">
        <v>5</v>
      </c>
      <c r="E1599" s="5">
        <v>0.125</v>
      </c>
      <c r="F1599" s="5">
        <v>7.4999999999999997E-2</v>
      </c>
      <c r="G1599" s="12">
        <f>(C1599*$U$4)/($U$5*$U$3)</f>
        <v>58.775510204081627</v>
      </c>
      <c r="H1599" s="11">
        <f>G1599*COS(RADIANS(D1599))</f>
        <v>58.551851642943404</v>
      </c>
      <c r="I1599" s="11">
        <f>G1599*SIN(RADIANS(D1599))</f>
        <v>5.1226232472092956</v>
      </c>
      <c r="J1599" s="12">
        <v>0.23300000000000001</v>
      </c>
      <c r="K1599" s="11">
        <v>27</v>
      </c>
      <c r="L1599" s="12">
        <f>-(F1599*G1599*$U$3)/J1599</f>
        <v>-18.919155645090651</v>
      </c>
      <c r="M1599" s="11">
        <f>ABS(L1599/$U$6)</f>
        <v>5.5157888178106858E-2</v>
      </c>
      <c r="N1599" s="12">
        <f>L1599*SIN(RADIANS(K1599))</f>
        <v>-8.5891169259649711</v>
      </c>
      <c r="O1599" s="12">
        <f>L1599*COS(RADIANS(K1599))</f>
        <v>-16.857091111910961</v>
      </c>
      <c r="P1599" s="5">
        <v>4.5718409628565286</v>
      </c>
      <c r="Q1599" s="5">
        <v>0.20364503114857843</v>
      </c>
      <c r="R1599" s="6">
        <f>P1599/Q1599</f>
        <v>22.450049171692953</v>
      </c>
    </row>
    <row r="1600" spans="1:18" x14ac:dyDescent="0.35">
      <c r="A1600" s="9">
        <v>1601</v>
      </c>
      <c r="B1600" s="5">
        <v>0.5</v>
      </c>
      <c r="C1600" s="5">
        <v>2000000</v>
      </c>
      <c r="D1600" s="5">
        <v>5</v>
      </c>
      <c r="E1600" s="5">
        <v>0</v>
      </c>
      <c r="F1600" s="5">
        <v>0</v>
      </c>
      <c r="G1600" s="12">
        <f>(C1600*$U$4)/($U$5*$U$3)</f>
        <v>29.387755102040813</v>
      </c>
      <c r="H1600" s="11">
        <f>G1600*COS(RADIANS(D1600))</f>
        <v>29.275925821471702</v>
      </c>
      <c r="I1600" s="11">
        <f>G1600*SIN(RADIANS(D1600))</f>
        <v>2.5613116236046478</v>
      </c>
      <c r="J1600" s="12">
        <v>0.23230000000000001</v>
      </c>
      <c r="K1600" s="12">
        <v>0</v>
      </c>
      <c r="L1600" s="12">
        <f>-(F1600*G1600*$U$3)/J1600</f>
        <v>0</v>
      </c>
      <c r="M1600" s="11">
        <f>ABS(L1600/$U$6)</f>
        <v>0</v>
      </c>
      <c r="N1600" s="12">
        <f>L1600*SIN(RADIANS(K1600))</f>
        <v>0</v>
      </c>
      <c r="O1600" s="12">
        <f>L1600*COS(RADIANS(K1600))</f>
        <v>0</v>
      </c>
      <c r="P1600" s="5">
        <v>3.9107611472852359</v>
      </c>
      <c r="Q1600" s="5">
        <v>0.65116637832114466</v>
      </c>
      <c r="R1600" s="6">
        <f>P1600/Q1600</f>
        <v>6.0057786726766658</v>
      </c>
    </row>
    <row r="1601" spans="1:18" x14ac:dyDescent="0.35">
      <c r="A1601" s="9">
        <v>1602</v>
      </c>
      <c r="B1601" s="5">
        <v>0.25</v>
      </c>
      <c r="C1601" s="5">
        <v>6000000</v>
      </c>
      <c r="D1601" s="5">
        <v>10</v>
      </c>
      <c r="E1601" s="5">
        <v>0.375</v>
      </c>
      <c r="F1601" s="5">
        <v>1.4999999999999999E-2</v>
      </c>
      <c r="G1601" s="12">
        <f>(C1601*$U$4)/($U$5*$U$3)</f>
        <v>88.16326530612244</v>
      </c>
      <c r="H1601" s="11">
        <f>G1601*COS(RADIANS(D1601))</f>
        <v>86.823867204341596</v>
      </c>
      <c r="I1601" s="11">
        <f>G1601*SIN(RADIANS(D1601))</f>
        <v>15.309390357574264</v>
      </c>
      <c r="J1601" s="11">
        <v>0.1976</v>
      </c>
      <c r="K1601" s="12">
        <v>78</v>
      </c>
      <c r="L1601" s="12">
        <f>-(F1601*G1601*$U$3)/J1601</f>
        <v>-6.6925555647360149</v>
      </c>
      <c r="M1601" s="11">
        <f>ABS(L1601/$U$6)</f>
        <v>1.9511823803895087E-2</v>
      </c>
      <c r="N1601" s="12">
        <f>L1601*SIN(RADIANS(K1601))</f>
        <v>-6.546307168424212</v>
      </c>
      <c r="O1601" s="12">
        <f>L1601*COS(RADIANS(K1601))</f>
        <v>-1.3914605433560698</v>
      </c>
      <c r="P1601" s="5">
        <v>2.3180126267406429</v>
      </c>
      <c r="Q1601" s="5">
        <v>0.46487245952459461</v>
      </c>
      <c r="R1601" s="6">
        <f>P1601/Q1601</f>
        <v>4.9863410474158361</v>
      </c>
    </row>
    <row r="1602" spans="1:18" x14ac:dyDescent="0.35">
      <c r="A1602" s="9">
        <v>1603</v>
      </c>
      <c r="B1602" s="5">
        <v>0.75</v>
      </c>
      <c r="C1602" s="5">
        <v>6000000</v>
      </c>
      <c r="D1602" s="5">
        <v>15</v>
      </c>
      <c r="E1602" s="5">
        <v>0.125</v>
      </c>
      <c r="F1602" s="5">
        <v>0</v>
      </c>
      <c r="G1602" s="12">
        <f>(C1602*$U$4)/($U$5*$U$3)</f>
        <v>88.16326530612244</v>
      </c>
      <c r="H1602" s="11">
        <f>G1602*COS(RADIANS(D1602))</f>
        <v>85.159174889158663</v>
      </c>
      <c r="I1602" s="11">
        <f>G1602*SIN(RADIANS(D1602))</f>
        <v>22.818332139650806</v>
      </c>
      <c r="J1602" s="12">
        <v>0.2802</v>
      </c>
      <c r="K1602" s="12">
        <v>19</v>
      </c>
      <c r="L1602" s="12">
        <f>-(F1602*G1602*$U$3)/J1602</f>
        <v>0</v>
      </c>
      <c r="M1602" s="11">
        <f>ABS(L1602/$U$6)</f>
        <v>0</v>
      </c>
      <c r="N1602" s="12">
        <f>L1602*SIN(RADIANS(K1602))</f>
        <v>0</v>
      </c>
      <c r="O1602" s="12">
        <f>L1602*COS(RADIANS(K1602))</f>
        <v>0</v>
      </c>
      <c r="P1602" s="5">
        <v>5.1403176418579024</v>
      </c>
      <c r="Q1602" s="5">
        <v>1.7232991825926491</v>
      </c>
      <c r="R1602" s="6">
        <f>P1602/Q1602</f>
        <v>2.9828353043865876</v>
      </c>
    </row>
    <row r="1603" spans="1:18" x14ac:dyDescent="0.35">
      <c r="A1603" s="9">
        <v>1604</v>
      </c>
      <c r="B1603" s="5">
        <v>0.5</v>
      </c>
      <c r="C1603" s="5">
        <v>4000000</v>
      </c>
      <c r="D1603" s="5">
        <v>10</v>
      </c>
      <c r="E1603" s="5">
        <v>0.25</v>
      </c>
      <c r="F1603" s="5">
        <v>1.4999999999999999E-2</v>
      </c>
      <c r="G1603" s="12">
        <f>(C1603*$U$4)/($U$5*$U$3)</f>
        <v>58.775510204081627</v>
      </c>
      <c r="H1603" s="11">
        <f>G1603*COS(RADIANS(D1603))</f>
        <v>57.882578136227728</v>
      </c>
      <c r="I1603" s="11">
        <f>G1603*SIN(RADIANS(D1603))</f>
        <v>10.206260238382843</v>
      </c>
      <c r="J1603" s="11">
        <v>0.23580000000000001</v>
      </c>
      <c r="K1603" s="11">
        <v>49</v>
      </c>
      <c r="L1603" s="12">
        <f>-(F1603*G1603*$U$3)/J1603</f>
        <v>-3.7389001402087549</v>
      </c>
      <c r="M1603" s="11">
        <f>ABS(L1603/$U$6)</f>
        <v>1.0900583499150889E-2</v>
      </c>
      <c r="N1603" s="12">
        <f>L1603*SIN(RADIANS(K1603))</f>
        <v>-2.821783755311813</v>
      </c>
      <c r="O1603" s="12">
        <f>L1603*COS(RADIANS(K1603))</f>
        <v>-2.4529391954778275</v>
      </c>
      <c r="P1603" s="5">
        <v>3.6176468643552075</v>
      </c>
      <c r="Q1603" s="5">
        <v>0.45444474698605281</v>
      </c>
      <c r="R1603" s="6">
        <f>P1603/Q1603</f>
        <v>7.9605868223760883</v>
      </c>
    </row>
    <row r="1604" spans="1:18" x14ac:dyDescent="0.35">
      <c r="A1604" s="9">
        <v>1605</v>
      </c>
      <c r="B1604" s="5">
        <v>0.5</v>
      </c>
      <c r="C1604" s="5">
        <v>4000000</v>
      </c>
      <c r="D1604" s="5">
        <v>15</v>
      </c>
      <c r="E1604" s="5">
        <v>0.125</v>
      </c>
      <c r="F1604" s="5">
        <v>3.5000000000000003E-2</v>
      </c>
      <c r="G1604" s="12">
        <f>(C1604*$U$4)/($U$5*$U$3)</f>
        <v>58.775510204081627</v>
      </c>
      <c r="H1604" s="11">
        <f>G1604*COS(RADIANS(D1604))</f>
        <v>56.772783259439109</v>
      </c>
      <c r="I1604" s="11">
        <f>G1604*SIN(RADIANS(D1604))</f>
        <v>15.212221426433871</v>
      </c>
      <c r="J1604" s="12">
        <v>0.23300000000000001</v>
      </c>
      <c r="K1604" s="11">
        <v>27</v>
      </c>
      <c r="L1604" s="12">
        <f>-(F1604*G1604*$U$3)/J1604</f>
        <v>-8.8289393010423041</v>
      </c>
      <c r="M1604" s="11">
        <f>ABS(L1604/$U$6)</f>
        <v>2.5740347816449866E-2</v>
      </c>
      <c r="N1604" s="12">
        <f>L1604*SIN(RADIANS(K1604))</f>
        <v>-4.0082545654503203</v>
      </c>
      <c r="O1604" s="12">
        <f>L1604*COS(RADIANS(K1604))</f>
        <v>-7.8666425188917817</v>
      </c>
      <c r="P1604" s="5">
        <v>3.9373151278220737</v>
      </c>
      <c r="Q1604" s="5">
        <v>0.77590612903563461</v>
      </c>
      <c r="R1604" s="6">
        <f>P1604/Q1604</f>
        <v>5.0744735483862211</v>
      </c>
    </row>
    <row r="1605" spans="1:18" x14ac:dyDescent="0.35">
      <c r="A1605" s="9">
        <v>1606</v>
      </c>
      <c r="B1605" s="5">
        <v>0.5</v>
      </c>
      <c r="C1605" s="5">
        <v>6000000</v>
      </c>
      <c r="D1605" s="5">
        <v>10</v>
      </c>
      <c r="E1605" s="5">
        <v>0.125</v>
      </c>
      <c r="F1605" s="5">
        <v>0</v>
      </c>
      <c r="G1605" s="12">
        <f>(C1605*$U$4)/($U$5*$U$3)</f>
        <v>88.16326530612244</v>
      </c>
      <c r="H1605" s="11">
        <f>G1605*COS(RADIANS(D1605))</f>
        <v>86.823867204341596</v>
      </c>
      <c r="I1605" s="11">
        <f>G1605*SIN(RADIANS(D1605))</f>
        <v>15.309390357574264</v>
      </c>
      <c r="J1605" s="12">
        <v>0.23300000000000001</v>
      </c>
      <c r="K1605" s="11">
        <v>27</v>
      </c>
      <c r="L1605" s="12">
        <f>-(F1605*G1605*$U$3)/J1605</f>
        <v>0</v>
      </c>
      <c r="M1605" s="11">
        <f>ABS(L1605/$U$6)</f>
        <v>0</v>
      </c>
      <c r="N1605" s="12">
        <f>L1605*SIN(RADIANS(K1605))</f>
        <v>0</v>
      </c>
      <c r="O1605" s="12">
        <f>L1605*COS(RADIANS(K1605))</f>
        <v>0</v>
      </c>
      <c r="P1605" s="5">
        <v>3.9726711495008318</v>
      </c>
      <c r="Q1605" s="5">
        <v>0.92755803039738571</v>
      </c>
      <c r="R1605" s="6">
        <f>P1605/Q1605</f>
        <v>4.2829354275536318</v>
      </c>
    </row>
    <row r="1606" spans="1:18" x14ac:dyDescent="0.35">
      <c r="A1606" s="9">
        <v>1607</v>
      </c>
      <c r="B1606" s="5">
        <v>1</v>
      </c>
      <c r="C1606" s="5">
        <v>2000000</v>
      </c>
      <c r="D1606" s="5">
        <v>20</v>
      </c>
      <c r="E1606" s="5">
        <v>0.375</v>
      </c>
      <c r="F1606" s="5">
        <v>7.4999999999999997E-2</v>
      </c>
      <c r="G1606" s="12">
        <f>(C1606*$U$4)/($U$5*$U$3)</f>
        <v>29.387755102040813</v>
      </c>
      <c r="H1606" s="11">
        <f>G1606*COS(RADIANS(D1606))</f>
        <v>27.615456610851183</v>
      </c>
      <c r="I1606" s="11">
        <f>G1606*SIN(RADIANS(D1606))</f>
        <v>10.051204212019652</v>
      </c>
      <c r="J1606" s="12">
        <v>0.33379999999999999</v>
      </c>
      <c r="K1606" s="11">
        <v>49</v>
      </c>
      <c r="L1606" s="12">
        <f>-(F1606*G1606*$U$3)/J1606</f>
        <v>-6.6030006969834067</v>
      </c>
      <c r="M1606" s="11">
        <f>ABS(L1606/$U$6)</f>
        <v>1.9250730894995356E-2</v>
      </c>
      <c r="N1606" s="12">
        <f>L1606*SIN(RADIANS(K1606))</f>
        <v>-4.9833478842310184</v>
      </c>
      <c r="O1606" s="12">
        <f>L1606*COS(RADIANS(K1606))</f>
        <v>-4.3319582256865763</v>
      </c>
      <c r="P1606" s="5">
        <v>6.0672509120186469</v>
      </c>
      <c r="Q1606" s="5">
        <v>0.71394992144656322</v>
      </c>
      <c r="R1606" s="6">
        <f>P1606/Q1606</f>
        <v>8.4981463401880362</v>
      </c>
    </row>
    <row r="1607" spans="1:18" x14ac:dyDescent="0.35">
      <c r="A1607" s="9">
        <v>1608</v>
      </c>
      <c r="B1607" s="5">
        <v>0.5</v>
      </c>
      <c r="C1607" s="5">
        <v>4000000</v>
      </c>
      <c r="D1607" s="5">
        <v>30</v>
      </c>
      <c r="E1607" s="5">
        <v>0.25</v>
      </c>
      <c r="F1607" s="5">
        <v>3.5000000000000003E-2</v>
      </c>
      <c r="G1607" s="12">
        <f>(C1607*$U$4)/($U$5*$U$3)</f>
        <v>58.775510204081627</v>
      </c>
      <c r="H1607" s="11">
        <f>G1607*COS(RADIANS(D1607))</f>
        <v>50.901084957126187</v>
      </c>
      <c r="I1607" s="11">
        <f>G1607*SIN(RADIANS(D1607))</f>
        <v>29.38775510204081</v>
      </c>
      <c r="J1607" s="11">
        <v>0.23580000000000001</v>
      </c>
      <c r="K1607" s="11">
        <v>49</v>
      </c>
      <c r="L1607" s="12">
        <f>-(F1607*G1607*$U$3)/J1607</f>
        <v>-8.7241003271537618</v>
      </c>
      <c r="M1607" s="11">
        <f>ABS(L1607/$U$6)</f>
        <v>2.5434694831352075E-2</v>
      </c>
      <c r="N1607" s="12">
        <f>L1607*SIN(RADIANS(K1607))</f>
        <v>-6.5841620957275637</v>
      </c>
      <c r="O1607" s="12">
        <f>L1607*COS(RADIANS(K1607))</f>
        <v>-5.7235247894482635</v>
      </c>
      <c r="P1607" s="5">
        <v>2.5643946679340996</v>
      </c>
      <c r="Q1607" s="5">
        <v>1.1007937770601928</v>
      </c>
      <c r="R1607" s="6">
        <f>P1607/Q1607</f>
        <v>2.3295868139649514</v>
      </c>
    </row>
    <row r="1608" spans="1:18" x14ac:dyDescent="0.35">
      <c r="A1608" s="9">
        <v>1609</v>
      </c>
      <c r="B1608" s="5">
        <v>0.5</v>
      </c>
      <c r="C1608" s="5">
        <v>6000000</v>
      </c>
      <c r="D1608" s="5">
        <v>0</v>
      </c>
      <c r="E1608" s="5">
        <v>0.25</v>
      </c>
      <c r="F1608" s="5">
        <v>7.4999999999999997E-2</v>
      </c>
      <c r="G1608" s="12">
        <f>(C1608*$U$4)/($U$5*$U$3)</f>
        <v>88.16326530612244</v>
      </c>
      <c r="H1608" s="11">
        <f>G1608*COS(RADIANS(D1608))</f>
        <v>88.16326530612244</v>
      </c>
      <c r="I1608" s="11">
        <f>G1608*SIN(RADIANS(D1608))</f>
        <v>0</v>
      </c>
      <c r="J1608" s="11">
        <v>0.23580000000000001</v>
      </c>
      <c r="K1608" s="11">
        <v>49</v>
      </c>
      <c r="L1608" s="12">
        <f>-(F1608*G1608*$U$3)/J1608</f>
        <v>-28.041751051565662</v>
      </c>
      <c r="M1608" s="11">
        <f>ABS(L1608/$U$6)</f>
        <v>8.175437624363166E-2</v>
      </c>
      <c r="N1608" s="12">
        <f>L1608*SIN(RADIANS(K1608))</f>
        <v>-21.163378164838598</v>
      </c>
      <c r="O1608" s="12">
        <f>L1608*COS(RADIANS(K1608))</f>
        <v>-18.397043966083704</v>
      </c>
      <c r="P1608" s="5">
        <v>4.6343867990328622</v>
      </c>
      <c r="Q1608" s="5">
        <v>-0.23408398262100302</v>
      </c>
      <c r="R1608" s="6">
        <f>P1608/Q1608</f>
        <v>-19.797966298857073</v>
      </c>
    </row>
    <row r="1609" spans="1:18" x14ac:dyDescent="0.35">
      <c r="A1609" s="9">
        <v>545</v>
      </c>
      <c r="B1609" s="5">
        <v>0.1</v>
      </c>
      <c r="C1609" s="5">
        <v>6000000</v>
      </c>
      <c r="D1609" s="5">
        <v>30</v>
      </c>
      <c r="E1609" s="5">
        <v>0.375</v>
      </c>
      <c r="F1609" s="5">
        <v>7.4999999999999997E-2</v>
      </c>
      <c r="G1609" s="12">
        <f>(C1609*$U$4)/($U$5*$U$3)</f>
        <v>88.16326530612244</v>
      </c>
      <c r="H1609" s="11">
        <f>G1609*COS(RADIANS(D1609))</f>
        <v>76.351627435689281</v>
      </c>
      <c r="I1609" s="11">
        <f>G1609*SIN(RADIANS(D1609))</f>
        <v>44.081632653061213</v>
      </c>
      <c r="J1609" s="12">
        <v>0.16789999999999999</v>
      </c>
      <c r="K1609" s="20">
        <v>85</v>
      </c>
      <c r="L1609" s="12">
        <f>-(F1609*G1609*$U$3)/J1609</f>
        <v>-39.382042274920686</v>
      </c>
      <c r="M1609" s="11">
        <f>ABS(L1609/$U$6)</f>
        <v>0.11481644978110987</v>
      </c>
      <c r="N1609" s="12">
        <f>L1609*SIN(RADIANS(K1609))</f>
        <v>-39.232181714300971</v>
      </c>
      <c r="O1609" s="12">
        <f>L1609*COS(RADIANS(K1609))</f>
        <v>-3.4323711453903849</v>
      </c>
      <c r="P1609" s="5">
        <v>1.5785906273249464</v>
      </c>
      <c r="Q1609" s="5">
        <v>1.1537916063042843</v>
      </c>
      <c r="R1609" s="6">
        <f>P1609/Q1609</f>
        <v>1.3681765569272408</v>
      </c>
    </row>
    <row r="1610" spans="1:18" x14ac:dyDescent="0.35">
      <c r="A1610" s="9">
        <v>1611</v>
      </c>
      <c r="B1610" s="5">
        <v>0.5</v>
      </c>
      <c r="C1610" s="5">
        <v>2000000</v>
      </c>
      <c r="D1610" s="5">
        <v>15</v>
      </c>
      <c r="E1610" s="5">
        <v>0.125</v>
      </c>
      <c r="F1610" s="5">
        <v>0.15</v>
      </c>
      <c r="G1610" s="12">
        <f>(C1610*$U$4)/($U$5*$U$3)</f>
        <v>29.387755102040813</v>
      </c>
      <c r="H1610" s="11">
        <f>G1610*COS(RADIANS(D1610))</f>
        <v>28.386391629719554</v>
      </c>
      <c r="I1610" s="11">
        <f>G1610*SIN(RADIANS(D1610))</f>
        <v>7.6061107132169354</v>
      </c>
      <c r="J1610" s="12">
        <v>0.23300000000000001</v>
      </c>
      <c r="K1610" s="11">
        <v>27</v>
      </c>
      <c r="L1610" s="12">
        <f>-(F1610*G1610*$U$3)/J1610</f>
        <v>-18.919155645090651</v>
      </c>
      <c r="M1610" s="11">
        <f>ABS(L1610/$U$6)</f>
        <v>5.5157888178106858E-2</v>
      </c>
      <c r="N1610" s="12">
        <f>L1610*SIN(RADIANS(K1610))</f>
        <v>-8.5891169259649711</v>
      </c>
      <c r="O1610" s="12">
        <f>L1610*COS(RADIANS(K1610))</f>
        <v>-16.857091111910961</v>
      </c>
      <c r="P1610" s="5">
        <v>5.2442388629555277</v>
      </c>
      <c r="Q1610" s="5">
        <v>0.63261521103021767</v>
      </c>
      <c r="R1610" s="6">
        <f>P1610/Q1610</f>
        <v>8.2897767418763983</v>
      </c>
    </row>
    <row r="1611" spans="1:18" x14ac:dyDescent="0.35">
      <c r="A1611" s="9">
        <v>1612</v>
      </c>
      <c r="B1611" s="5">
        <v>0.5</v>
      </c>
      <c r="C1611" s="5">
        <v>2000000</v>
      </c>
      <c r="D1611" s="5">
        <v>15</v>
      </c>
      <c r="E1611" s="5">
        <v>0</v>
      </c>
      <c r="F1611" s="5">
        <v>2.5000000000000001E-2</v>
      </c>
      <c r="G1611" s="12">
        <f>(C1611*$U$4)/($U$5*$U$3)</f>
        <v>29.387755102040813</v>
      </c>
      <c r="H1611" s="11">
        <f>G1611*COS(RADIANS(D1611))</f>
        <v>28.386391629719554</v>
      </c>
      <c r="I1611" s="11">
        <f>G1611*SIN(RADIANS(D1611))</f>
        <v>7.6061107132169354</v>
      </c>
      <c r="J1611" s="12">
        <v>0.23230000000000001</v>
      </c>
      <c r="K1611" s="12">
        <v>0</v>
      </c>
      <c r="L1611" s="12">
        <f>-(F1611*G1611*$U$3)/J1611</f>
        <v>-3.1626942641025413</v>
      </c>
      <c r="M1611" s="11">
        <f>ABS(L1611/$U$6)</f>
        <v>9.2206829857216944E-3</v>
      </c>
      <c r="N1611" s="12">
        <f>L1611*SIN(RADIANS(K1611))</f>
        <v>0</v>
      </c>
      <c r="O1611" s="12">
        <f>L1611*COS(RADIANS(K1611))</f>
        <v>-3.1626942641025413</v>
      </c>
      <c r="P1611" s="5">
        <v>2.2351333641592022</v>
      </c>
      <c r="Q1611" s="5">
        <v>0.82017411112065297</v>
      </c>
      <c r="R1611" s="6">
        <f>P1611/Q1611</f>
        <v>2.7251937531961423</v>
      </c>
    </row>
    <row r="1612" spans="1:18" x14ac:dyDescent="0.35">
      <c r="A1612" s="9">
        <v>1613</v>
      </c>
      <c r="B1612" s="5">
        <v>0.75</v>
      </c>
      <c r="C1612" s="5">
        <v>4000000</v>
      </c>
      <c r="D1612" s="5">
        <v>15</v>
      </c>
      <c r="E1612" s="5">
        <v>0.125</v>
      </c>
      <c r="F1612" s="5">
        <v>0.1</v>
      </c>
      <c r="G1612" s="12">
        <f>(C1612*$U$4)/($U$5*$U$3)</f>
        <v>58.775510204081627</v>
      </c>
      <c r="H1612" s="11">
        <f>G1612*COS(RADIANS(D1612))</f>
        <v>56.772783259439109</v>
      </c>
      <c r="I1612" s="11">
        <f>G1612*SIN(RADIANS(D1612))</f>
        <v>15.212221426433871</v>
      </c>
      <c r="J1612" s="12">
        <v>0.2802</v>
      </c>
      <c r="K1612" s="12">
        <v>19</v>
      </c>
      <c r="L1612" s="12">
        <f>-(F1612*G1612*$U$3)/J1612</f>
        <v>-20.976270593890657</v>
      </c>
      <c r="M1612" s="11">
        <f>ABS(L1612/$U$6)</f>
        <v>6.1155307853908623E-2</v>
      </c>
      <c r="N1612" s="12">
        <f>L1612*SIN(RADIANS(K1612))</f>
        <v>-6.8292057046469079</v>
      </c>
      <c r="O1612" s="12">
        <f>L1612*COS(RADIANS(K1612))</f>
        <v>-19.833453493321329</v>
      </c>
      <c r="P1612" s="5">
        <v>3.5656917133905752</v>
      </c>
      <c r="Q1612" s="5">
        <v>0.74067892862828677</v>
      </c>
      <c r="R1612" s="6">
        <f>P1612/Q1612</f>
        <v>4.8140855309521493</v>
      </c>
    </row>
    <row r="1613" spans="1:18" x14ac:dyDescent="0.35">
      <c r="A1613" s="9">
        <v>1614</v>
      </c>
      <c r="B1613" s="5">
        <v>0.25</v>
      </c>
      <c r="C1613" s="5">
        <v>6000000</v>
      </c>
      <c r="D1613" s="5">
        <v>30</v>
      </c>
      <c r="E1613" s="5">
        <v>0.25</v>
      </c>
      <c r="F1613" s="5">
        <v>0.05</v>
      </c>
      <c r="G1613" s="12">
        <f>(C1613*$U$4)/($U$5*$U$3)</f>
        <v>88.16326530612244</v>
      </c>
      <c r="H1613" s="11">
        <f>G1613*COS(RADIANS(D1613))</f>
        <v>76.351627435689281</v>
      </c>
      <c r="I1613" s="11">
        <f>G1613*SIN(RADIANS(D1613))</f>
        <v>44.081632653061213</v>
      </c>
      <c r="J1613" s="12">
        <v>0.1913</v>
      </c>
      <c r="K1613" s="11">
        <v>67</v>
      </c>
      <c r="L1613" s="12">
        <f>-(F1613*G1613*$U$3)/J1613</f>
        <v>-23.043195323084799</v>
      </c>
      <c r="M1613" s="11">
        <f>ABS(L1613/$U$6)</f>
        <v>6.7181327472550428E-2</v>
      </c>
      <c r="N1613" s="12">
        <f>L1613*SIN(RADIANS(K1613))</f>
        <v>-21.211373133952133</v>
      </c>
      <c r="O1613" s="12">
        <f>L1613*COS(RADIANS(K1613))</f>
        <v>-9.0036937125876779</v>
      </c>
      <c r="P1613" s="5">
        <v>2.2522458229685181</v>
      </c>
      <c r="Q1613" s="5">
        <v>0.90752772759291334</v>
      </c>
      <c r="R1613" s="6">
        <f>P1613/Q1613</f>
        <v>2.4817377524566395</v>
      </c>
    </row>
    <row r="1614" spans="1:18" x14ac:dyDescent="0.35">
      <c r="A1614" s="9">
        <v>1615</v>
      </c>
      <c r="B1614" s="5">
        <v>0.1</v>
      </c>
      <c r="C1614" s="5">
        <v>4000000</v>
      </c>
      <c r="D1614" s="5">
        <v>15</v>
      </c>
      <c r="E1614" s="5">
        <v>0.125</v>
      </c>
      <c r="F1614" s="5">
        <v>2.5000000000000001E-2</v>
      </c>
      <c r="G1614" s="12">
        <f>(C1614*$U$4)/($U$5*$U$3)</f>
        <v>58.775510204081627</v>
      </c>
      <c r="H1614" s="11">
        <f>G1614*COS(RADIANS(D1614))</f>
        <v>56.772783259439109</v>
      </c>
      <c r="I1614" s="11">
        <f>G1614*SIN(RADIANS(D1614))</f>
        <v>15.212221426433871</v>
      </c>
      <c r="J1614" s="12">
        <v>0.1658</v>
      </c>
      <c r="K1614" s="12">
        <v>69</v>
      </c>
      <c r="L1614" s="12">
        <f>-(F1614*G1614*$U$3)/J1614</f>
        <v>-8.8624110681667112</v>
      </c>
      <c r="M1614" s="11">
        <f>ABS(L1614/$U$6)</f>
        <v>2.5837933143343182E-2</v>
      </c>
      <c r="N1614" s="12">
        <f>L1614*SIN(RADIANS(K1614))</f>
        <v>-8.2737735048125991</v>
      </c>
      <c r="O1614" s="12">
        <f>L1614*COS(RADIANS(K1614))</f>
        <v>-3.1760040825264797</v>
      </c>
      <c r="P1614" s="5">
        <v>1.4052103894937187</v>
      </c>
      <c r="Q1614" s="5">
        <v>0.58158594687475262</v>
      </c>
      <c r="R1614" s="6">
        <f>P1614/Q1614</f>
        <v>2.4161697803133775</v>
      </c>
    </row>
    <row r="1615" spans="1:18" x14ac:dyDescent="0.35">
      <c r="A1615" s="9">
        <v>1616</v>
      </c>
      <c r="B1615" s="5">
        <v>0.1</v>
      </c>
      <c r="C1615" s="5">
        <v>4000000</v>
      </c>
      <c r="D1615" s="5">
        <v>15</v>
      </c>
      <c r="E1615" s="5">
        <v>0</v>
      </c>
      <c r="F1615" s="5">
        <v>7.4999999999999997E-2</v>
      </c>
      <c r="G1615" s="12">
        <f>(C1615*$U$4)/($U$5*$U$3)</f>
        <v>58.775510204081627</v>
      </c>
      <c r="H1615" s="11">
        <f>G1615*COS(RADIANS(D1615))</f>
        <v>56.772783259439109</v>
      </c>
      <c r="I1615" s="11">
        <f>G1615*SIN(RADIANS(D1615))</f>
        <v>15.212221426433871</v>
      </c>
      <c r="J1615" s="11">
        <v>0.16569999999999999</v>
      </c>
      <c r="K1615" s="12">
        <v>0</v>
      </c>
      <c r="L1615" s="12">
        <f>-(F1615*G1615*$U$3)/J1615</f>
        <v>-26.603278607761752</v>
      </c>
      <c r="M1615" s="11">
        <f>ABS(L1615/$U$6)</f>
        <v>7.7560579031375365E-2</v>
      </c>
      <c r="N1615" s="12">
        <f>L1615*SIN(RADIANS(K1615))</f>
        <v>0</v>
      </c>
      <c r="O1615" s="12">
        <f>L1615*COS(RADIANS(K1615))</f>
        <v>-26.603278607761752</v>
      </c>
      <c r="P1615" s="5">
        <v>1.6057875938976929</v>
      </c>
      <c r="Q1615" s="5">
        <v>0.54855194665186546</v>
      </c>
      <c r="R1615" s="6">
        <f>P1615/Q1615</f>
        <v>2.9273209286718553</v>
      </c>
    </row>
    <row r="1616" spans="1:18" x14ac:dyDescent="0.35">
      <c r="A1616" s="9">
        <v>1617</v>
      </c>
      <c r="B1616" s="5">
        <v>1</v>
      </c>
      <c r="C1616" s="5">
        <v>2000000</v>
      </c>
      <c r="D1616" s="5">
        <v>15</v>
      </c>
      <c r="E1616" s="5">
        <v>0.375</v>
      </c>
      <c r="F1616" s="5">
        <v>0.1</v>
      </c>
      <c r="G1616" s="12">
        <f>(C1616*$U$4)/($U$5*$U$3)</f>
        <v>29.387755102040813</v>
      </c>
      <c r="H1616" s="11">
        <f>G1616*COS(RADIANS(D1616))</f>
        <v>28.386391629719554</v>
      </c>
      <c r="I1616" s="11">
        <f>G1616*SIN(RADIANS(D1616))</f>
        <v>7.6061107132169354</v>
      </c>
      <c r="J1616" s="12">
        <v>0.33379999999999999</v>
      </c>
      <c r="K1616" s="11">
        <v>49</v>
      </c>
      <c r="L1616" s="12">
        <f>-(F1616*G1616*$U$3)/J1616</f>
        <v>-8.8040009293112096</v>
      </c>
      <c r="M1616" s="11">
        <f>ABS(L1616/$U$6)</f>
        <v>2.566764119332714E-2</v>
      </c>
      <c r="N1616" s="12">
        <f>L1616*SIN(RADIANS(K1616))</f>
        <v>-6.6444638456413578</v>
      </c>
      <c r="O1616" s="12">
        <f>L1616*COS(RADIANS(K1616))</f>
        <v>-5.7759443009154356</v>
      </c>
      <c r="P1616" s="5">
        <v>6.7755879450242711</v>
      </c>
      <c r="Q1616" s="5">
        <v>0.23910993366941635</v>
      </c>
      <c r="R1616" s="6">
        <f>P1616/Q1616</f>
        <v>28.336706221465157</v>
      </c>
    </row>
    <row r="1617" spans="1:18" x14ac:dyDescent="0.35">
      <c r="A1617" s="9">
        <v>1618</v>
      </c>
      <c r="B1617" s="5">
        <v>0.5</v>
      </c>
      <c r="C1617" s="5">
        <v>2000000</v>
      </c>
      <c r="D1617" s="5">
        <v>0</v>
      </c>
      <c r="E1617" s="5">
        <v>0</v>
      </c>
      <c r="F1617" s="5">
        <v>3.5000000000000003E-2</v>
      </c>
      <c r="G1617" s="12">
        <f>(C1617*$U$4)/($U$5*$U$3)</f>
        <v>29.387755102040813</v>
      </c>
      <c r="H1617" s="11">
        <f>G1617*COS(RADIANS(D1617))</f>
        <v>29.387755102040813</v>
      </c>
      <c r="I1617" s="11">
        <f>G1617*SIN(RADIANS(D1617))</f>
        <v>0</v>
      </c>
      <c r="J1617" s="12">
        <v>0.23230000000000001</v>
      </c>
      <c r="K1617" s="12">
        <v>0</v>
      </c>
      <c r="L1617" s="12">
        <f>-(F1617*G1617*$U$3)/J1617</f>
        <v>-4.4277719697435574</v>
      </c>
      <c r="M1617" s="11">
        <f>ABS(L1617/$U$6)</f>
        <v>1.2908956180010372E-2</v>
      </c>
      <c r="N1617" s="12">
        <f>L1617*SIN(RADIANS(K1617))</f>
        <v>0</v>
      </c>
      <c r="O1617" s="12">
        <f>L1617*COS(RADIANS(K1617))</f>
        <v>-4.4277719697435574</v>
      </c>
      <c r="P1617" s="5">
        <v>3.7972327591528807</v>
      </c>
      <c r="Q1617" s="5">
        <v>0.22785790194399863</v>
      </c>
      <c r="R1617" s="6">
        <f>P1617/Q1617</f>
        <v>16.664915839022072</v>
      </c>
    </row>
    <row r="1618" spans="1:18" x14ac:dyDescent="0.35">
      <c r="A1618" s="9">
        <v>1619</v>
      </c>
      <c r="B1618" s="5">
        <v>0.5</v>
      </c>
      <c r="C1618" s="5">
        <v>2000000</v>
      </c>
      <c r="D1618" s="5">
        <v>20</v>
      </c>
      <c r="E1618" s="5">
        <v>0.125</v>
      </c>
      <c r="F1618" s="5">
        <v>0</v>
      </c>
      <c r="G1618" s="12">
        <f>(C1618*$U$4)/($U$5*$U$3)</f>
        <v>29.387755102040813</v>
      </c>
      <c r="H1618" s="11">
        <f>G1618*COS(RADIANS(D1618))</f>
        <v>27.615456610851183</v>
      </c>
      <c r="I1618" s="11">
        <f>G1618*SIN(RADIANS(D1618))</f>
        <v>10.051204212019652</v>
      </c>
      <c r="J1618" s="12">
        <v>0.23300000000000001</v>
      </c>
      <c r="K1618" s="11">
        <v>27</v>
      </c>
      <c r="L1618" s="12">
        <f>-(F1618*G1618*$U$3)/J1618</f>
        <v>0</v>
      </c>
      <c r="M1618" s="11">
        <f>ABS(L1618/$U$6)</f>
        <v>0</v>
      </c>
      <c r="N1618" s="12">
        <f>L1618*SIN(RADIANS(K1618))</f>
        <v>0</v>
      </c>
      <c r="O1618" s="12">
        <f>L1618*COS(RADIANS(K1618))</f>
        <v>0</v>
      </c>
      <c r="P1618" s="5">
        <v>3.7687689050641566</v>
      </c>
      <c r="Q1618" s="5">
        <v>1.3607840296522877</v>
      </c>
      <c r="R1618" s="6">
        <f>P1618/Q1618</f>
        <v>2.7695569781394078</v>
      </c>
    </row>
    <row r="1619" spans="1:18" x14ac:dyDescent="0.35">
      <c r="A1619" s="9">
        <v>1620</v>
      </c>
      <c r="B1619" s="5">
        <v>0.5</v>
      </c>
      <c r="C1619" s="5">
        <v>4000000</v>
      </c>
      <c r="D1619" s="5">
        <v>20</v>
      </c>
      <c r="E1619" s="5">
        <v>0.375</v>
      </c>
      <c r="F1619" s="5">
        <v>0.1</v>
      </c>
      <c r="G1619" s="12">
        <f>(C1619*$U$4)/($U$5*$U$3)</f>
        <v>58.775510204081627</v>
      </c>
      <c r="H1619" s="11">
        <f>G1619*COS(RADIANS(D1619))</f>
        <v>55.230913221702366</v>
      </c>
      <c r="I1619" s="11">
        <f>G1619*SIN(RADIANS(D1619))</f>
        <v>20.102408424039304</v>
      </c>
      <c r="J1619" s="12">
        <v>0.24809999999999999</v>
      </c>
      <c r="K1619" s="12">
        <v>67</v>
      </c>
      <c r="L1619" s="12">
        <f>-(F1619*G1619*$U$3)/J1619</f>
        <v>-23.690249981491991</v>
      </c>
      <c r="M1619" s="11">
        <f>ABS(L1619/$U$6)</f>
        <v>6.9067784202600555E-2</v>
      </c>
      <c r="N1619" s="12">
        <f>L1619*SIN(RADIANS(K1619))</f>
        <v>-21.806990087464964</v>
      </c>
      <c r="O1619" s="12">
        <f>L1619*COS(RADIANS(K1619))</f>
        <v>-9.2565181094613607</v>
      </c>
      <c r="P1619" s="5">
        <v>4.3523645438230094</v>
      </c>
      <c r="Q1619" s="5">
        <v>0.6270848337773689</v>
      </c>
      <c r="R1619" s="6">
        <f>P1619/Q1619</f>
        <v>6.9406311704361991</v>
      </c>
    </row>
    <row r="1620" spans="1:18" x14ac:dyDescent="0.35">
      <c r="A1620" s="9">
        <v>1621</v>
      </c>
      <c r="B1620" s="5">
        <v>0.25</v>
      </c>
      <c r="C1620" s="5">
        <v>2000000</v>
      </c>
      <c r="D1620" s="5">
        <v>15</v>
      </c>
      <c r="E1620" s="5">
        <v>0.125</v>
      </c>
      <c r="F1620" s="5">
        <v>0.05</v>
      </c>
      <c r="G1620" s="12">
        <f>(C1620*$U$4)/($U$5*$U$3)</f>
        <v>29.387755102040813</v>
      </c>
      <c r="H1620" s="11">
        <f>G1620*COS(RADIANS(D1620))</f>
        <v>28.386391629719554</v>
      </c>
      <c r="I1620" s="11">
        <f>G1620*SIN(RADIANS(D1620))</f>
        <v>7.6061107132169354</v>
      </c>
      <c r="J1620" s="11">
        <v>0.19020000000000001</v>
      </c>
      <c r="K1620" s="12">
        <v>46</v>
      </c>
      <c r="L1620" s="12">
        <f>-(F1620*G1620*$U$3)/J1620</f>
        <v>-7.7254876714092564</v>
      </c>
      <c r="M1620" s="11">
        <f>ABS(L1620/$U$6)</f>
        <v>2.2523287671747102E-2</v>
      </c>
      <c r="N1620" s="12">
        <f>L1620*SIN(RADIANS(K1620))</f>
        <v>-5.5572507590702447</v>
      </c>
      <c r="O1620" s="12">
        <f>L1620*COS(RADIANS(K1620))</f>
        <v>-5.3665746768222276</v>
      </c>
      <c r="P1620" s="5">
        <v>2.2948203963537765</v>
      </c>
      <c r="Q1620" s="5">
        <v>0.56305241279480778</v>
      </c>
      <c r="R1620" s="6">
        <f>P1620/Q1620</f>
        <v>4.0756781148721837</v>
      </c>
    </row>
    <row r="1621" spans="1:18" x14ac:dyDescent="0.35">
      <c r="A1621" s="9">
        <v>1622</v>
      </c>
      <c r="B1621" s="5">
        <v>1</v>
      </c>
      <c r="C1621" s="5">
        <v>2000000</v>
      </c>
      <c r="D1621" s="5">
        <v>30</v>
      </c>
      <c r="E1621" s="5">
        <v>0.125</v>
      </c>
      <c r="F1621" s="5">
        <v>0</v>
      </c>
      <c r="G1621" s="12">
        <f>(C1621*$U$4)/($U$5*$U$3)</f>
        <v>29.387755102040813</v>
      </c>
      <c r="H1621" s="11">
        <f>G1621*COS(RADIANS(D1621))</f>
        <v>25.450542478563094</v>
      </c>
      <c r="I1621" s="11">
        <f>G1621*SIN(RADIANS(D1621))</f>
        <v>14.693877551020405</v>
      </c>
      <c r="J1621" s="11">
        <v>0.33379999999999999</v>
      </c>
      <c r="K1621" s="12">
        <v>14</v>
      </c>
      <c r="L1621" s="12">
        <f>-(F1621*G1621*$U$3)/J1621</f>
        <v>0</v>
      </c>
      <c r="M1621" s="11">
        <f>ABS(L1621/$U$6)</f>
        <v>0</v>
      </c>
      <c r="N1621" s="12">
        <f>L1621*SIN(RADIANS(K1621))</f>
        <v>0</v>
      </c>
      <c r="O1621" s="12">
        <f>L1621*COS(RADIANS(K1621))</f>
        <v>0</v>
      </c>
      <c r="P1621" s="5">
        <v>5.2669215188598395</v>
      </c>
      <c r="Q1621" s="5">
        <v>3.0514044583294204</v>
      </c>
      <c r="R1621" s="6">
        <f>P1621/Q1621</f>
        <v>1.7260646993166444</v>
      </c>
    </row>
    <row r="1622" spans="1:18" x14ac:dyDescent="0.35">
      <c r="A1622" s="9">
        <v>1623</v>
      </c>
      <c r="B1622" s="5">
        <v>0.5</v>
      </c>
      <c r="C1622" s="5">
        <v>4000000</v>
      </c>
      <c r="D1622" s="5">
        <v>5</v>
      </c>
      <c r="E1622" s="5">
        <v>0.375</v>
      </c>
      <c r="F1622" s="5">
        <v>0</v>
      </c>
      <c r="G1622" s="12">
        <f>(C1622*$U$4)/($U$5*$U$3)</f>
        <v>58.775510204081627</v>
      </c>
      <c r="H1622" s="11">
        <f>G1622*COS(RADIANS(D1622))</f>
        <v>58.551851642943404</v>
      </c>
      <c r="I1622" s="11">
        <f>G1622*SIN(RADIANS(D1622))</f>
        <v>5.1226232472092956</v>
      </c>
      <c r="J1622" s="12">
        <v>0.24809999999999999</v>
      </c>
      <c r="K1622" s="12">
        <v>67</v>
      </c>
      <c r="L1622" s="12">
        <f>-(F1622*G1622*$U$3)/J1622</f>
        <v>0</v>
      </c>
      <c r="M1622" s="11">
        <f>ABS(L1622/$U$6)</f>
        <v>0</v>
      </c>
      <c r="N1622" s="12">
        <f>L1622*SIN(RADIANS(K1622))</f>
        <v>0</v>
      </c>
      <c r="O1622" s="12">
        <f>L1622*COS(RADIANS(K1622))</f>
        <v>0</v>
      </c>
      <c r="P1622" s="5">
        <v>4.330047169675856</v>
      </c>
      <c r="Q1622" s="5">
        <v>0.54778171533240705</v>
      </c>
      <c r="R1622" s="6">
        <f>P1622/Q1622</f>
        <v>7.9046946045803663</v>
      </c>
    </row>
    <row r="1623" spans="1:18" x14ac:dyDescent="0.35">
      <c r="A1623" s="9">
        <v>1624</v>
      </c>
      <c r="B1623" s="5">
        <v>0.75</v>
      </c>
      <c r="C1623" s="5">
        <v>2000000</v>
      </c>
      <c r="D1623" s="5">
        <v>10</v>
      </c>
      <c r="E1623" s="5">
        <v>0.375</v>
      </c>
      <c r="F1623" s="5">
        <v>0</v>
      </c>
      <c r="G1623" s="12">
        <f>(C1623*$U$4)/($U$5*$U$3)</f>
        <v>29.387755102040813</v>
      </c>
      <c r="H1623" s="11">
        <f>G1623*COS(RADIANS(D1623))</f>
        <v>28.941289068113864</v>
      </c>
      <c r="I1623" s="11">
        <f>G1623*SIN(RADIANS(D1623))</f>
        <v>5.1031301191914213</v>
      </c>
      <c r="J1623" s="11">
        <v>0.29299999999999998</v>
      </c>
      <c r="K1623" s="12">
        <v>57</v>
      </c>
      <c r="L1623" s="12">
        <f>-(F1623*G1623*$U$3)/J1623</f>
        <v>0</v>
      </c>
      <c r="M1623" s="11">
        <f>ABS(L1623/$U$6)</f>
        <v>0</v>
      </c>
      <c r="N1623" s="12">
        <f>L1623*SIN(RADIANS(K1623))</f>
        <v>0</v>
      </c>
      <c r="O1623" s="12">
        <f>L1623*COS(RADIANS(K1623))</f>
        <v>0</v>
      </c>
      <c r="P1623" s="5">
        <v>4.9595109070140708</v>
      </c>
      <c r="Q1623" s="5">
        <v>0.99487279743160895</v>
      </c>
      <c r="R1623" s="6">
        <f>P1623/Q1623</f>
        <v>4.985070372632241</v>
      </c>
    </row>
    <row r="1624" spans="1:18" x14ac:dyDescent="0.35">
      <c r="A1624" s="9">
        <v>1625</v>
      </c>
      <c r="B1624" s="5">
        <v>0.75</v>
      </c>
      <c r="C1624" s="5">
        <v>4000000</v>
      </c>
      <c r="D1624" s="5">
        <v>20</v>
      </c>
      <c r="E1624" s="5">
        <v>0.125</v>
      </c>
      <c r="F1624" s="5">
        <v>1.4999999999999999E-2</v>
      </c>
      <c r="G1624" s="12">
        <f>(C1624*$U$4)/($U$5*$U$3)</f>
        <v>58.775510204081627</v>
      </c>
      <c r="H1624" s="11">
        <f>G1624*COS(RADIANS(D1624))</f>
        <v>55.230913221702366</v>
      </c>
      <c r="I1624" s="11">
        <f>G1624*SIN(RADIANS(D1624))</f>
        <v>20.102408424039304</v>
      </c>
      <c r="J1624" s="12">
        <v>0.2802</v>
      </c>
      <c r="K1624" s="12">
        <v>19</v>
      </c>
      <c r="L1624" s="12">
        <f>-(F1624*G1624*$U$3)/J1624</f>
        <v>-3.1464405890835989</v>
      </c>
      <c r="M1624" s="11">
        <f>ABS(L1624/$U$6)</f>
        <v>9.1732961780862949E-3</v>
      </c>
      <c r="N1624" s="12">
        <f>L1624*SIN(RADIANS(K1624))</f>
        <v>-1.0243808556970362</v>
      </c>
      <c r="O1624" s="12">
        <f>L1624*COS(RADIANS(K1624))</f>
        <v>-2.9750180239981998</v>
      </c>
      <c r="P1624" s="5">
        <v>3.6129809857728827</v>
      </c>
      <c r="Q1624" s="5">
        <v>1.0761783283999351</v>
      </c>
      <c r="R1624" s="6">
        <f>P1624/Q1624</f>
        <v>3.3572326169629085</v>
      </c>
    </row>
    <row r="1625" spans="1:18" x14ac:dyDescent="0.35">
      <c r="A1625" s="9">
        <v>1626</v>
      </c>
      <c r="B1625" s="5">
        <v>1</v>
      </c>
      <c r="C1625" s="5">
        <v>6000000</v>
      </c>
      <c r="D1625" s="5">
        <v>20</v>
      </c>
      <c r="E1625" s="5">
        <v>0.125</v>
      </c>
      <c r="F1625" s="5">
        <v>7.4999999999999997E-2</v>
      </c>
      <c r="G1625" s="12">
        <f>(C1625*$U$4)/($U$5*$U$3)</f>
        <v>88.16326530612244</v>
      </c>
      <c r="H1625" s="11">
        <f>G1625*COS(RADIANS(D1625))</f>
        <v>82.846369832553549</v>
      </c>
      <c r="I1625" s="11">
        <f>G1625*SIN(RADIANS(D1625))</f>
        <v>30.153612636058952</v>
      </c>
      <c r="J1625" s="11">
        <v>0.33379999999999999</v>
      </c>
      <c r="K1625" s="12">
        <v>14</v>
      </c>
      <c r="L1625" s="12">
        <f>-(F1625*G1625*$U$3)/J1625</f>
        <v>-19.809002090950219</v>
      </c>
      <c r="M1625" s="11">
        <f>ABS(L1625/$U$6)</f>
        <v>5.7752192684986062E-2</v>
      </c>
      <c r="N1625" s="12">
        <f>L1625*SIN(RADIANS(K1625))</f>
        <v>-4.7922313357804587</v>
      </c>
      <c r="O1625" s="12">
        <f>L1625*COS(RADIANS(K1625))</f>
        <v>-19.220590070641276</v>
      </c>
      <c r="P1625" s="5">
        <v>2.9921344236732033</v>
      </c>
      <c r="Q1625" s="5">
        <v>1.1013379364219207</v>
      </c>
      <c r="R1625" s="6">
        <f>P1625/Q1625</f>
        <v>2.7168177220828262</v>
      </c>
    </row>
    <row r="1626" spans="1:18" x14ac:dyDescent="0.35">
      <c r="A1626" s="9">
        <v>1627</v>
      </c>
      <c r="B1626" s="5">
        <v>0.1</v>
      </c>
      <c r="C1626" s="5">
        <v>6000000</v>
      </c>
      <c r="D1626" s="5">
        <v>0</v>
      </c>
      <c r="E1626" s="5">
        <v>0.25</v>
      </c>
      <c r="F1626" s="5">
        <v>2.5000000000000001E-2</v>
      </c>
      <c r="G1626" s="12">
        <f>(C1626*$U$4)/($U$5*$U$3)</f>
        <v>88.16326530612244</v>
      </c>
      <c r="H1626" s="11">
        <f>G1626*COS(RADIANS(D1626))</f>
        <v>88.16326530612244</v>
      </c>
      <c r="I1626" s="11">
        <f>G1626*SIN(RADIANS(D1626))</f>
        <v>0</v>
      </c>
      <c r="J1626" s="11">
        <v>0.1661</v>
      </c>
      <c r="K1626" s="12">
        <v>80</v>
      </c>
      <c r="L1626" s="12">
        <f>-(F1626*G1626*$U$3)/J1626</f>
        <v>-13.269606457875142</v>
      </c>
      <c r="M1626" s="11">
        <f>ABS(L1626/$U$6)</f>
        <v>3.8686899294096626E-2</v>
      </c>
      <c r="N1626" s="12">
        <f>L1626*SIN(RADIANS(K1626))</f>
        <v>-13.068011319136303</v>
      </c>
      <c r="O1626" s="12">
        <f>L1626*COS(RADIANS(K1626))</f>
        <v>-2.3042429797673498</v>
      </c>
      <c r="P1626" s="5">
        <v>1.3924594389932055</v>
      </c>
      <c r="Q1626" s="5">
        <v>0.23614550313680568</v>
      </c>
      <c r="R1626" s="6">
        <f>P1626/Q1626</f>
        <v>5.896616367860771</v>
      </c>
    </row>
    <row r="1627" spans="1:18" x14ac:dyDescent="0.35">
      <c r="A1627" s="9">
        <v>1628</v>
      </c>
      <c r="B1627" s="5">
        <v>0.1</v>
      </c>
      <c r="C1627" s="5">
        <v>6000000</v>
      </c>
      <c r="D1627" s="5">
        <v>30</v>
      </c>
      <c r="E1627" s="5">
        <v>0.25</v>
      </c>
      <c r="F1627" s="5">
        <v>2.5000000000000001E-2</v>
      </c>
      <c r="G1627" s="12">
        <f>(C1627*$U$4)/($U$5*$U$3)</f>
        <v>88.16326530612244</v>
      </c>
      <c r="H1627" s="11">
        <f>G1627*COS(RADIANS(D1627))</f>
        <v>76.351627435689281</v>
      </c>
      <c r="I1627" s="11">
        <f>G1627*SIN(RADIANS(D1627))</f>
        <v>44.081632653061213</v>
      </c>
      <c r="J1627" s="11">
        <v>0.1661</v>
      </c>
      <c r="K1627" s="12">
        <v>80</v>
      </c>
      <c r="L1627" s="12">
        <f>-(F1627*G1627*$U$3)/J1627</f>
        <v>-13.269606457875142</v>
      </c>
      <c r="M1627" s="11">
        <f>ABS(L1627/$U$6)</f>
        <v>3.8686899294096626E-2</v>
      </c>
      <c r="N1627" s="12">
        <f>L1627*SIN(RADIANS(K1627))</f>
        <v>-13.068011319136303</v>
      </c>
      <c r="O1627" s="12">
        <f>L1627*COS(RADIANS(K1627))</f>
        <v>-2.3042429797673498</v>
      </c>
      <c r="P1627" s="5">
        <v>1.2253666549846787</v>
      </c>
      <c r="Q1627" s="5">
        <v>0.97141335856080613</v>
      </c>
      <c r="R1627" s="6">
        <f>P1627/Q1627</f>
        <v>1.2614266050449585</v>
      </c>
    </row>
    <row r="1628" spans="1:18" x14ac:dyDescent="0.35">
      <c r="A1628" s="9">
        <v>1629</v>
      </c>
      <c r="B1628" s="5">
        <v>0.5</v>
      </c>
      <c r="C1628" s="5">
        <v>4000000</v>
      </c>
      <c r="D1628" s="5">
        <v>0</v>
      </c>
      <c r="E1628" s="5">
        <v>0.25</v>
      </c>
      <c r="F1628" s="5">
        <v>0.1</v>
      </c>
      <c r="G1628" s="12">
        <f>(C1628*$U$4)/($U$5*$U$3)</f>
        <v>58.775510204081627</v>
      </c>
      <c r="H1628" s="11">
        <f>G1628*COS(RADIANS(D1628))</f>
        <v>58.775510204081627</v>
      </c>
      <c r="I1628" s="11">
        <f>G1628*SIN(RADIANS(D1628))</f>
        <v>0</v>
      </c>
      <c r="J1628" s="11">
        <v>0.23580000000000001</v>
      </c>
      <c r="K1628" s="11">
        <v>49</v>
      </c>
      <c r="L1628" s="12">
        <f>-(F1628*G1628*$U$3)/J1628</f>
        <v>-24.926000934725032</v>
      </c>
      <c r="M1628" s="11">
        <f>ABS(L1628/$U$6)</f>
        <v>7.2670556661005928E-2</v>
      </c>
      <c r="N1628" s="12">
        <f>L1628*SIN(RADIANS(K1628))</f>
        <v>-18.81189170207875</v>
      </c>
      <c r="O1628" s="12">
        <f>L1628*COS(RADIANS(K1628))</f>
        <v>-16.352927969852182</v>
      </c>
      <c r="P1628" s="5">
        <v>4.7603894020531516</v>
      </c>
      <c r="Q1628" s="5">
        <v>-0.32767401821074144</v>
      </c>
      <c r="R1628" s="6">
        <f>P1628/Q1628</f>
        <v>-14.527820753220469</v>
      </c>
    </row>
    <row r="1629" spans="1:18" x14ac:dyDescent="0.35">
      <c r="A1629" s="9">
        <v>1630</v>
      </c>
      <c r="B1629" s="5">
        <v>0.25</v>
      </c>
      <c r="C1629" s="5">
        <v>6000000</v>
      </c>
      <c r="D1629" s="5">
        <v>5</v>
      </c>
      <c r="E1629" s="5">
        <v>0.375</v>
      </c>
      <c r="F1629" s="5">
        <v>1.4999999999999999E-2</v>
      </c>
      <c r="G1629" s="12">
        <f>(C1629*$U$4)/($U$5*$U$3)</f>
        <v>88.16326530612244</v>
      </c>
      <c r="H1629" s="11">
        <f>G1629*COS(RADIANS(D1629))</f>
        <v>87.827777464415107</v>
      </c>
      <c r="I1629" s="11">
        <f>G1629*SIN(RADIANS(D1629))</f>
        <v>7.6839348708139434</v>
      </c>
      <c r="J1629" s="11">
        <v>0.1976</v>
      </c>
      <c r="K1629" s="12">
        <v>78</v>
      </c>
      <c r="L1629" s="12">
        <f>-(F1629*G1629*$U$3)/J1629</f>
        <v>-6.6925555647360149</v>
      </c>
      <c r="M1629" s="11">
        <f>ABS(L1629/$U$6)</f>
        <v>1.9511823803895087E-2</v>
      </c>
      <c r="N1629" s="12">
        <f>L1629*SIN(RADIANS(K1629))</f>
        <v>-6.546307168424212</v>
      </c>
      <c r="O1629" s="12">
        <f>L1629*COS(RADIANS(K1629))</f>
        <v>-1.3914605433560698</v>
      </c>
      <c r="P1629" s="5">
        <v>2.2433759125184389</v>
      </c>
      <c r="Q1629" s="5">
        <v>0.32226272773390635</v>
      </c>
      <c r="R1629" s="6">
        <f>P1629/Q1629</f>
        <v>6.9613260220735285</v>
      </c>
    </row>
    <row r="1630" spans="1:18" x14ac:dyDescent="0.35">
      <c r="A1630" s="9">
        <v>1631</v>
      </c>
      <c r="B1630" s="5">
        <v>0.1</v>
      </c>
      <c r="C1630" s="5">
        <v>2000000</v>
      </c>
      <c r="D1630" s="5">
        <v>20</v>
      </c>
      <c r="E1630" s="5">
        <v>0.375</v>
      </c>
      <c r="F1630" s="5">
        <v>0.15</v>
      </c>
      <c r="G1630" s="12">
        <f>(C1630*$U$4)/($U$5*$U$3)</f>
        <v>29.387755102040813</v>
      </c>
      <c r="H1630" s="11">
        <f>G1630*COS(RADIANS(D1630))</f>
        <v>27.615456610851183</v>
      </c>
      <c r="I1630" s="11">
        <f>G1630*SIN(RADIANS(D1630))</f>
        <v>10.051204212019652</v>
      </c>
      <c r="J1630" s="12">
        <v>0.16789999999999999</v>
      </c>
      <c r="K1630" s="11">
        <v>85</v>
      </c>
      <c r="L1630" s="12">
        <f>-(F1630*G1630*$U$3)/J1630</f>
        <v>-26.254694849947125</v>
      </c>
      <c r="M1630" s="11">
        <f>ABS(L1630/$U$6)</f>
        <v>7.6544299854073253E-2</v>
      </c>
      <c r="N1630" s="12">
        <f>L1630*SIN(RADIANS(K1630))</f>
        <v>-26.154787809533982</v>
      </c>
      <c r="O1630" s="12">
        <f>L1630*COS(RADIANS(K1630))</f>
        <v>-2.2882474302602565</v>
      </c>
      <c r="P1630" s="5">
        <v>2.170485714148263</v>
      </c>
      <c r="Q1630" s="5">
        <v>0.94624095966518329</v>
      </c>
      <c r="R1630" s="6">
        <f>P1630/Q1630</f>
        <v>2.2937980986537139</v>
      </c>
    </row>
    <row r="1631" spans="1:18" x14ac:dyDescent="0.35">
      <c r="A1631" s="9">
        <v>1632</v>
      </c>
      <c r="B1631" s="5">
        <v>0.75</v>
      </c>
      <c r="C1631" s="5">
        <v>2000000</v>
      </c>
      <c r="D1631" s="5">
        <v>5</v>
      </c>
      <c r="E1631" s="5">
        <v>0.375</v>
      </c>
      <c r="F1631" s="5">
        <v>0</v>
      </c>
      <c r="G1631" s="12">
        <f>(C1631*$U$4)/($U$5*$U$3)</f>
        <v>29.387755102040813</v>
      </c>
      <c r="H1631" s="11">
        <f>G1631*COS(RADIANS(D1631))</f>
        <v>29.275925821471702</v>
      </c>
      <c r="I1631" s="11">
        <f>G1631*SIN(RADIANS(D1631))</f>
        <v>2.5613116236046478</v>
      </c>
      <c r="J1631" s="11">
        <v>0.29299999999999998</v>
      </c>
      <c r="K1631" s="12">
        <v>57</v>
      </c>
      <c r="L1631" s="12">
        <f>-(F1631*G1631*$U$3)/J1631</f>
        <v>0</v>
      </c>
      <c r="M1631" s="11">
        <f>ABS(L1631/$U$6)</f>
        <v>0</v>
      </c>
      <c r="N1631" s="12">
        <f>L1631*SIN(RADIANS(K1631))</f>
        <v>0</v>
      </c>
      <c r="O1631" s="12">
        <f>L1631*COS(RADIANS(K1631))</f>
        <v>0</v>
      </c>
      <c r="P1631" s="5">
        <v>5.153543589481016</v>
      </c>
      <c r="Q1631" s="5">
        <v>0.6676865383542433</v>
      </c>
      <c r="R1631" s="6">
        <f>P1631/Q1631</f>
        <v>7.7185075532356864</v>
      </c>
    </row>
    <row r="1632" spans="1:18" x14ac:dyDescent="0.35">
      <c r="A1632" s="9">
        <v>822</v>
      </c>
      <c r="B1632" s="5">
        <v>0.1</v>
      </c>
      <c r="C1632" s="5">
        <v>6000000</v>
      </c>
      <c r="D1632" s="5">
        <v>5</v>
      </c>
      <c r="E1632" s="5">
        <v>0.375</v>
      </c>
      <c r="F1632" s="5">
        <v>7.4999999999999997E-2</v>
      </c>
      <c r="G1632" s="12">
        <f>(C1632*$U$4)/($U$5*$U$3)</f>
        <v>88.16326530612244</v>
      </c>
      <c r="H1632" s="11">
        <f>G1632*COS(RADIANS(D1632))</f>
        <v>87.827777464415107</v>
      </c>
      <c r="I1632" s="11">
        <f>G1632*SIN(RADIANS(D1632))</f>
        <v>7.6839348708139434</v>
      </c>
      <c r="J1632" s="12">
        <v>0.16789999999999999</v>
      </c>
      <c r="K1632" s="20">
        <v>85</v>
      </c>
      <c r="L1632" s="12">
        <f>-(F1632*G1632*$U$3)/J1632</f>
        <v>-39.382042274920686</v>
      </c>
      <c r="M1632" s="11">
        <f>ABS(L1632/$U$6)</f>
        <v>0.11481644978110987</v>
      </c>
      <c r="N1632" s="12">
        <f>L1632*SIN(RADIANS(K1632))</f>
        <v>-39.232181714300971</v>
      </c>
      <c r="O1632" s="12">
        <f>L1632*COS(RADIANS(K1632))</f>
        <v>-3.4323711453903849</v>
      </c>
      <c r="P1632" s="5">
        <v>1.9453077236774365</v>
      </c>
      <c r="Q1632" s="5">
        <v>0.33218266611626479</v>
      </c>
      <c r="R1632" s="6">
        <f>P1632/Q1632</f>
        <v>5.8561385710492608</v>
      </c>
    </row>
    <row r="1633" spans="1:18" x14ac:dyDescent="0.35">
      <c r="A1633" s="9">
        <v>1290</v>
      </c>
      <c r="B1633" s="5">
        <v>0.1</v>
      </c>
      <c r="C1633" s="5">
        <v>6000000</v>
      </c>
      <c r="D1633" s="5">
        <v>15</v>
      </c>
      <c r="E1633" s="5">
        <v>0.375</v>
      </c>
      <c r="F1633" s="5">
        <v>7.4999999999999997E-2</v>
      </c>
      <c r="G1633" s="12">
        <f>(C1633*$U$4)/($U$5*$U$3)</f>
        <v>88.16326530612244</v>
      </c>
      <c r="H1633" s="11">
        <f>G1633*COS(RADIANS(D1633))</f>
        <v>85.159174889158663</v>
      </c>
      <c r="I1633" s="11">
        <f>G1633*SIN(RADIANS(D1633))</f>
        <v>22.818332139650806</v>
      </c>
      <c r="J1633" s="12">
        <v>0.16789999999999999</v>
      </c>
      <c r="K1633" s="11">
        <v>85</v>
      </c>
      <c r="L1633" s="12">
        <f>-(F1633*G1633*$U$3)/J1633</f>
        <v>-39.382042274920686</v>
      </c>
      <c r="M1633" s="11">
        <f>ABS(L1633/$U$6)</f>
        <v>0.11481644978110987</v>
      </c>
      <c r="N1633" s="12">
        <f>L1633*SIN(RADIANS(K1633))</f>
        <v>-39.232181714300971</v>
      </c>
      <c r="O1633" s="12">
        <f>L1633*COS(RADIANS(K1633))</f>
        <v>-3.4323711453903849</v>
      </c>
      <c r="P1633" s="5">
        <v>1.966333347600552</v>
      </c>
      <c r="Q1633" s="5">
        <v>0.70925576800624812</v>
      </c>
      <c r="R1633" s="6">
        <f>P1633/Q1633</f>
        <v>2.7723896460200939</v>
      </c>
    </row>
    <row r="1634" spans="1:18" x14ac:dyDescent="0.35">
      <c r="A1634" s="9">
        <v>1635</v>
      </c>
      <c r="B1634" s="5">
        <v>0.75</v>
      </c>
      <c r="C1634" s="5">
        <v>4000000</v>
      </c>
      <c r="D1634" s="5">
        <v>0</v>
      </c>
      <c r="E1634" s="5">
        <v>0</v>
      </c>
      <c r="F1634" s="5">
        <v>2.5000000000000001E-2</v>
      </c>
      <c r="G1634" s="12">
        <f>(C1634*$U$4)/($U$5*$U$3)</f>
        <v>58.775510204081627</v>
      </c>
      <c r="H1634" s="11">
        <f>G1634*COS(RADIANS(D1634))</f>
        <v>58.775510204081627</v>
      </c>
      <c r="I1634" s="11">
        <f>G1634*SIN(RADIANS(D1634))</f>
        <v>0</v>
      </c>
      <c r="J1634" s="11">
        <v>0.27929999999999999</v>
      </c>
      <c r="K1634" s="12">
        <v>0</v>
      </c>
      <c r="L1634" s="12">
        <f>-(F1634*G1634*$U$3)/J1634</f>
        <v>-5.260965825642824</v>
      </c>
      <c r="M1634" s="11">
        <f>ABS(L1634/$U$6)</f>
        <v>1.5338092786130682E-2</v>
      </c>
      <c r="N1634" s="12">
        <f>L1634*SIN(RADIANS(K1634))</f>
        <v>0</v>
      </c>
      <c r="O1634" s="12">
        <f>L1634*COS(RADIANS(K1634))</f>
        <v>-5.260965825642824</v>
      </c>
      <c r="P1634" s="5">
        <v>2.8546257055477868</v>
      </c>
      <c r="Q1634" s="5">
        <v>0.89229423734604896</v>
      </c>
      <c r="R1634" s="6">
        <f>P1634/Q1634</f>
        <v>3.199197737775715</v>
      </c>
    </row>
    <row r="1635" spans="1:18" x14ac:dyDescent="0.35">
      <c r="A1635" s="9">
        <v>1636</v>
      </c>
      <c r="B1635" s="5">
        <v>1</v>
      </c>
      <c r="C1635" s="5">
        <v>2000000</v>
      </c>
      <c r="D1635" s="5">
        <v>5</v>
      </c>
      <c r="E1635" s="5">
        <v>0.25</v>
      </c>
      <c r="F1635" s="5">
        <v>0.1</v>
      </c>
      <c r="G1635" s="12">
        <f>(C1635*$U$4)/($U$5*$U$3)</f>
        <v>29.387755102040813</v>
      </c>
      <c r="H1635" s="11">
        <f>G1635*COS(RADIANS(D1635))</f>
        <v>29.275925821471702</v>
      </c>
      <c r="I1635" s="11">
        <f>G1635*SIN(RADIANS(D1635))</f>
        <v>2.5613116236046478</v>
      </c>
      <c r="J1635" s="13">
        <v>0.33379999999999999</v>
      </c>
      <c r="K1635" s="12">
        <v>30</v>
      </c>
      <c r="L1635" s="12">
        <f>-(F1635*G1635*$U$3)/J1635</f>
        <v>-8.8040009293112096</v>
      </c>
      <c r="M1635" s="11">
        <f>ABS(L1635/$U$6)</f>
        <v>2.566764119332714E-2</v>
      </c>
      <c r="N1635" s="12">
        <f>L1635*SIN(RADIANS(K1635))</f>
        <v>-4.4020004646556039</v>
      </c>
      <c r="O1635" s="12">
        <f>L1635*COS(RADIANS(K1635))</f>
        <v>-7.6244884597253142</v>
      </c>
      <c r="P1635" s="5">
        <v>9.4901919406133377</v>
      </c>
      <c r="Q1635" s="5">
        <v>-1.2436694342228949</v>
      </c>
      <c r="R1635" s="6">
        <f>P1635/Q1635</f>
        <v>-7.6307993743878342</v>
      </c>
    </row>
    <row r="1636" spans="1:18" x14ac:dyDescent="0.35">
      <c r="A1636" s="9">
        <v>1637</v>
      </c>
      <c r="B1636" s="5">
        <v>0.5</v>
      </c>
      <c r="C1636" s="5">
        <v>4000000</v>
      </c>
      <c r="D1636" s="5">
        <v>0</v>
      </c>
      <c r="E1636" s="5">
        <v>0.125</v>
      </c>
      <c r="F1636" s="5">
        <v>0</v>
      </c>
      <c r="G1636" s="12">
        <f>(C1636*$U$4)/($U$5*$U$3)</f>
        <v>58.775510204081627</v>
      </c>
      <c r="H1636" s="11">
        <f>G1636*COS(RADIANS(D1636))</f>
        <v>58.775510204081627</v>
      </c>
      <c r="I1636" s="11">
        <f>G1636*SIN(RADIANS(D1636))</f>
        <v>0</v>
      </c>
      <c r="J1636" s="12">
        <v>0.23300000000000001</v>
      </c>
      <c r="K1636" s="11">
        <v>27</v>
      </c>
      <c r="L1636" s="12">
        <f>-(F1636*G1636*$U$3)/J1636</f>
        <v>0</v>
      </c>
      <c r="M1636" s="11">
        <f>ABS(L1636/$U$6)</f>
        <v>0</v>
      </c>
      <c r="N1636" s="12">
        <f>L1636*SIN(RADIANS(K1636))</f>
        <v>0</v>
      </c>
      <c r="O1636" s="12">
        <f>L1636*COS(RADIANS(K1636))</f>
        <v>0</v>
      </c>
      <c r="P1636" s="5">
        <v>4.0816373591918174</v>
      </c>
      <c r="Q1636" s="5">
        <v>0.41682411880783937</v>
      </c>
      <c r="R1636" s="6">
        <f>P1636/Q1636</f>
        <v>9.7922293241229124</v>
      </c>
    </row>
    <row r="1637" spans="1:18" x14ac:dyDescent="0.35">
      <c r="A1637" s="9">
        <v>1638</v>
      </c>
      <c r="B1637" s="5">
        <v>0.1</v>
      </c>
      <c r="C1637" s="5">
        <v>2000000</v>
      </c>
      <c r="D1637" s="5">
        <v>5</v>
      </c>
      <c r="E1637" s="5">
        <v>0</v>
      </c>
      <c r="F1637" s="5">
        <v>0.05</v>
      </c>
      <c r="G1637" s="12">
        <f>(C1637*$U$4)/($U$5*$U$3)</f>
        <v>29.387755102040813</v>
      </c>
      <c r="H1637" s="11">
        <f>G1637*COS(RADIANS(D1637))</f>
        <v>29.275925821471702</v>
      </c>
      <c r="I1637" s="11">
        <f>G1637*SIN(RADIANS(D1637))</f>
        <v>2.5613116236046478</v>
      </c>
      <c r="J1637" s="11">
        <v>0.16569999999999999</v>
      </c>
      <c r="K1637" s="12">
        <v>0</v>
      </c>
      <c r="L1637" s="12">
        <f>-(F1637*G1637*$U$3)/J1637</f>
        <v>-8.8677595359205839</v>
      </c>
      <c r="M1637" s="11">
        <f>ABS(L1637/$U$6)</f>
        <v>2.5853526343791788E-2</v>
      </c>
      <c r="N1637" s="12">
        <f>L1637*SIN(RADIANS(K1637))</f>
        <v>0</v>
      </c>
      <c r="O1637" s="12">
        <f>L1637*COS(RADIANS(K1637))</f>
        <v>-8.8677595359205839</v>
      </c>
      <c r="P1637" s="5">
        <v>1.3401747484956685</v>
      </c>
      <c r="Q1637" s="5">
        <v>0.30763190034607463</v>
      </c>
      <c r="R1637" s="6">
        <f>P1637/Q1637</f>
        <v>4.3564232024962983</v>
      </c>
    </row>
    <row r="1638" spans="1:18" x14ac:dyDescent="0.35">
      <c r="A1638" s="9">
        <v>1639</v>
      </c>
      <c r="B1638" s="5">
        <v>0.25</v>
      </c>
      <c r="C1638" s="5">
        <v>2000000</v>
      </c>
      <c r="D1638" s="5">
        <v>5</v>
      </c>
      <c r="E1638" s="5">
        <v>0.125</v>
      </c>
      <c r="F1638" s="5">
        <v>7.4999999999999997E-2</v>
      </c>
      <c r="G1638" s="12">
        <f>(C1638*$U$4)/($U$5*$U$3)</f>
        <v>29.387755102040813</v>
      </c>
      <c r="H1638" s="11">
        <f>G1638*COS(RADIANS(D1638))</f>
        <v>29.275925821471702</v>
      </c>
      <c r="I1638" s="11">
        <f>G1638*SIN(RADIANS(D1638))</f>
        <v>2.5613116236046478</v>
      </c>
      <c r="J1638" s="11">
        <v>0.19020000000000001</v>
      </c>
      <c r="K1638" s="12">
        <v>46</v>
      </c>
      <c r="L1638" s="12">
        <f>-(F1638*G1638*$U$3)/J1638</f>
        <v>-11.588231507113885</v>
      </c>
      <c r="M1638" s="11">
        <f>ABS(L1638/$U$6)</f>
        <v>3.3784931507620658E-2</v>
      </c>
      <c r="N1638" s="12">
        <f>L1638*SIN(RADIANS(K1638))</f>
        <v>-8.3358761386053679</v>
      </c>
      <c r="O1638" s="12">
        <f>L1638*COS(RADIANS(K1638))</f>
        <v>-8.0498620152333409</v>
      </c>
      <c r="P1638" s="5">
        <v>2.4309858630939005</v>
      </c>
      <c r="Q1638" s="5">
        <v>0.27504819753445092</v>
      </c>
      <c r="R1638" s="6">
        <f>P1638/Q1638</f>
        <v>8.8383995419181378</v>
      </c>
    </row>
    <row r="1639" spans="1:18" x14ac:dyDescent="0.35">
      <c r="A1639" s="9">
        <v>1640</v>
      </c>
      <c r="B1639" s="5">
        <v>0.25</v>
      </c>
      <c r="C1639" s="5">
        <v>6000000</v>
      </c>
      <c r="D1639" s="5">
        <v>15</v>
      </c>
      <c r="E1639" s="5">
        <v>0</v>
      </c>
      <c r="F1639" s="5">
        <v>0</v>
      </c>
      <c r="G1639" s="12">
        <f>(C1639*$U$4)/($U$5*$U$3)</f>
        <v>88.16326530612244</v>
      </c>
      <c r="H1639" s="11">
        <f>G1639*COS(RADIANS(D1639))</f>
        <v>85.159174889158663</v>
      </c>
      <c r="I1639" s="11">
        <f>G1639*SIN(RADIANS(D1639))</f>
        <v>22.818332139650806</v>
      </c>
      <c r="J1639" s="12">
        <v>0.18990000000000001</v>
      </c>
      <c r="K1639" s="12">
        <v>0</v>
      </c>
      <c r="L1639" s="12">
        <f>-(F1639*G1639*$U$3)/J1639</f>
        <v>0</v>
      </c>
      <c r="M1639" s="11">
        <f>ABS(L1639/$U$6)</f>
        <v>0</v>
      </c>
      <c r="N1639" s="12">
        <f>L1639*SIN(RADIANS(K1639))</f>
        <v>0</v>
      </c>
      <c r="O1639" s="12">
        <f>L1639*COS(RADIANS(K1639))</f>
        <v>0</v>
      </c>
      <c r="P1639" s="5">
        <v>2.2864750323912504</v>
      </c>
      <c r="Q1639" s="5">
        <v>0.65775215245327356</v>
      </c>
      <c r="R1639" s="6">
        <f>P1639/Q1639</f>
        <v>3.4761954390619505</v>
      </c>
    </row>
    <row r="1640" spans="1:18" x14ac:dyDescent="0.35">
      <c r="A1640" s="9">
        <v>1641</v>
      </c>
      <c r="B1640" s="5">
        <v>0.1</v>
      </c>
      <c r="C1640" s="5">
        <v>2000000</v>
      </c>
      <c r="D1640" s="5">
        <v>20</v>
      </c>
      <c r="E1640" s="5">
        <v>0.125</v>
      </c>
      <c r="F1640" s="5">
        <v>1.4999999999999999E-2</v>
      </c>
      <c r="G1640" s="12">
        <f>(C1640*$U$4)/($U$5*$U$3)</f>
        <v>29.387755102040813</v>
      </c>
      <c r="H1640" s="11">
        <f>G1640*COS(RADIANS(D1640))</f>
        <v>27.615456610851183</v>
      </c>
      <c r="I1640" s="11">
        <f>G1640*SIN(RADIANS(D1640))</f>
        <v>10.051204212019652</v>
      </c>
      <c r="J1640" s="12">
        <v>0.1658</v>
      </c>
      <c r="K1640" s="12">
        <v>69</v>
      </c>
      <c r="L1640" s="12">
        <f>-(F1640*G1640*$U$3)/J1640</f>
        <v>-2.6587233204500134</v>
      </c>
      <c r="M1640" s="11">
        <f>ABS(L1640/$U$6)</f>
        <v>7.7513799430029545E-3</v>
      </c>
      <c r="N1640" s="12">
        <f>L1640*SIN(RADIANS(K1640))</f>
        <v>-2.4821320514437799</v>
      </c>
      <c r="O1640" s="12">
        <f>L1640*COS(RADIANS(K1640))</f>
        <v>-0.95280122475794393</v>
      </c>
      <c r="P1640" s="5">
        <v>1.2635492338479783</v>
      </c>
      <c r="Q1640" s="5">
        <v>0.68040294784989275</v>
      </c>
      <c r="R1640" s="6">
        <f>P1640/Q1640</f>
        <v>1.8570601991670626</v>
      </c>
    </row>
    <row r="1641" spans="1:18" x14ac:dyDescent="0.35">
      <c r="A1641" s="9">
        <v>1642</v>
      </c>
      <c r="B1641" s="5">
        <v>0.25</v>
      </c>
      <c r="C1641" s="5">
        <v>2000000</v>
      </c>
      <c r="D1641" s="5">
        <v>30</v>
      </c>
      <c r="E1641" s="5">
        <v>0.25</v>
      </c>
      <c r="F1641" s="5">
        <v>0</v>
      </c>
      <c r="G1641" s="12">
        <f>(C1641*$U$4)/($U$5*$U$3)</f>
        <v>29.387755102040813</v>
      </c>
      <c r="H1641" s="11">
        <f>G1641*COS(RADIANS(D1641))</f>
        <v>25.450542478563094</v>
      </c>
      <c r="I1641" s="11">
        <f>G1641*SIN(RADIANS(D1641))</f>
        <v>14.693877551020405</v>
      </c>
      <c r="J1641" s="12">
        <v>0.1913</v>
      </c>
      <c r="K1641" s="11">
        <v>67</v>
      </c>
      <c r="L1641" s="12">
        <f>-(F1641*G1641*$U$3)/J1641</f>
        <v>0</v>
      </c>
      <c r="M1641" s="11">
        <f>ABS(L1641/$U$6)</f>
        <v>0</v>
      </c>
      <c r="N1641" s="12">
        <f>L1641*SIN(RADIANS(K1641))</f>
        <v>0</v>
      </c>
      <c r="O1641" s="12">
        <f>L1641*COS(RADIANS(K1641))</f>
        <v>0</v>
      </c>
      <c r="P1641" s="5">
        <v>2.5745011827696525</v>
      </c>
      <c r="Q1641" s="5">
        <v>1.209734972084205</v>
      </c>
      <c r="R1641" s="6">
        <f>P1641/Q1641</f>
        <v>2.1281530601154279</v>
      </c>
    </row>
    <row r="1642" spans="1:18" x14ac:dyDescent="0.35">
      <c r="A1642" s="9">
        <v>1643</v>
      </c>
      <c r="B1642" s="5">
        <v>0.25</v>
      </c>
      <c r="C1642" s="5">
        <v>2000000</v>
      </c>
      <c r="D1642" s="5">
        <v>30</v>
      </c>
      <c r="E1642" s="5">
        <v>0</v>
      </c>
      <c r="F1642" s="5">
        <v>0.1</v>
      </c>
      <c r="G1642" s="12">
        <f>(C1642*$U$4)/($U$5*$U$3)</f>
        <v>29.387755102040813</v>
      </c>
      <c r="H1642" s="11">
        <f>G1642*COS(RADIANS(D1642))</f>
        <v>25.450542478563094</v>
      </c>
      <c r="I1642" s="11">
        <f>G1642*SIN(RADIANS(D1642))</f>
        <v>14.693877551020405</v>
      </c>
      <c r="J1642" s="12">
        <v>0.18990000000000001</v>
      </c>
      <c r="K1642" s="12">
        <v>0</v>
      </c>
      <c r="L1642" s="12">
        <f>-(F1642*G1642*$U$3)/J1642</f>
        <v>-15.47538446658284</v>
      </c>
      <c r="M1642" s="11">
        <f>ABS(L1642/$U$6)</f>
        <v>4.511773896962927E-2</v>
      </c>
      <c r="N1642" s="12">
        <f>L1642*SIN(RADIANS(K1642))</f>
        <v>0</v>
      </c>
      <c r="O1642" s="12">
        <f>L1642*COS(RADIANS(K1642))</f>
        <v>-15.47538446658284</v>
      </c>
      <c r="P1642" s="5">
        <v>2.5033420739886689</v>
      </c>
      <c r="Q1642" s="5">
        <v>0.85496649685698511</v>
      </c>
      <c r="R1642" s="6">
        <f>P1642/Q1642</f>
        <v>2.9280002002317249</v>
      </c>
    </row>
    <row r="1643" spans="1:18" x14ac:dyDescent="0.35">
      <c r="A1643" s="9">
        <v>1420</v>
      </c>
      <c r="B1643" s="5">
        <v>0.1</v>
      </c>
      <c r="C1643" s="5">
        <v>6000000</v>
      </c>
      <c r="D1643" s="5">
        <v>20</v>
      </c>
      <c r="E1643" s="5">
        <v>0.375</v>
      </c>
      <c r="F1643" s="5">
        <v>7.4999999999999997E-2</v>
      </c>
      <c r="G1643" s="12">
        <f>(C1643*$U$4)/($U$5*$U$3)</f>
        <v>88.16326530612244</v>
      </c>
      <c r="H1643" s="11">
        <f>G1643*COS(RADIANS(D1643))</f>
        <v>82.846369832553549</v>
      </c>
      <c r="I1643" s="11">
        <f>G1643*SIN(RADIANS(D1643))</f>
        <v>30.153612636058952</v>
      </c>
      <c r="J1643" s="12">
        <v>0.16789999999999999</v>
      </c>
      <c r="K1643" s="20">
        <v>85</v>
      </c>
      <c r="L1643" s="12">
        <f>-(F1643*G1643*$U$3)/J1643</f>
        <v>-39.382042274920686</v>
      </c>
      <c r="M1643" s="11">
        <f>ABS(L1643/$U$6)</f>
        <v>0.11481644978110987</v>
      </c>
      <c r="N1643" s="12">
        <f>L1643*SIN(RADIANS(K1643))</f>
        <v>-39.232181714300971</v>
      </c>
      <c r="O1643" s="12">
        <f>L1643*COS(RADIANS(K1643))</f>
        <v>-3.4323711453903849</v>
      </c>
      <c r="P1643" s="5">
        <v>1.9182813377417054</v>
      </c>
      <c r="Q1643" s="5">
        <v>0.88268600784151419</v>
      </c>
      <c r="R1643" s="6">
        <f>P1643/Q1643</f>
        <v>2.1732318408814426</v>
      </c>
    </row>
    <row r="1644" spans="1:18" x14ac:dyDescent="0.35">
      <c r="A1644" s="9">
        <v>1645</v>
      </c>
      <c r="B1644" s="5">
        <v>1</v>
      </c>
      <c r="C1644" s="5">
        <v>4000000</v>
      </c>
      <c r="D1644" s="5">
        <v>5</v>
      </c>
      <c r="E1644" s="5">
        <v>0.375</v>
      </c>
      <c r="F1644" s="5">
        <v>0.15</v>
      </c>
      <c r="G1644" s="12">
        <f>(C1644*$U$4)/($U$5*$U$3)</f>
        <v>58.775510204081627</v>
      </c>
      <c r="H1644" s="11">
        <f>G1644*COS(RADIANS(D1644))</f>
        <v>58.551851642943404</v>
      </c>
      <c r="I1644" s="11">
        <f>G1644*SIN(RADIANS(D1644))</f>
        <v>5.1226232472092956</v>
      </c>
      <c r="J1644" s="12">
        <v>0.33379999999999999</v>
      </c>
      <c r="K1644" s="11">
        <v>49</v>
      </c>
      <c r="L1644" s="12">
        <f>-(F1644*G1644*$U$3)/J1644</f>
        <v>-26.412002787933627</v>
      </c>
      <c r="M1644" s="11">
        <f>ABS(L1644/$U$6)</f>
        <v>7.7002923579981425E-2</v>
      </c>
      <c r="N1644" s="12">
        <f>L1644*SIN(RADIANS(K1644))</f>
        <v>-19.933391536924074</v>
      </c>
      <c r="O1644" s="12">
        <f>L1644*COS(RADIANS(K1644))</f>
        <v>-17.327832902746305</v>
      </c>
      <c r="P1644" s="5">
        <v>8.2131895296418325</v>
      </c>
      <c r="Q1644" s="5">
        <v>-0.93378227803009184</v>
      </c>
      <c r="R1644" s="6">
        <f>P1644/Q1644</f>
        <v>-8.7956151266528497</v>
      </c>
    </row>
    <row r="1645" spans="1:18" x14ac:dyDescent="0.35">
      <c r="A1645" s="9">
        <v>1646</v>
      </c>
      <c r="B1645" s="5">
        <v>0.75</v>
      </c>
      <c r="C1645" s="5">
        <v>4000000</v>
      </c>
      <c r="D1645" s="5">
        <v>10</v>
      </c>
      <c r="E1645" s="5">
        <v>0.125</v>
      </c>
      <c r="F1645" s="5">
        <v>1.4999999999999999E-2</v>
      </c>
      <c r="G1645" s="12">
        <f>(C1645*$U$4)/($U$5*$U$3)</f>
        <v>58.775510204081627</v>
      </c>
      <c r="H1645" s="11">
        <f>G1645*COS(RADIANS(D1645))</f>
        <v>57.882578136227728</v>
      </c>
      <c r="I1645" s="11">
        <f>G1645*SIN(RADIANS(D1645))</f>
        <v>10.206260238382843</v>
      </c>
      <c r="J1645" s="12">
        <v>0.2802</v>
      </c>
      <c r="K1645" s="12">
        <v>19</v>
      </c>
      <c r="L1645" s="12">
        <f>-(F1645*G1645*$U$3)/J1645</f>
        <v>-3.1464405890835989</v>
      </c>
      <c r="M1645" s="11">
        <f>ABS(L1645/$U$6)</f>
        <v>9.1732961780862949E-3</v>
      </c>
      <c r="N1645" s="12">
        <f>L1645*SIN(RADIANS(K1645))</f>
        <v>-1.0243808556970362</v>
      </c>
      <c r="O1645" s="12">
        <f>L1645*COS(RADIANS(K1645))</f>
        <v>-2.9750180239981998</v>
      </c>
      <c r="P1645" s="5">
        <v>4.1258620895716058</v>
      </c>
      <c r="Q1645" s="5">
        <v>0.64669976026774101</v>
      </c>
      <c r="R1645" s="6">
        <f>P1645/Q1645</f>
        <v>6.3798726133181995</v>
      </c>
    </row>
    <row r="1646" spans="1:18" x14ac:dyDescent="0.35">
      <c r="A1646" s="9">
        <v>1647</v>
      </c>
      <c r="B1646" s="5">
        <v>1</v>
      </c>
      <c r="C1646" s="5">
        <v>4000000</v>
      </c>
      <c r="D1646" s="5">
        <v>5</v>
      </c>
      <c r="E1646" s="5">
        <v>0.25</v>
      </c>
      <c r="F1646" s="5">
        <v>0.1</v>
      </c>
      <c r="G1646" s="12">
        <f>(C1646*$U$4)/($U$5*$U$3)</f>
        <v>58.775510204081627</v>
      </c>
      <c r="H1646" s="11">
        <f>G1646*COS(RADIANS(D1646))</f>
        <v>58.551851642943404</v>
      </c>
      <c r="I1646" s="11">
        <f>G1646*SIN(RADIANS(D1646))</f>
        <v>5.1226232472092956</v>
      </c>
      <c r="J1646" s="13">
        <v>0.33379999999999999</v>
      </c>
      <c r="K1646" s="12">
        <v>30</v>
      </c>
      <c r="L1646" s="12">
        <f>-(F1646*G1646*$U$3)/J1646</f>
        <v>-17.608001858622419</v>
      </c>
      <c r="M1646" s="11">
        <f>ABS(L1646/$U$6)</f>
        <v>5.1335282386654281E-2</v>
      </c>
      <c r="N1646" s="12">
        <f>L1646*SIN(RADIANS(K1646))</f>
        <v>-8.8040009293112078</v>
      </c>
      <c r="O1646" s="12">
        <f>L1646*COS(RADIANS(K1646))</f>
        <v>-15.248976919450628</v>
      </c>
      <c r="P1646" s="5">
        <v>9.4167250256826733</v>
      </c>
      <c r="Q1646" s="5">
        <v>-1.2297235192614762</v>
      </c>
      <c r="R1646" s="6">
        <f>P1646/Q1646</f>
        <v>-7.6575952872219517</v>
      </c>
    </row>
    <row r="1647" spans="1:18" x14ac:dyDescent="0.35">
      <c r="A1647" s="9">
        <v>1943</v>
      </c>
      <c r="B1647" s="5">
        <v>0.1</v>
      </c>
      <c r="C1647" s="5">
        <v>6000000</v>
      </c>
      <c r="D1647" s="5">
        <v>0</v>
      </c>
      <c r="E1647" s="5">
        <v>0.375</v>
      </c>
      <c r="F1647" s="5">
        <v>7.4999999999999997E-2</v>
      </c>
      <c r="G1647" s="12">
        <f>(C1647*$U$4)/($U$5*$U$3)</f>
        <v>88.16326530612244</v>
      </c>
      <c r="H1647" s="11">
        <f>G1647*COS(RADIANS(D1647))</f>
        <v>88.16326530612244</v>
      </c>
      <c r="I1647" s="11">
        <f>G1647*SIN(RADIANS(D1647))</f>
        <v>0</v>
      </c>
      <c r="J1647" s="12">
        <v>0.16789999999999999</v>
      </c>
      <c r="K1647" s="11">
        <v>85</v>
      </c>
      <c r="L1647" s="12">
        <f>-(F1647*G1647*$U$3)/J1647</f>
        <v>-39.382042274920686</v>
      </c>
      <c r="M1647" s="11">
        <f>ABS(L1647/$U$6)</f>
        <v>0.11481644978110987</v>
      </c>
      <c r="N1647" s="12">
        <f>L1647*SIN(RADIANS(K1647))</f>
        <v>-39.232181714300971</v>
      </c>
      <c r="O1647" s="12">
        <f>L1647*COS(RADIANS(K1647))</f>
        <v>-3.4323711453903849</v>
      </c>
      <c r="P1647" s="5">
        <v>1.7431723423799936</v>
      </c>
      <c r="Q1647" s="5">
        <v>0.19145429196074679</v>
      </c>
      <c r="R1647" s="6">
        <f>P1647/Q1647</f>
        <v>9.1049008331314418</v>
      </c>
    </row>
    <row r="1648" spans="1:18" x14ac:dyDescent="0.35">
      <c r="A1648" s="9">
        <v>1649</v>
      </c>
      <c r="B1648" s="5">
        <v>0.1</v>
      </c>
      <c r="C1648" s="5">
        <v>4000000</v>
      </c>
      <c r="D1648" s="5">
        <v>5</v>
      </c>
      <c r="E1648" s="5">
        <v>0.25</v>
      </c>
      <c r="F1648" s="5">
        <v>7.4999999999999997E-2</v>
      </c>
      <c r="G1648" s="12">
        <f>(C1648*$U$4)/($U$5*$U$3)</f>
        <v>58.775510204081627</v>
      </c>
      <c r="H1648" s="11">
        <f>G1648*COS(RADIANS(D1648))</f>
        <v>58.551851642943404</v>
      </c>
      <c r="I1648" s="11">
        <f>G1648*SIN(RADIANS(D1648))</f>
        <v>5.1226232472092956</v>
      </c>
      <c r="J1648" s="11">
        <v>0.1661</v>
      </c>
      <c r="K1648" s="12">
        <v>80</v>
      </c>
      <c r="L1648" s="12">
        <f>-(F1648*G1648*$U$3)/J1648</f>
        <v>-26.539212915750284</v>
      </c>
      <c r="M1648" s="11">
        <f>ABS(L1648/$U$6)</f>
        <v>7.7373798588193252E-2</v>
      </c>
      <c r="N1648" s="12">
        <f>L1648*SIN(RADIANS(K1648))</f>
        <v>-26.136022638272607</v>
      </c>
      <c r="O1648" s="12">
        <f>L1648*COS(RADIANS(K1648))</f>
        <v>-4.6084859595346996</v>
      </c>
      <c r="P1648" s="5">
        <v>1.6916208005839988</v>
      </c>
      <c r="Q1648" s="5">
        <v>0.34750050375484681</v>
      </c>
      <c r="R1648" s="6">
        <f>P1648/Q1648</f>
        <v>4.8679664699922167</v>
      </c>
    </row>
    <row r="1649" spans="1:18" x14ac:dyDescent="0.35">
      <c r="A1649" s="9">
        <v>1650</v>
      </c>
      <c r="B1649" s="5">
        <v>1</v>
      </c>
      <c r="C1649" s="5">
        <v>4000000</v>
      </c>
      <c r="D1649" s="5">
        <v>10</v>
      </c>
      <c r="E1649" s="5">
        <v>0</v>
      </c>
      <c r="F1649" s="5">
        <v>0.1</v>
      </c>
      <c r="G1649" s="12">
        <f>(C1649*$U$4)/($U$5*$U$3)</f>
        <v>58.775510204081627</v>
      </c>
      <c r="H1649" s="11">
        <f>G1649*COS(RADIANS(D1649))</f>
        <v>57.882578136227728</v>
      </c>
      <c r="I1649" s="11">
        <f>G1649*SIN(RADIANS(D1649))</f>
        <v>10.206260238382843</v>
      </c>
      <c r="J1649" s="11">
        <v>0.33379999999999999</v>
      </c>
      <c r="K1649" s="12">
        <v>0</v>
      </c>
      <c r="L1649" s="12">
        <f>-(F1649*G1649*$U$3)/J1649</f>
        <v>-17.608001858622419</v>
      </c>
      <c r="M1649" s="11">
        <f>ABS(L1649/$U$6)</f>
        <v>5.1335282386654281E-2</v>
      </c>
      <c r="N1649" s="12">
        <f>L1649*SIN(RADIANS(K1649))</f>
        <v>0</v>
      </c>
      <c r="O1649" s="12">
        <f>L1649*COS(RADIANS(K1649))</f>
        <v>-17.608001858622419</v>
      </c>
      <c r="P1649" s="5">
        <v>1.7948278528277897</v>
      </c>
      <c r="Q1649" s="5">
        <v>1.7537927862201572</v>
      </c>
      <c r="R1649" s="6">
        <f>P1649/Q1649</f>
        <v>1.0233978990733978</v>
      </c>
    </row>
    <row r="1650" spans="1:18" x14ac:dyDescent="0.35">
      <c r="A1650" s="9">
        <v>1651</v>
      </c>
      <c r="B1650" s="5">
        <v>0.5</v>
      </c>
      <c r="C1650" s="5">
        <v>2000000</v>
      </c>
      <c r="D1650" s="5">
        <v>20</v>
      </c>
      <c r="E1650" s="5">
        <v>0.25</v>
      </c>
      <c r="F1650" s="5">
        <v>0</v>
      </c>
      <c r="G1650" s="12">
        <f>(C1650*$U$4)/($U$5*$U$3)</f>
        <v>29.387755102040813</v>
      </c>
      <c r="H1650" s="11">
        <f>G1650*COS(RADIANS(D1650))</f>
        <v>27.615456610851183</v>
      </c>
      <c r="I1650" s="11">
        <f>G1650*SIN(RADIANS(D1650))</f>
        <v>10.051204212019652</v>
      </c>
      <c r="J1650" s="11">
        <v>0.23580000000000001</v>
      </c>
      <c r="K1650" s="11">
        <v>49</v>
      </c>
      <c r="L1650" s="12">
        <f>-(F1650*G1650*$U$3)/J1650</f>
        <v>0</v>
      </c>
      <c r="M1650" s="11">
        <f>ABS(L1650/$U$6)</f>
        <v>0</v>
      </c>
      <c r="N1650" s="12">
        <f>L1650*SIN(RADIANS(K1650))</f>
        <v>0</v>
      </c>
      <c r="O1650" s="12">
        <f>L1650*COS(RADIANS(K1650))</f>
        <v>0</v>
      </c>
      <c r="P1650" s="5">
        <v>3.9341451222368478</v>
      </c>
      <c r="Q1650" s="5">
        <v>1.3639436301768992</v>
      </c>
      <c r="R1650" s="6">
        <f>P1650/Q1650</f>
        <v>2.8843898202205041</v>
      </c>
    </row>
    <row r="1651" spans="1:18" x14ac:dyDescent="0.35">
      <c r="A1651" s="9">
        <v>1652</v>
      </c>
      <c r="B1651" s="5">
        <v>0.75</v>
      </c>
      <c r="C1651" s="5">
        <v>2000000</v>
      </c>
      <c r="D1651" s="5">
        <v>0</v>
      </c>
      <c r="E1651" s="5">
        <v>0.25</v>
      </c>
      <c r="F1651" s="5">
        <v>0.05</v>
      </c>
      <c r="G1651" s="12">
        <f>(C1651*$U$4)/($U$5*$U$3)</f>
        <v>29.387755102040813</v>
      </c>
      <c r="H1651" s="11">
        <f>G1651*COS(RADIANS(D1651))</f>
        <v>29.387755102040813</v>
      </c>
      <c r="I1651" s="11">
        <f>G1651*SIN(RADIANS(D1651))</f>
        <v>0</v>
      </c>
      <c r="J1651" s="12">
        <v>0.28370000000000001</v>
      </c>
      <c r="K1651" s="11">
        <v>38</v>
      </c>
      <c r="L1651" s="12">
        <f>-(F1651*G1651*$U$3)/J1651</f>
        <v>-5.179371713436872</v>
      </c>
      <c r="M1651" s="11">
        <f>ABS(L1651/$U$6)</f>
        <v>1.5100209077075429E-2</v>
      </c>
      <c r="N1651" s="12">
        <f>L1651*SIN(RADIANS(K1651))</f>
        <v>-3.1887396303545272</v>
      </c>
      <c r="O1651" s="12">
        <f>L1651*COS(RADIANS(K1651))</f>
        <v>-4.0814006071147277</v>
      </c>
      <c r="P1651" s="5">
        <v>3.0011761440935807</v>
      </c>
      <c r="Q1651" s="5">
        <v>0.29900331877608016</v>
      </c>
      <c r="R1651" s="6">
        <f>P1651/Q1651</f>
        <v>10.037266998835969</v>
      </c>
    </row>
    <row r="1652" spans="1:18" x14ac:dyDescent="0.35">
      <c r="A1652" s="9">
        <v>1653</v>
      </c>
      <c r="B1652" s="5">
        <v>0.25</v>
      </c>
      <c r="C1652" s="5">
        <v>2000000</v>
      </c>
      <c r="D1652" s="5">
        <v>20</v>
      </c>
      <c r="E1652" s="5">
        <v>0.25</v>
      </c>
      <c r="F1652" s="5">
        <v>0.15</v>
      </c>
      <c r="G1652" s="12">
        <f>(C1652*$U$4)/($U$5*$U$3)</f>
        <v>29.387755102040813</v>
      </c>
      <c r="H1652" s="11">
        <f>G1652*COS(RADIANS(D1652))</f>
        <v>27.615456610851183</v>
      </c>
      <c r="I1652" s="11">
        <f>G1652*SIN(RADIANS(D1652))</f>
        <v>10.051204212019652</v>
      </c>
      <c r="J1652" s="12">
        <v>0.1913</v>
      </c>
      <c r="K1652" s="11">
        <v>67</v>
      </c>
      <c r="L1652" s="12">
        <f>-(F1652*G1652*$U$3)/J1652</f>
        <v>-23.043195323084799</v>
      </c>
      <c r="M1652" s="11">
        <f>ABS(L1652/$U$6)</f>
        <v>6.7181327472550428E-2</v>
      </c>
      <c r="N1652" s="12">
        <f>L1652*SIN(RADIANS(K1652))</f>
        <v>-21.211373133952133</v>
      </c>
      <c r="O1652" s="12">
        <f>L1652*COS(RADIANS(K1652))</f>
        <v>-9.0036937125876779</v>
      </c>
      <c r="P1652" s="5">
        <v>3.0559622540131852</v>
      </c>
      <c r="Q1652" s="5">
        <v>0.70472754299790208</v>
      </c>
      <c r="R1652" s="6">
        <f>P1652/Q1652</f>
        <v>4.336374084391764</v>
      </c>
    </row>
    <row r="1653" spans="1:18" x14ac:dyDescent="0.35">
      <c r="A1653" s="9">
        <v>1654</v>
      </c>
      <c r="B1653" s="5">
        <v>0.75</v>
      </c>
      <c r="C1653" s="5">
        <v>2000000</v>
      </c>
      <c r="D1653" s="5">
        <v>0</v>
      </c>
      <c r="E1653" s="5">
        <v>0.125</v>
      </c>
      <c r="F1653" s="5">
        <v>0</v>
      </c>
      <c r="G1653" s="12">
        <f>(C1653*$U$4)/($U$5*$U$3)</f>
        <v>29.387755102040813</v>
      </c>
      <c r="H1653" s="11">
        <f>G1653*COS(RADIANS(D1653))</f>
        <v>29.387755102040813</v>
      </c>
      <c r="I1653" s="11">
        <f>G1653*SIN(RADIANS(D1653))</f>
        <v>0</v>
      </c>
      <c r="J1653" s="12">
        <v>0.2802</v>
      </c>
      <c r="K1653" s="12">
        <v>19</v>
      </c>
      <c r="L1653" s="12">
        <f>-(F1653*G1653*$U$3)/J1653</f>
        <v>0</v>
      </c>
      <c r="M1653" s="11">
        <f>ABS(L1653/$U$6)</f>
        <v>0</v>
      </c>
      <c r="N1653" s="12">
        <f>L1653*SIN(RADIANS(K1653))</f>
        <v>0</v>
      </c>
      <c r="O1653" s="12">
        <f>L1653*COS(RADIANS(K1653))</f>
        <v>0</v>
      </c>
      <c r="P1653" s="5">
        <v>5.3109229069376509</v>
      </c>
      <c r="Q1653" s="5">
        <v>0.74409940216878112</v>
      </c>
      <c r="R1653" s="6">
        <f>P1653/Q1653</f>
        <v>7.1373836498970809</v>
      </c>
    </row>
    <row r="1654" spans="1:18" x14ac:dyDescent="0.35">
      <c r="A1654" s="9">
        <v>1655</v>
      </c>
      <c r="B1654" s="5">
        <v>0.1</v>
      </c>
      <c r="C1654" s="5">
        <v>4000000</v>
      </c>
      <c r="D1654" s="5">
        <v>10</v>
      </c>
      <c r="E1654" s="5">
        <v>0.25</v>
      </c>
      <c r="F1654" s="5">
        <v>1.4999999999999999E-2</v>
      </c>
      <c r="G1654" s="12">
        <f>(C1654*$U$4)/($U$5*$U$3)</f>
        <v>58.775510204081627</v>
      </c>
      <c r="H1654" s="11">
        <f>G1654*COS(RADIANS(D1654))</f>
        <v>57.882578136227728</v>
      </c>
      <c r="I1654" s="11">
        <f>G1654*SIN(RADIANS(D1654))</f>
        <v>10.206260238382843</v>
      </c>
      <c r="J1654" s="11">
        <v>0.1661</v>
      </c>
      <c r="K1654" s="12">
        <v>80</v>
      </c>
      <c r="L1654" s="12">
        <f>-(F1654*G1654*$U$3)/J1654</f>
        <v>-5.3078425831500571</v>
      </c>
      <c r="M1654" s="11">
        <f>ABS(L1654/$U$6)</f>
        <v>1.5474759717638651E-2</v>
      </c>
      <c r="N1654" s="12">
        <f>L1654*SIN(RADIANS(K1654))</f>
        <v>-5.2272045276545214</v>
      </c>
      <c r="O1654" s="12">
        <f>L1654*COS(RADIANS(K1654))</f>
        <v>-0.92169719190693999</v>
      </c>
      <c r="P1654" s="5">
        <v>1.5008270187108532</v>
      </c>
      <c r="Q1654" s="5">
        <v>0.48283190459567943</v>
      </c>
      <c r="R1654" s="6">
        <f>P1654/Q1654</f>
        <v>3.1083841072342491</v>
      </c>
    </row>
    <row r="1655" spans="1:18" x14ac:dyDescent="0.35">
      <c r="A1655" s="9">
        <v>1656</v>
      </c>
      <c r="B1655" s="5">
        <v>0.25</v>
      </c>
      <c r="C1655" s="5">
        <v>6000000</v>
      </c>
      <c r="D1655" s="5">
        <v>15</v>
      </c>
      <c r="E1655" s="5">
        <v>0.125</v>
      </c>
      <c r="F1655" s="5">
        <v>2.5000000000000001E-2</v>
      </c>
      <c r="G1655" s="12">
        <f>(C1655*$U$4)/($U$5*$U$3)</f>
        <v>88.16326530612244</v>
      </c>
      <c r="H1655" s="11">
        <f>G1655*COS(RADIANS(D1655))</f>
        <v>85.159174889158663</v>
      </c>
      <c r="I1655" s="11">
        <f>G1655*SIN(RADIANS(D1655))</f>
        <v>22.818332139650806</v>
      </c>
      <c r="J1655" s="11">
        <v>0.19020000000000001</v>
      </c>
      <c r="K1655" s="12">
        <v>46</v>
      </c>
      <c r="L1655" s="12">
        <f>-(F1655*G1655*$U$3)/J1655</f>
        <v>-11.588231507113885</v>
      </c>
      <c r="M1655" s="11">
        <f>ABS(L1655/$U$6)</f>
        <v>3.3784931507620658E-2</v>
      </c>
      <c r="N1655" s="12">
        <f>L1655*SIN(RADIANS(K1655))</f>
        <v>-8.3358761386053679</v>
      </c>
      <c r="O1655" s="12">
        <f>L1655*COS(RADIANS(K1655))</f>
        <v>-8.0498620152333409</v>
      </c>
      <c r="P1655" s="5">
        <v>2.1274961504269427</v>
      </c>
      <c r="Q1655" s="5">
        <v>0.57364647453082596</v>
      </c>
      <c r="R1655" s="6">
        <f>P1655/Q1655</f>
        <v>3.7087234819441357</v>
      </c>
    </row>
    <row r="1656" spans="1:18" x14ac:dyDescent="0.35">
      <c r="A1656" s="9">
        <v>1657</v>
      </c>
      <c r="B1656" s="5">
        <v>0.5</v>
      </c>
      <c r="C1656" s="5">
        <v>4000000</v>
      </c>
      <c r="D1656" s="5">
        <v>30</v>
      </c>
      <c r="E1656" s="5">
        <v>0.125</v>
      </c>
      <c r="F1656" s="5">
        <v>0</v>
      </c>
      <c r="G1656" s="12">
        <f>(C1656*$U$4)/($U$5*$U$3)</f>
        <v>58.775510204081627</v>
      </c>
      <c r="H1656" s="11">
        <f>G1656*COS(RADIANS(D1656))</f>
        <v>50.901084957126187</v>
      </c>
      <c r="I1656" s="11">
        <f>G1656*SIN(RADIANS(D1656))</f>
        <v>29.38775510204081</v>
      </c>
      <c r="J1656" s="12">
        <v>0.23300000000000001</v>
      </c>
      <c r="K1656" s="11">
        <v>27</v>
      </c>
      <c r="L1656" s="12">
        <f>-(F1656*G1656*$U$3)/J1656</f>
        <v>0</v>
      </c>
      <c r="M1656" s="11">
        <f>ABS(L1656/$U$6)</f>
        <v>0</v>
      </c>
      <c r="N1656" s="12">
        <f>L1656*SIN(RADIANS(K1656))</f>
        <v>0</v>
      </c>
      <c r="O1656" s="12">
        <f>L1656*COS(RADIANS(K1656))</f>
        <v>0</v>
      </c>
      <c r="P1656" s="5">
        <v>3.3390067236061252</v>
      </c>
      <c r="Q1656" s="5">
        <v>1.6753032585392917</v>
      </c>
      <c r="R1656" s="6">
        <f>P1656/Q1656</f>
        <v>1.9930760037543458</v>
      </c>
    </row>
    <row r="1657" spans="1:18" x14ac:dyDescent="0.35">
      <c r="A1657" s="9">
        <v>1658</v>
      </c>
      <c r="B1657" s="5">
        <v>0.25</v>
      </c>
      <c r="C1657" s="5">
        <v>4000000</v>
      </c>
      <c r="D1657" s="5">
        <v>10</v>
      </c>
      <c r="E1657" s="5">
        <v>0</v>
      </c>
      <c r="F1657" s="5">
        <v>7.4999999999999997E-2</v>
      </c>
      <c r="G1657" s="12">
        <f>(C1657*$U$4)/($U$5*$U$3)</f>
        <v>58.775510204081627</v>
      </c>
      <c r="H1657" s="11">
        <f>G1657*COS(RADIANS(D1657))</f>
        <v>57.882578136227728</v>
      </c>
      <c r="I1657" s="11">
        <f>G1657*SIN(RADIANS(D1657))</f>
        <v>10.206260238382843</v>
      </c>
      <c r="J1657" s="12">
        <v>0.18990000000000001</v>
      </c>
      <c r="K1657" s="12">
        <v>0</v>
      </c>
      <c r="L1657" s="12">
        <f>-(F1657*G1657*$U$3)/J1657</f>
        <v>-23.213076699874257</v>
      </c>
      <c r="M1657" s="11">
        <f>ABS(L1657/$U$6)</f>
        <v>6.7676608454443898E-2</v>
      </c>
      <c r="N1657" s="12">
        <f>L1657*SIN(RADIANS(K1657))</f>
        <v>0</v>
      </c>
      <c r="O1657" s="12">
        <f>L1657*COS(RADIANS(K1657))</f>
        <v>-23.213076699874257</v>
      </c>
      <c r="P1657" s="5">
        <v>2.4034250690736361</v>
      </c>
      <c r="Q1657" s="5">
        <v>0.37505179762425511</v>
      </c>
      <c r="R1657" s="6">
        <f>P1657/Q1657</f>
        <v>6.4082483654204552</v>
      </c>
    </row>
    <row r="1658" spans="1:18" x14ac:dyDescent="0.35">
      <c r="A1658" s="9">
        <v>1659</v>
      </c>
      <c r="B1658" s="5">
        <v>0.25</v>
      </c>
      <c r="C1658" s="5">
        <v>6000000</v>
      </c>
      <c r="D1658" s="5">
        <v>0</v>
      </c>
      <c r="E1658" s="5">
        <v>0.125</v>
      </c>
      <c r="F1658" s="5">
        <v>3.5000000000000003E-2</v>
      </c>
      <c r="G1658" s="12">
        <f>(C1658*$U$4)/($U$5*$U$3)</f>
        <v>88.16326530612244</v>
      </c>
      <c r="H1658" s="11">
        <f>G1658*COS(RADIANS(D1658))</f>
        <v>88.16326530612244</v>
      </c>
      <c r="I1658" s="11">
        <f>G1658*SIN(RADIANS(D1658))</f>
        <v>0</v>
      </c>
      <c r="J1658" s="11">
        <v>0.19020000000000001</v>
      </c>
      <c r="K1658" s="12">
        <v>46</v>
      </c>
      <c r="L1658" s="12">
        <f>-(F1658*G1658*$U$3)/J1658</f>
        <v>-16.223524109959442</v>
      </c>
      <c r="M1658" s="11">
        <f>ABS(L1658/$U$6)</f>
        <v>4.7298904110668928E-2</v>
      </c>
      <c r="N1658" s="12">
        <f>L1658*SIN(RADIANS(K1658))</f>
        <v>-11.670226594047516</v>
      </c>
      <c r="O1658" s="12">
        <f>L1658*COS(RADIANS(K1658))</f>
        <v>-11.26980682132668</v>
      </c>
      <c r="P1658" s="5">
        <v>2.038807169198527</v>
      </c>
      <c r="Q1658" s="5">
        <v>0.20456441967767816</v>
      </c>
      <c r="R1658" s="6">
        <f>P1658/Q1658</f>
        <v>9.9665776307090574</v>
      </c>
    </row>
    <row r="1659" spans="1:18" x14ac:dyDescent="0.35">
      <c r="A1659" s="9">
        <v>1660</v>
      </c>
      <c r="B1659" s="5">
        <v>1</v>
      </c>
      <c r="C1659" s="5">
        <v>4000000</v>
      </c>
      <c r="D1659" s="5">
        <v>10</v>
      </c>
      <c r="E1659" s="5">
        <v>0.125</v>
      </c>
      <c r="F1659" s="5">
        <v>0.05</v>
      </c>
      <c r="G1659" s="12">
        <f>(C1659*$U$4)/($U$5*$U$3)</f>
        <v>58.775510204081627</v>
      </c>
      <c r="H1659" s="11">
        <f>G1659*COS(RADIANS(D1659))</f>
        <v>57.882578136227728</v>
      </c>
      <c r="I1659" s="11">
        <f>G1659*SIN(RADIANS(D1659))</f>
        <v>10.206260238382843</v>
      </c>
      <c r="J1659" s="11">
        <v>0.33379999999999999</v>
      </c>
      <c r="K1659" s="12">
        <v>14</v>
      </c>
      <c r="L1659" s="12">
        <f>-(F1659*G1659*$U$3)/J1659</f>
        <v>-8.8040009293112096</v>
      </c>
      <c r="M1659" s="11">
        <f>ABS(L1659/$U$6)</f>
        <v>2.566764119332714E-2</v>
      </c>
      <c r="N1659" s="12">
        <f>L1659*SIN(RADIANS(K1659))</f>
        <v>-2.1298805936802041</v>
      </c>
      <c r="O1659" s="12">
        <f>L1659*COS(RADIANS(K1659))</f>
        <v>-8.5424844758405687</v>
      </c>
      <c r="P1659" s="5">
        <v>4.6885993310594385</v>
      </c>
      <c r="Q1659" s="5">
        <v>0.45966436261455457</v>
      </c>
      <c r="R1659" s="6">
        <f>P1659/Q1659</f>
        <v>10.20004967187548</v>
      </c>
    </row>
    <row r="1660" spans="1:18" x14ac:dyDescent="0.35">
      <c r="A1660" s="9">
        <v>1661</v>
      </c>
      <c r="B1660" s="5">
        <v>0.5</v>
      </c>
      <c r="C1660" s="5">
        <v>4000000</v>
      </c>
      <c r="D1660" s="5">
        <v>20</v>
      </c>
      <c r="E1660" s="5">
        <v>0.125</v>
      </c>
      <c r="F1660" s="5">
        <v>0</v>
      </c>
      <c r="G1660" s="12">
        <f>(C1660*$U$4)/($U$5*$U$3)</f>
        <v>58.775510204081627</v>
      </c>
      <c r="H1660" s="11">
        <f>G1660*COS(RADIANS(D1660))</f>
        <v>55.230913221702366</v>
      </c>
      <c r="I1660" s="11">
        <f>G1660*SIN(RADIANS(D1660))</f>
        <v>20.102408424039304</v>
      </c>
      <c r="J1660" s="12">
        <v>0.23300000000000001</v>
      </c>
      <c r="K1660" s="11">
        <v>27</v>
      </c>
      <c r="L1660" s="12">
        <f>-(F1660*G1660*$U$3)/J1660</f>
        <v>0</v>
      </c>
      <c r="M1660" s="11">
        <f>ABS(L1660/$U$6)</f>
        <v>0</v>
      </c>
      <c r="N1660" s="12">
        <f>L1660*SIN(RADIANS(K1660))</f>
        <v>0</v>
      </c>
      <c r="O1660" s="12">
        <f>L1660*COS(RADIANS(K1660))</f>
        <v>0</v>
      </c>
      <c r="P1660" s="5">
        <v>3.7934043438151015</v>
      </c>
      <c r="Q1660" s="5">
        <v>1.3670372645301232</v>
      </c>
      <c r="R1660" s="6">
        <f>P1660/Q1660</f>
        <v>2.7749092451543134</v>
      </c>
    </row>
    <row r="1661" spans="1:18" x14ac:dyDescent="0.35">
      <c r="A1661" s="9">
        <v>1662</v>
      </c>
      <c r="B1661" s="5">
        <v>0.25</v>
      </c>
      <c r="C1661" s="5">
        <v>4000000</v>
      </c>
      <c r="D1661" s="5">
        <v>5</v>
      </c>
      <c r="E1661" s="5">
        <v>0</v>
      </c>
      <c r="F1661" s="5">
        <v>1.4999999999999999E-2</v>
      </c>
      <c r="G1661" s="12">
        <f>(C1661*$U$4)/($U$5*$U$3)</f>
        <v>58.775510204081627</v>
      </c>
      <c r="H1661" s="11">
        <f>G1661*COS(RADIANS(D1661))</f>
        <v>58.551851642943404</v>
      </c>
      <c r="I1661" s="11">
        <f>G1661*SIN(RADIANS(D1661))</f>
        <v>5.1226232472092956</v>
      </c>
      <c r="J1661" s="12">
        <v>0.18990000000000001</v>
      </c>
      <c r="K1661" s="12">
        <v>0</v>
      </c>
      <c r="L1661" s="12">
        <f>-(F1661*G1661*$U$3)/J1661</f>
        <v>-4.642615339974852</v>
      </c>
      <c r="M1661" s="11">
        <f>ABS(L1661/$U$6)</f>
        <v>1.3535321690888781E-2</v>
      </c>
      <c r="N1661" s="12">
        <f>L1661*SIN(RADIANS(K1661))</f>
        <v>0</v>
      </c>
      <c r="O1661" s="12">
        <f>L1661*COS(RADIANS(K1661))</f>
        <v>-4.642615339974852</v>
      </c>
      <c r="P1661" s="5">
        <v>2.020072292953988</v>
      </c>
      <c r="Q1661" s="5">
        <v>0.3388593099522359</v>
      </c>
      <c r="R1661" s="6">
        <f>P1661/Q1661</f>
        <v>5.9613893838086618</v>
      </c>
    </row>
    <row r="1662" spans="1:18" x14ac:dyDescent="0.35">
      <c r="A1662" s="9">
        <v>1663</v>
      </c>
      <c r="B1662" s="5">
        <v>1</v>
      </c>
      <c r="C1662" s="5">
        <v>2000000</v>
      </c>
      <c r="D1662" s="5">
        <v>20</v>
      </c>
      <c r="E1662" s="5">
        <v>0.375</v>
      </c>
      <c r="F1662" s="5">
        <v>0.15</v>
      </c>
      <c r="G1662" s="12">
        <f>(C1662*$U$4)/($U$5*$U$3)</f>
        <v>29.387755102040813</v>
      </c>
      <c r="H1662" s="11">
        <f>G1662*COS(RADIANS(D1662))</f>
        <v>27.615456610851183</v>
      </c>
      <c r="I1662" s="11">
        <f>G1662*SIN(RADIANS(D1662))</f>
        <v>10.051204212019652</v>
      </c>
      <c r="J1662" s="12">
        <v>0.33379999999999999</v>
      </c>
      <c r="K1662" s="11">
        <v>49</v>
      </c>
      <c r="L1662" s="12">
        <f>-(F1662*G1662*$U$3)/J1662</f>
        <v>-13.206001393966813</v>
      </c>
      <c r="M1662" s="11">
        <f>ABS(L1662/$U$6)</f>
        <v>3.8501461789990712E-2</v>
      </c>
      <c r="N1662" s="12">
        <f>L1662*SIN(RADIANS(K1662))</f>
        <v>-9.9666957684620368</v>
      </c>
      <c r="O1662" s="12">
        <f>L1662*COS(RADIANS(K1662))</f>
        <v>-8.6639164513731526</v>
      </c>
      <c r="P1662" s="5">
        <v>8.3616039134068618</v>
      </c>
      <c r="Q1662" s="5">
        <v>0.6965878727153928</v>
      </c>
      <c r="R1662" s="6">
        <f>P1662/Q1662</f>
        <v>12.003659898373209</v>
      </c>
    </row>
    <row r="1663" spans="1:18" x14ac:dyDescent="0.35">
      <c r="A1663" s="9">
        <v>1664</v>
      </c>
      <c r="B1663" s="5">
        <v>0.25</v>
      </c>
      <c r="C1663" s="5">
        <v>2000000</v>
      </c>
      <c r="D1663" s="5">
        <v>15</v>
      </c>
      <c r="E1663" s="5">
        <v>0.25</v>
      </c>
      <c r="F1663" s="5">
        <v>0</v>
      </c>
      <c r="G1663" s="12">
        <f>(C1663*$U$4)/($U$5*$U$3)</f>
        <v>29.387755102040813</v>
      </c>
      <c r="H1663" s="11">
        <f>G1663*COS(RADIANS(D1663))</f>
        <v>28.386391629719554</v>
      </c>
      <c r="I1663" s="11">
        <f>G1663*SIN(RADIANS(D1663))</f>
        <v>7.6061107132169354</v>
      </c>
      <c r="J1663" s="12">
        <v>0.1913</v>
      </c>
      <c r="K1663" s="11">
        <v>67</v>
      </c>
      <c r="L1663" s="12">
        <f>-(F1663*G1663*$U$3)/J1663</f>
        <v>0</v>
      </c>
      <c r="M1663" s="11">
        <f>ABS(L1663/$U$6)</f>
        <v>0</v>
      </c>
      <c r="N1663" s="12">
        <f>L1663*SIN(RADIANS(K1663))</f>
        <v>0</v>
      </c>
      <c r="O1663" s="12">
        <f>L1663*COS(RADIANS(K1663))</f>
        <v>0</v>
      </c>
      <c r="P1663" s="5">
        <v>2.5679128926928327</v>
      </c>
      <c r="Q1663" s="5">
        <v>0.72949819039698671</v>
      </c>
      <c r="R1663" s="6">
        <f>P1663/Q1663</f>
        <v>3.5201086534503894</v>
      </c>
    </row>
    <row r="1664" spans="1:18" x14ac:dyDescent="0.35">
      <c r="A1664" s="9">
        <v>1665</v>
      </c>
      <c r="B1664" s="5">
        <v>0.75</v>
      </c>
      <c r="C1664" s="5">
        <v>6000000</v>
      </c>
      <c r="D1664" s="5">
        <v>10</v>
      </c>
      <c r="E1664" s="5">
        <v>0</v>
      </c>
      <c r="F1664" s="5">
        <v>3.5000000000000003E-2</v>
      </c>
      <c r="G1664" s="12">
        <f>(C1664*$U$4)/($U$5*$U$3)</f>
        <v>88.16326530612244</v>
      </c>
      <c r="H1664" s="11">
        <f>G1664*COS(RADIANS(D1664))</f>
        <v>86.823867204341596</v>
      </c>
      <c r="I1664" s="11">
        <f>G1664*SIN(RADIANS(D1664))</f>
        <v>15.309390357574264</v>
      </c>
      <c r="J1664" s="11">
        <v>0.27929999999999999</v>
      </c>
      <c r="K1664" s="12">
        <v>0</v>
      </c>
      <c r="L1664" s="12">
        <f>-(F1664*G1664*$U$3)/J1664</f>
        <v>-11.048028233849932</v>
      </c>
      <c r="M1664" s="11">
        <f>ABS(L1664/$U$6)</f>
        <v>3.2209994850874439E-2</v>
      </c>
      <c r="N1664" s="12">
        <f>L1664*SIN(RADIANS(K1664))</f>
        <v>0</v>
      </c>
      <c r="O1664" s="12">
        <f>L1664*COS(RADIANS(K1664))</f>
        <v>-11.048028233849932</v>
      </c>
      <c r="P1664" s="5">
        <v>4.3845579299696853</v>
      </c>
      <c r="Q1664" s="5">
        <v>0.89071287689506073</v>
      </c>
      <c r="R1664" s="6">
        <f>P1664/Q1664</f>
        <v>4.922526712821119</v>
      </c>
    </row>
    <row r="1665" spans="1:18" x14ac:dyDescent="0.35">
      <c r="A1665" s="9">
        <v>1666</v>
      </c>
      <c r="B1665" s="5">
        <v>1</v>
      </c>
      <c r="C1665" s="5">
        <v>6000000</v>
      </c>
      <c r="D1665" s="5">
        <v>20</v>
      </c>
      <c r="E1665" s="5">
        <v>0.375</v>
      </c>
      <c r="F1665" s="5">
        <v>7.4999999999999997E-2</v>
      </c>
      <c r="G1665" s="12">
        <f>(C1665*$U$4)/($U$5*$U$3)</f>
        <v>88.16326530612244</v>
      </c>
      <c r="H1665" s="11">
        <f>G1665*COS(RADIANS(D1665))</f>
        <v>82.846369832553549</v>
      </c>
      <c r="I1665" s="11">
        <f>G1665*SIN(RADIANS(D1665))</f>
        <v>30.153612636058952</v>
      </c>
      <c r="J1665" s="12">
        <v>0.33379999999999999</v>
      </c>
      <c r="K1665" s="11">
        <v>49</v>
      </c>
      <c r="L1665" s="12">
        <f>-(F1665*G1665*$U$3)/J1665</f>
        <v>-19.809002090950219</v>
      </c>
      <c r="M1665" s="11">
        <f>ABS(L1665/$U$6)</f>
        <v>5.7752192684986062E-2</v>
      </c>
      <c r="N1665" s="12">
        <f>L1665*SIN(RADIANS(K1665))</f>
        <v>-14.950043652693052</v>
      </c>
      <c r="O1665" s="12">
        <f>L1665*COS(RADIANS(K1665))</f>
        <v>-12.99587467705973</v>
      </c>
      <c r="P1665" s="5">
        <v>6.0752904265172862</v>
      </c>
      <c r="Q1665" s="5">
        <v>0.71639643558729282</v>
      </c>
      <c r="R1665" s="6">
        <f>P1665/Q1665</f>
        <v>8.4803470881828709</v>
      </c>
    </row>
    <row r="1666" spans="1:18" x14ac:dyDescent="0.35">
      <c r="A1666" s="9">
        <v>1667</v>
      </c>
      <c r="B1666" s="5">
        <v>0.5</v>
      </c>
      <c r="C1666" s="5">
        <v>4000000</v>
      </c>
      <c r="D1666" s="5">
        <v>20</v>
      </c>
      <c r="E1666" s="5">
        <v>0.125</v>
      </c>
      <c r="F1666" s="5">
        <v>3.5000000000000003E-2</v>
      </c>
      <c r="G1666" s="12">
        <f>(C1666*$U$4)/($U$5*$U$3)</f>
        <v>58.775510204081627</v>
      </c>
      <c r="H1666" s="11">
        <f>G1666*COS(RADIANS(D1666))</f>
        <v>55.230913221702366</v>
      </c>
      <c r="I1666" s="11">
        <f>G1666*SIN(RADIANS(D1666))</f>
        <v>20.102408424039304</v>
      </c>
      <c r="J1666" s="12">
        <v>0.23300000000000001</v>
      </c>
      <c r="K1666" s="11">
        <v>27</v>
      </c>
      <c r="L1666" s="12">
        <f>-(F1666*G1666*$U$3)/J1666</f>
        <v>-8.8289393010423041</v>
      </c>
      <c r="M1666" s="11">
        <f>ABS(L1666/$U$6)</f>
        <v>2.5740347816449866E-2</v>
      </c>
      <c r="N1666" s="12">
        <f>L1666*SIN(RADIANS(K1666))</f>
        <v>-4.0082545654503203</v>
      </c>
      <c r="O1666" s="12">
        <f>L1666*COS(RADIANS(K1666))</f>
        <v>-7.8666425188917817</v>
      </c>
      <c r="P1666" s="5">
        <v>3.8868736949320706</v>
      </c>
      <c r="Q1666" s="5">
        <v>0.97892967888375038</v>
      </c>
      <c r="R1666" s="6">
        <f>P1666/Q1666</f>
        <v>3.9705341239262228</v>
      </c>
    </row>
    <row r="1667" spans="1:18" x14ac:dyDescent="0.35">
      <c r="A1667" s="9">
        <v>1668</v>
      </c>
      <c r="B1667" s="5">
        <v>0.75</v>
      </c>
      <c r="C1667" s="5">
        <v>4000000</v>
      </c>
      <c r="D1667" s="5">
        <v>15</v>
      </c>
      <c r="E1667" s="5">
        <v>0</v>
      </c>
      <c r="F1667" s="5">
        <v>3.5000000000000003E-2</v>
      </c>
      <c r="G1667" s="12">
        <f>(C1667*$U$4)/($U$5*$U$3)</f>
        <v>58.775510204081627</v>
      </c>
      <c r="H1667" s="11">
        <f>G1667*COS(RADIANS(D1667))</f>
        <v>56.772783259439109</v>
      </c>
      <c r="I1667" s="11">
        <f>G1667*SIN(RADIANS(D1667))</f>
        <v>15.212221426433871</v>
      </c>
      <c r="J1667" s="11">
        <v>0.27929999999999999</v>
      </c>
      <c r="K1667" s="12">
        <v>0</v>
      </c>
      <c r="L1667" s="12">
        <f>-(F1667*G1667*$U$3)/J1667</f>
        <v>-7.3653521558999531</v>
      </c>
      <c r="M1667" s="11">
        <f>ABS(L1667/$U$6)</f>
        <v>2.1473329900582955E-2</v>
      </c>
      <c r="N1667" s="12">
        <f>L1667*SIN(RADIANS(K1667))</f>
        <v>0</v>
      </c>
      <c r="O1667" s="12">
        <f>L1667*COS(RADIANS(K1667))</f>
        <v>-7.3653521558999531</v>
      </c>
      <c r="P1667" s="5">
        <v>4.378569501212823</v>
      </c>
      <c r="Q1667" s="5">
        <v>1.0765355346015568</v>
      </c>
      <c r="R1667" s="6">
        <f>P1667/Q1667</f>
        <v>4.0672781905275448</v>
      </c>
    </row>
    <row r="1668" spans="1:18" x14ac:dyDescent="0.35">
      <c r="A1668" s="9">
        <v>1669</v>
      </c>
      <c r="B1668" s="5">
        <v>1</v>
      </c>
      <c r="C1668" s="5">
        <v>6000000</v>
      </c>
      <c r="D1668" s="5">
        <v>0</v>
      </c>
      <c r="E1668" s="5">
        <v>0</v>
      </c>
      <c r="F1668" s="5">
        <v>7.4999999999999997E-2</v>
      </c>
      <c r="G1668" s="12">
        <f>(C1668*$U$4)/($U$5*$U$3)</f>
        <v>88.16326530612244</v>
      </c>
      <c r="H1668" s="11">
        <f>G1668*COS(RADIANS(D1668))</f>
        <v>88.16326530612244</v>
      </c>
      <c r="I1668" s="11">
        <f>G1668*SIN(RADIANS(D1668))</f>
        <v>0</v>
      </c>
      <c r="J1668" s="11">
        <v>0.33379999999999999</v>
      </c>
      <c r="K1668" s="12">
        <v>0</v>
      </c>
      <c r="L1668" s="12">
        <f>-(F1668*G1668*$U$3)/J1668</f>
        <v>-19.809002090950219</v>
      </c>
      <c r="M1668" s="11">
        <f>ABS(L1668/$U$6)</f>
        <v>5.7752192684986062E-2</v>
      </c>
      <c r="N1668" s="12">
        <f>L1668*SIN(RADIANS(K1668))</f>
        <v>0</v>
      </c>
      <c r="O1668" s="12">
        <f>L1668*COS(RADIANS(K1668))</f>
        <v>-19.809002090950219</v>
      </c>
      <c r="P1668" s="5">
        <v>7.2517800107010277</v>
      </c>
      <c r="Q1668" s="5">
        <v>0.19073318213864232</v>
      </c>
      <c r="R1668" s="6">
        <f>P1668/Q1668</f>
        <v>38.020547496710726</v>
      </c>
    </row>
    <row r="1669" spans="1:18" x14ac:dyDescent="0.35">
      <c r="A1669" s="9">
        <v>193</v>
      </c>
      <c r="B1669" s="5">
        <v>0.5</v>
      </c>
      <c r="C1669" s="5">
        <v>6000000</v>
      </c>
      <c r="D1669" s="5">
        <v>15</v>
      </c>
      <c r="E1669" s="5">
        <v>0</v>
      </c>
      <c r="F1669" s="5">
        <v>0.1</v>
      </c>
      <c r="G1669" s="12">
        <f>(C1669*$U$4)/($U$5*$U$3)</f>
        <v>88.16326530612244</v>
      </c>
      <c r="H1669" s="11">
        <f>G1669*COS(RADIANS(D1669))</f>
        <v>85.159174889158663</v>
      </c>
      <c r="I1669" s="11">
        <f>G1669*SIN(RADIANS(D1669))</f>
        <v>22.818332139650806</v>
      </c>
      <c r="J1669" s="12">
        <v>0.23230000000000001</v>
      </c>
      <c r="K1669" s="12">
        <v>0</v>
      </c>
      <c r="L1669" s="12">
        <f>-(F1669*G1669*$U$3)/J1669</f>
        <v>-37.952331169230497</v>
      </c>
      <c r="M1669" s="11">
        <f>ABS(L1669/$U$6)</f>
        <v>0.11064819582866034</v>
      </c>
      <c r="N1669" s="12">
        <f>L1669*SIN(RADIANS(K1669))</f>
        <v>0</v>
      </c>
      <c r="O1669" s="12">
        <f>L1669*COS(RADIANS(K1669))</f>
        <v>-37.952331169230497</v>
      </c>
      <c r="P1669" s="5">
        <v>4.4308111106806223</v>
      </c>
      <c r="Q1669" s="5">
        <v>0.79181612315790251</v>
      </c>
      <c r="R1669" s="6">
        <f>P1669/Q1669</f>
        <v>5.5957576274271421</v>
      </c>
    </row>
    <row r="1670" spans="1:18" x14ac:dyDescent="0.35">
      <c r="A1670" s="9">
        <v>1671</v>
      </c>
      <c r="B1670" s="5">
        <v>0.5</v>
      </c>
      <c r="C1670" s="5">
        <v>4000000</v>
      </c>
      <c r="D1670" s="5">
        <v>30</v>
      </c>
      <c r="E1670" s="5">
        <v>0</v>
      </c>
      <c r="F1670" s="5">
        <v>2.5000000000000001E-2</v>
      </c>
      <c r="G1670" s="12">
        <f>(C1670*$U$4)/($U$5*$U$3)</f>
        <v>58.775510204081627</v>
      </c>
      <c r="H1670" s="11">
        <f>G1670*COS(RADIANS(D1670))</f>
        <v>50.901084957126187</v>
      </c>
      <c r="I1670" s="11">
        <f>G1670*SIN(RADIANS(D1670))</f>
        <v>29.38775510204081</v>
      </c>
      <c r="J1670" s="12">
        <v>0.23230000000000001</v>
      </c>
      <c r="K1670" s="12">
        <v>0</v>
      </c>
      <c r="L1670" s="12">
        <f>-(F1670*G1670*$U$3)/J1670</f>
        <v>-6.3253885282050826</v>
      </c>
      <c r="M1670" s="11">
        <f>ABS(L1670/$U$6)</f>
        <v>1.8441365971443389E-2</v>
      </c>
      <c r="N1670" s="12">
        <f>L1670*SIN(RADIANS(K1670))</f>
        <v>0</v>
      </c>
      <c r="O1670" s="12">
        <f>L1670*COS(RADIANS(K1670))</f>
        <v>-6.3253885282050826</v>
      </c>
      <c r="P1670" s="5">
        <v>1.9399104099032913</v>
      </c>
      <c r="Q1670" s="5">
        <v>1.0016325441305145</v>
      </c>
      <c r="R1670" s="6">
        <f>P1670/Q1670</f>
        <v>1.9367485823728563</v>
      </c>
    </row>
    <row r="1671" spans="1:18" x14ac:dyDescent="0.35">
      <c r="A1671" s="9">
        <v>1672</v>
      </c>
      <c r="B1671" s="5">
        <v>0.1</v>
      </c>
      <c r="C1671" s="5">
        <v>6000000</v>
      </c>
      <c r="D1671" s="5">
        <v>10</v>
      </c>
      <c r="E1671" s="5">
        <v>0.125</v>
      </c>
      <c r="F1671" s="5">
        <v>0</v>
      </c>
      <c r="G1671" s="12">
        <f>(C1671*$U$4)/($U$5*$U$3)</f>
        <v>88.16326530612244</v>
      </c>
      <c r="H1671" s="11">
        <f>G1671*COS(RADIANS(D1671))</f>
        <v>86.823867204341596</v>
      </c>
      <c r="I1671" s="11">
        <f>G1671*SIN(RADIANS(D1671))</f>
        <v>15.309390357574264</v>
      </c>
      <c r="J1671" s="12">
        <v>0.1658</v>
      </c>
      <c r="K1671" s="12">
        <v>69</v>
      </c>
      <c r="L1671" s="12">
        <f>-(F1671*G1671*$U$3)/J1671</f>
        <v>0</v>
      </c>
      <c r="M1671" s="11">
        <f>ABS(L1671/$U$6)</f>
        <v>0</v>
      </c>
      <c r="N1671" s="12">
        <f>L1671*SIN(RADIANS(K1671))</f>
        <v>0</v>
      </c>
      <c r="O1671" s="12">
        <f>L1671*COS(RADIANS(K1671))</f>
        <v>0</v>
      </c>
      <c r="P1671" s="5">
        <v>1.4176543832358084</v>
      </c>
      <c r="Q1671" s="5">
        <v>0.46918307379976854</v>
      </c>
      <c r="R1671" s="6">
        <f>P1671/Q1671</f>
        <v>3.0215377800283036</v>
      </c>
    </row>
    <row r="1672" spans="1:18" x14ac:dyDescent="0.35">
      <c r="A1672" s="9">
        <v>1673</v>
      </c>
      <c r="B1672" s="5">
        <v>0.75</v>
      </c>
      <c r="C1672" s="5">
        <v>6000000</v>
      </c>
      <c r="D1672" s="5">
        <v>20</v>
      </c>
      <c r="E1672" s="5">
        <v>0.25</v>
      </c>
      <c r="F1672" s="5">
        <v>0.1</v>
      </c>
      <c r="G1672" s="12">
        <f>(C1672*$U$4)/($U$5*$U$3)</f>
        <v>88.16326530612244</v>
      </c>
      <c r="H1672" s="11">
        <f>G1672*COS(RADIANS(D1672))</f>
        <v>82.846369832553549</v>
      </c>
      <c r="I1672" s="11">
        <f>G1672*SIN(RADIANS(D1672))</f>
        <v>30.153612636058952</v>
      </c>
      <c r="J1672" s="12">
        <v>0.28370000000000001</v>
      </c>
      <c r="K1672" s="11">
        <v>38</v>
      </c>
      <c r="L1672" s="12">
        <f>-(F1672*G1672*$U$3)/J1672</f>
        <v>-31.076230280621232</v>
      </c>
      <c r="M1672" s="11">
        <f>ABS(L1672/$U$6)</f>
        <v>9.0601254462452568E-2</v>
      </c>
      <c r="N1672" s="12">
        <f>L1672*SIN(RADIANS(K1672))</f>
        <v>-19.132437782127163</v>
      </c>
      <c r="O1672" s="12">
        <f>L1672*COS(RADIANS(K1672))</f>
        <v>-24.488403642688368</v>
      </c>
      <c r="P1672" s="5">
        <v>4.704609808238863</v>
      </c>
      <c r="Q1672" s="5">
        <v>0.68122506445558639</v>
      </c>
      <c r="R1672" s="6">
        <f>P1672/Q1672</f>
        <v>6.9061020413255623</v>
      </c>
    </row>
    <row r="1673" spans="1:18" x14ac:dyDescent="0.35">
      <c r="A1673" s="9">
        <v>1674</v>
      </c>
      <c r="B1673" s="5">
        <v>1</v>
      </c>
      <c r="C1673" s="5">
        <v>4000000</v>
      </c>
      <c r="D1673" s="5">
        <v>20</v>
      </c>
      <c r="E1673" s="5">
        <v>0</v>
      </c>
      <c r="F1673" s="5">
        <v>0</v>
      </c>
      <c r="G1673" s="12">
        <f>(C1673*$U$4)/($U$5*$U$3)</f>
        <v>58.775510204081627</v>
      </c>
      <c r="H1673" s="11">
        <f>G1673*COS(RADIANS(D1673))</f>
        <v>55.230913221702366</v>
      </c>
      <c r="I1673" s="11">
        <f>G1673*SIN(RADIANS(D1673))</f>
        <v>20.102408424039304</v>
      </c>
      <c r="J1673" s="11">
        <v>0.33379999999999999</v>
      </c>
      <c r="K1673" s="12">
        <v>0</v>
      </c>
      <c r="L1673" s="12">
        <f>-(F1673*G1673*$U$3)/J1673</f>
        <v>0</v>
      </c>
      <c r="M1673" s="11">
        <f>ABS(L1673/$U$6)</f>
        <v>0</v>
      </c>
      <c r="N1673" s="12">
        <f>L1673*SIN(RADIANS(K1673))</f>
        <v>0</v>
      </c>
      <c r="O1673" s="12">
        <f>L1673*COS(RADIANS(K1673))</f>
        <v>0</v>
      </c>
      <c r="P1673" s="5">
        <v>5.4590410185412033</v>
      </c>
      <c r="Q1673" s="5">
        <v>2.4994837270520094</v>
      </c>
      <c r="R1673" s="6">
        <f>P1673/Q1673</f>
        <v>2.184067437390286</v>
      </c>
    </row>
    <row r="1674" spans="1:18" x14ac:dyDescent="0.35">
      <c r="A1674" s="9">
        <v>1675</v>
      </c>
      <c r="B1674" s="5">
        <v>1</v>
      </c>
      <c r="C1674" s="5">
        <v>2000000</v>
      </c>
      <c r="D1674" s="5">
        <v>30</v>
      </c>
      <c r="E1674" s="5">
        <v>0.25</v>
      </c>
      <c r="F1674" s="5">
        <v>0</v>
      </c>
      <c r="G1674" s="12">
        <f>(C1674*$U$4)/($U$5*$U$3)</f>
        <v>29.387755102040813</v>
      </c>
      <c r="H1674" s="11">
        <f>G1674*COS(RADIANS(D1674))</f>
        <v>25.450542478563094</v>
      </c>
      <c r="I1674" s="11">
        <f>G1674*SIN(RADIANS(D1674))</f>
        <v>14.693877551020405</v>
      </c>
      <c r="J1674" s="13">
        <v>0.33379999999999999</v>
      </c>
      <c r="K1674" s="12">
        <v>30</v>
      </c>
      <c r="L1674" s="12">
        <f>-(F1674*G1674*$U$3)/J1674</f>
        <v>0</v>
      </c>
      <c r="M1674" s="11">
        <f>ABS(L1674/$U$6)</f>
        <v>0</v>
      </c>
      <c r="N1674" s="12">
        <f>L1674*SIN(RADIANS(K1674))</f>
        <v>0</v>
      </c>
      <c r="O1674" s="12">
        <f>L1674*COS(RADIANS(K1674))</f>
        <v>0</v>
      </c>
      <c r="P1674" s="5">
        <v>5.530153363982123</v>
      </c>
      <c r="Q1674" s="5">
        <v>3.0513092114940772</v>
      </c>
      <c r="R1674" s="6">
        <f>P1674/Q1674</f>
        <v>1.8123870708187837</v>
      </c>
    </row>
    <row r="1675" spans="1:18" x14ac:dyDescent="0.35">
      <c r="A1675" s="9">
        <v>704</v>
      </c>
      <c r="B1675" s="5">
        <v>0.5</v>
      </c>
      <c r="C1675" s="5">
        <v>4000000</v>
      </c>
      <c r="D1675" s="5">
        <v>0</v>
      </c>
      <c r="E1675" s="5">
        <v>0</v>
      </c>
      <c r="F1675" s="5">
        <v>0.15</v>
      </c>
      <c r="G1675" s="12">
        <f>(C1675*$U$4)/($U$5*$U$3)</f>
        <v>58.775510204081627</v>
      </c>
      <c r="H1675" s="11">
        <f>G1675*COS(RADIANS(D1675))</f>
        <v>58.775510204081627</v>
      </c>
      <c r="I1675" s="11">
        <f>G1675*SIN(RADIANS(D1675))</f>
        <v>0</v>
      </c>
      <c r="J1675" s="19">
        <v>0.23230000000000001</v>
      </c>
      <c r="K1675" s="12">
        <v>0</v>
      </c>
      <c r="L1675" s="12">
        <f>-(F1675*G1675*$U$3)/J1675</f>
        <v>-37.952331169230497</v>
      </c>
      <c r="M1675" s="11">
        <f>ABS(L1675/$U$6)</f>
        <v>0.11064819582866034</v>
      </c>
      <c r="N1675" s="12">
        <f>L1675*SIN(RADIANS(K1675))</f>
        <v>0</v>
      </c>
      <c r="O1675" s="12">
        <f>L1675*COS(RADIANS(K1675))</f>
        <v>-37.952331169230497</v>
      </c>
      <c r="P1675" s="5">
        <v>4.6980065968441673</v>
      </c>
      <c r="Q1675" s="5">
        <v>-0.10950511836562823</v>
      </c>
      <c r="R1675" s="6">
        <f>P1675/Q1675</f>
        <v>-42.90216445552732</v>
      </c>
    </row>
    <row r="1676" spans="1:18" x14ac:dyDescent="0.35">
      <c r="A1676" s="9">
        <v>1677</v>
      </c>
      <c r="B1676" s="5">
        <v>1</v>
      </c>
      <c r="C1676" s="5">
        <v>6000000</v>
      </c>
      <c r="D1676" s="5">
        <v>15</v>
      </c>
      <c r="E1676" s="5">
        <v>0.25</v>
      </c>
      <c r="F1676" s="5">
        <v>0.05</v>
      </c>
      <c r="G1676" s="12">
        <f>(C1676*$U$4)/($U$5*$U$3)</f>
        <v>88.16326530612244</v>
      </c>
      <c r="H1676" s="11">
        <f>G1676*COS(RADIANS(D1676))</f>
        <v>85.159174889158663</v>
      </c>
      <c r="I1676" s="11">
        <f>G1676*SIN(RADIANS(D1676))</f>
        <v>22.818332139650806</v>
      </c>
      <c r="J1676" s="13">
        <v>0.33379999999999999</v>
      </c>
      <c r="K1676" s="12">
        <v>30</v>
      </c>
      <c r="L1676" s="12">
        <f>-(F1676*G1676*$U$3)/J1676</f>
        <v>-13.206001393966813</v>
      </c>
      <c r="M1676" s="11">
        <f>ABS(L1676/$U$6)</f>
        <v>3.8501461789990712E-2</v>
      </c>
      <c r="N1676" s="12">
        <f>L1676*SIN(RADIANS(K1676))</f>
        <v>-6.6030006969834059</v>
      </c>
      <c r="O1676" s="12">
        <f>L1676*COS(RADIANS(K1676))</f>
        <v>-11.43673268958797</v>
      </c>
      <c r="P1676" s="5">
        <v>3.6209390987973711</v>
      </c>
      <c r="Q1676" s="5">
        <v>1.1351048878744139</v>
      </c>
      <c r="R1676" s="6">
        <f>P1676/Q1676</f>
        <v>3.1899599213055154</v>
      </c>
    </row>
    <row r="1677" spans="1:18" x14ac:dyDescent="0.35">
      <c r="A1677" s="9">
        <v>1678</v>
      </c>
      <c r="B1677" s="5">
        <v>0.5</v>
      </c>
      <c r="C1677" s="5">
        <v>2000000</v>
      </c>
      <c r="D1677" s="5">
        <v>15</v>
      </c>
      <c r="E1677" s="5">
        <v>0.125</v>
      </c>
      <c r="F1677" s="5">
        <v>0.1</v>
      </c>
      <c r="G1677" s="12">
        <f>(C1677*$U$4)/($U$5*$U$3)</f>
        <v>29.387755102040813</v>
      </c>
      <c r="H1677" s="11">
        <f>G1677*COS(RADIANS(D1677))</f>
        <v>28.386391629719554</v>
      </c>
      <c r="I1677" s="11">
        <f>G1677*SIN(RADIANS(D1677))</f>
        <v>7.6061107132169354</v>
      </c>
      <c r="J1677" s="12">
        <v>0.23300000000000001</v>
      </c>
      <c r="K1677" s="11">
        <v>27</v>
      </c>
      <c r="L1677" s="12">
        <f>-(F1677*G1677*$U$3)/J1677</f>
        <v>-12.612770430060435</v>
      </c>
      <c r="M1677" s="11">
        <f>ABS(L1677/$U$6)</f>
        <v>3.6771925452071239E-2</v>
      </c>
      <c r="N1677" s="12">
        <f>L1677*SIN(RADIANS(K1677))</f>
        <v>-5.7260779506433144</v>
      </c>
      <c r="O1677" s="12">
        <f>L1677*COS(RADIANS(K1677))</f>
        <v>-11.238060741273975</v>
      </c>
      <c r="P1677" s="5">
        <v>3.8143049802611881</v>
      </c>
      <c r="Q1677" s="5">
        <v>0.6254483953616029</v>
      </c>
      <c r="R1677" s="6">
        <f>P1677/Q1677</f>
        <v>6.098512696728478</v>
      </c>
    </row>
    <row r="1678" spans="1:18" x14ac:dyDescent="0.35">
      <c r="A1678" s="9">
        <v>1679</v>
      </c>
      <c r="B1678" s="5">
        <v>0.75</v>
      </c>
      <c r="C1678" s="5">
        <v>2000000</v>
      </c>
      <c r="D1678" s="5">
        <v>15</v>
      </c>
      <c r="E1678" s="5">
        <v>0</v>
      </c>
      <c r="F1678" s="5">
        <v>3.5000000000000003E-2</v>
      </c>
      <c r="G1678" s="12">
        <f>(C1678*$U$4)/($U$5*$U$3)</f>
        <v>29.387755102040813</v>
      </c>
      <c r="H1678" s="11">
        <f>G1678*COS(RADIANS(D1678))</f>
        <v>28.386391629719554</v>
      </c>
      <c r="I1678" s="11">
        <f>G1678*SIN(RADIANS(D1678))</f>
        <v>7.6061107132169354</v>
      </c>
      <c r="J1678" s="11">
        <v>0.27929999999999999</v>
      </c>
      <c r="K1678" s="12">
        <v>0</v>
      </c>
      <c r="L1678" s="12">
        <f>-(F1678*G1678*$U$3)/J1678</f>
        <v>-3.6826760779499765</v>
      </c>
      <c r="M1678" s="11">
        <f>ABS(L1678/$U$6)</f>
        <v>1.0736664950291477E-2</v>
      </c>
      <c r="N1678" s="12">
        <f>L1678*SIN(RADIANS(K1678))</f>
        <v>0</v>
      </c>
      <c r="O1678" s="12">
        <f>L1678*COS(RADIANS(K1678))</f>
        <v>-3.6826760779499765</v>
      </c>
      <c r="P1678" s="5">
        <v>4.463531528418387</v>
      </c>
      <c r="Q1678" s="5">
        <v>1.084884533403591</v>
      </c>
      <c r="R1678" s="6">
        <f>P1678/Q1678</f>
        <v>4.1142917895741586</v>
      </c>
    </row>
    <row r="1679" spans="1:18" x14ac:dyDescent="0.35">
      <c r="A1679" s="9">
        <v>1680</v>
      </c>
      <c r="B1679" s="5">
        <v>0.1</v>
      </c>
      <c r="C1679" s="5">
        <v>6000000</v>
      </c>
      <c r="D1679" s="5">
        <v>5</v>
      </c>
      <c r="E1679" s="5">
        <v>0</v>
      </c>
      <c r="F1679" s="5">
        <v>3.5000000000000003E-2</v>
      </c>
      <c r="G1679" s="12">
        <f>(C1679*$U$4)/($U$5*$U$3)</f>
        <v>88.16326530612244</v>
      </c>
      <c r="H1679" s="11">
        <f>G1679*COS(RADIANS(D1679))</f>
        <v>87.827777464415107</v>
      </c>
      <c r="I1679" s="11">
        <f>G1679*SIN(RADIANS(D1679))</f>
        <v>7.6839348708139434</v>
      </c>
      <c r="J1679" s="11">
        <v>0.16569999999999999</v>
      </c>
      <c r="K1679" s="12">
        <v>0</v>
      </c>
      <c r="L1679" s="12">
        <f>-(F1679*G1679*$U$3)/J1679</f>
        <v>-18.622295025433228</v>
      </c>
      <c r="M1679" s="11">
        <f>ABS(L1679/$U$6)</f>
        <v>5.4292405321962764E-2</v>
      </c>
      <c r="N1679" s="12">
        <f>L1679*SIN(RADIANS(K1679))</f>
        <v>0</v>
      </c>
      <c r="O1679" s="12">
        <f>L1679*COS(RADIANS(K1679))</f>
        <v>-18.622295025433228</v>
      </c>
      <c r="P1679" s="5">
        <v>1.2766145848072448</v>
      </c>
      <c r="Q1679" s="5">
        <v>0.3128402705705603</v>
      </c>
      <c r="R1679" s="6">
        <f>P1679/Q1679</f>
        <v>4.080723311225074</v>
      </c>
    </row>
    <row r="1680" spans="1:18" x14ac:dyDescent="0.35">
      <c r="A1680" s="9">
        <v>826</v>
      </c>
      <c r="B1680" s="5">
        <v>0.5</v>
      </c>
      <c r="C1680" s="5">
        <v>4000000</v>
      </c>
      <c r="D1680" s="5">
        <v>30</v>
      </c>
      <c r="E1680" s="5">
        <v>0</v>
      </c>
      <c r="F1680" s="5">
        <v>0.15</v>
      </c>
      <c r="G1680" s="12">
        <f>(C1680*$U$4)/($U$5*$U$3)</f>
        <v>58.775510204081627</v>
      </c>
      <c r="H1680" s="11">
        <f>G1680*COS(RADIANS(D1680))</f>
        <v>50.901084957126187</v>
      </c>
      <c r="I1680" s="11">
        <f>G1680*SIN(RADIANS(D1680))</f>
        <v>29.38775510204081</v>
      </c>
      <c r="J1680" s="19">
        <v>0.23230000000000001</v>
      </c>
      <c r="K1680" s="12">
        <v>0</v>
      </c>
      <c r="L1680" s="12">
        <f>-(F1680*G1680*$U$3)/J1680</f>
        <v>-37.952331169230497</v>
      </c>
      <c r="M1680" s="11">
        <f>ABS(L1680/$U$6)</f>
        <v>0.11064819582866034</v>
      </c>
      <c r="N1680" s="12">
        <f>L1680*SIN(RADIANS(K1680))</f>
        <v>0</v>
      </c>
      <c r="O1680" s="12">
        <f>L1680*COS(RADIANS(K1680))</f>
        <v>-37.952331169230497</v>
      </c>
      <c r="P1680" s="5">
        <v>4.7992647004239872</v>
      </c>
      <c r="Q1680" s="5">
        <v>1.385868380105955</v>
      </c>
      <c r="R1680" s="6">
        <f>P1680/Q1680</f>
        <v>3.4630018040075816</v>
      </c>
    </row>
    <row r="1681" spans="1:18" x14ac:dyDescent="0.35">
      <c r="A1681" s="9">
        <v>1682</v>
      </c>
      <c r="B1681" s="5">
        <v>0.75</v>
      </c>
      <c r="C1681" s="5">
        <v>6000000</v>
      </c>
      <c r="D1681" s="5">
        <v>15</v>
      </c>
      <c r="E1681" s="5">
        <v>0</v>
      </c>
      <c r="F1681" s="5">
        <v>0</v>
      </c>
      <c r="G1681" s="12">
        <f>(C1681*$U$4)/($U$5*$U$3)</f>
        <v>88.16326530612244</v>
      </c>
      <c r="H1681" s="11">
        <f>G1681*COS(RADIANS(D1681))</f>
        <v>85.159174889158663</v>
      </c>
      <c r="I1681" s="11">
        <f>G1681*SIN(RADIANS(D1681))</f>
        <v>22.818332139650806</v>
      </c>
      <c r="J1681" s="11">
        <v>0.27929999999999999</v>
      </c>
      <c r="K1681" s="12">
        <v>0</v>
      </c>
      <c r="L1681" s="12">
        <f>-(F1681*G1681*$U$3)/J1681</f>
        <v>0</v>
      </c>
      <c r="M1681" s="11">
        <f>ABS(L1681/$U$6)</f>
        <v>0</v>
      </c>
      <c r="N1681" s="12">
        <f>L1681*SIN(RADIANS(K1681))</f>
        <v>0</v>
      </c>
      <c r="O1681" s="12">
        <f>L1681*COS(RADIANS(K1681))</f>
        <v>0</v>
      </c>
      <c r="P1681" s="5">
        <v>3.8925651958277361</v>
      </c>
      <c r="Q1681" s="5">
        <v>1.6316375756899899</v>
      </c>
      <c r="R1681" s="6">
        <f>P1681/Q1681</f>
        <v>2.3856800393810746</v>
      </c>
    </row>
    <row r="1682" spans="1:18" x14ac:dyDescent="0.35">
      <c r="A1682" s="9">
        <v>1683</v>
      </c>
      <c r="B1682" s="5">
        <v>0.1</v>
      </c>
      <c r="C1682" s="5">
        <v>4000000</v>
      </c>
      <c r="D1682" s="5">
        <v>10</v>
      </c>
      <c r="E1682" s="5">
        <v>0</v>
      </c>
      <c r="F1682" s="5">
        <v>3.5000000000000003E-2</v>
      </c>
      <c r="G1682" s="12">
        <f>(C1682*$U$4)/($U$5*$U$3)</f>
        <v>58.775510204081627</v>
      </c>
      <c r="H1682" s="11">
        <f>G1682*COS(RADIANS(D1682))</f>
        <v>57.882578136227728</v>
      </c>
      <c r="I1682" s="11">
        <f>G1682*SIN(RADIANS(D1682))</f>
        <v>10.206260238382843</v>
      </c>
      <c r="J1682" s="11">
        <v>0.16569999999999999</v>
      </c>
      <c r="K1682" s="12">
        <v>0</v>
      </c>
      <c r="L1682" s="12">
        <f>-(F1682*G1682*$U$3)/J1682</f>
        <v>-12.414863350288817</v>
      </c>
      <c r="M1682" s="11">
        <f>ABS(L1682/$U$6)</f>
        <v>3.6194936881308502E-2</v>
      </c>
      <c r="N1682" s="12">
        <f>L1682*SIN(RADIANS(K1682))</f>
        <v>0</v>
      </c>
      <c r="O1682" s="12">
        <f>L1682*COS(RADIANS(K1682))</f>
        <v>-12.414863350288817</v>
      </c>
      <c r="P1682" s="5">
        <v>1.3594464353117819</v>
      </c>
      <c r="Q1682" s="5">
        <v>0.41805483432984819</v>
      </c>
      <c r="R1682" s="6">
        <f>P1682/Q1682</f>
        <v>3.2518376147736858</v>
      </c>
    </row>
    <row r="1683" spans="1:18" x14ac:dyDescent="0.35">
      <c r="A1683" s="9">
        <v>1684</v>
      </c>
      <c r="B1683" s="5">
        <v>0.75</v>
      </c>
      <c r="C1683" s="5">
        <v>2000000</v>
      </c>
      <c r="D1683" s="5">
        <v>10</v>
      </c>
      <c r="E1683" s="5">
        <v>0.125</v>
      </c>
      <c r="F1683" s="5">
        <v>3.5000000000000003E-2</v>
      </c>
      <c r="G1683" s="12">
        <f>(C1683*$U$4)/($U$5*$U$3)</f>
        <v>29.387755102040813</v>
      </c>
      <c r="H1683" s="11">
        <f>G1683*COS(RADIANS(D1683))</f>
        <v>28.941289068113864</v>
      </c>
      <c r="I1683" s="11">
        <f>G1683*SIN(RADIANS(D1683))</f>
        <v>5.1031301191914213</v>
      </c>
      <c r="J1683" s="12">
        <v>0.2802</v>
      </c>
      <c r="K1683" s="12">
        <v>19</v>
      </c>
      <c r="L1683" s="12">
        <f>-(F1683*G1683*$U$3)/J1683</f>
        <v>-3.6708473539308653</v>
      </c>
      <c r="M1683" s="11">
        <f>ABS(L1683/$U$6)</f>
        <v>1.0702178874434009E-2</v>
      </c>
      <c r="N1683" s="12">
        <f>L1683*SIN(RADIANS(K1683))</f>
        <v>-1.1951109983132089</v>
      </c>
      <c r="O1683" s="12">
        <f>L1683*COS(RADIANS(K1683))</f>
        <v>-3.470854361331233</v>
      </c>
      <c r="P1683" s="5">
        <v>2.4280521743997352</v>
      </c>
      <c r="Q1683" s="5">
        <v>0.93708970862637442</v>
      </c>
      <c r="R1683" s="6">
        <f>P1683/Q1683</f>
        <v>2.5910562799359695</v>
      </c>
    </row>
    <row r="1684" spans="1:18" x14ac:dyDescent="0.35">
      <c r="A1684" s="9">
        <v>1685</v>
      </c>
      <c r="B1684" s="5">
        <v>0.5</v>
      </c>
      <c r="C1684" s="5">
        <v>4000000</v>
      </c>
      <c r="D1684" s="5">
        <v>10</v>
      </c>
      <c r="E1684" s="5">
        <v>0.25</v>
      </c>
      <c r="F1684" s="5">
        <v>3.5000000000000003E-2</v>
      </c>
      <c r="G1684" s="12">
        <f>(C1684*$U$4)/($U$5*$U$3)</f>
        <v>58.775510204081627</v>
      </c>
      <c r="H1684" s="11">
        <f>G1684*COS(RADIANS(D1684))</f>
        <v>57.882578136227728</v>
      </c>
      <c r="I1684" s="11">
        <f>G1684*SIN(RADIANS(D1684))</f>
        <v>10.206260238382843</v>
      </c>
      <c r="J1684" s="11">
        <v>0.23580000000000001</v>
      </c>
      <c r="K1684" s="11">
        <v>49</v>
      </c>
      <c r="L1684" s="12">
        <f>-(F1684*G1684*$U$3)/J1684</f>
        <v>-8.7241003271537618</v>
      </c>
      <c r="M1684" s="11">
        <f>ABS(L1684/$U$6)</f>
        <v>2.5434694831352075E-2</v>
      </c>
      <c r="N1684" s="12">
        <f>L1684*SIN(RADIANS(K1684))</f>
        <v>-6.5841620957275637</v>
      </c>
      <c r="O1684" s="12">
        <f>L1684*COS(RADIANS(K1684))</f>
        <v>-5.7235247894482635</v>
      </c>
      <c r="P1684" s="5">
        <v>2.7550968579951052</v>
      </c>
      <c r="Q1684" s="5">
        <v>0.39495368026869393</v>
      </c>
      <c r="R1684" s="6">
        <f>P1684/Q1684</f>
        <v>6.9757467663569166</v>
      </c>
    </row>
    <row r="1685" spans="1:18" x14ac:dyDescent="0.35">
      <c r="A1685" s="9">
        <v>1686</v>
      </c>
      <c r="B1685" s="5">
        <v>0.75</v>
      </c>
      <c r="C1685" s="5">
        <v>2000000</v>
      </c>
      <c r="D1685" s="5">
        <v>0</v>
      </c>
      <c r="E1685" s="5">
        <v>0.25</v>
      </c>
      <c r="F1685" s="5">
        <v>3.5000000000000003E-2</v>
      </c>
      <c r="G1685" s="12">
        <f>(C1685*$U$4)/($U$5*$U$3)</f>
        <v>29.387755102040813</v>
      </c>
      <c r="H1685" s="11">
        <f>G1685*COS(RADIANS(D1685))</f>
        <v>29.387755102040813</v>
      </c>
      <c r="I1685" s="11">
        <f>G1685*SIN(RADIANS(D1685))</f>
        <v>0</v>
      </c>
      <c r="J1685" s="12">
        <v>0.28370000000000001</v>
      </c>
      <c r="K1685" s="11">
        <v>38</v>
      </c>
      <c r="L1685" s="12">
        <f>-(F1685*G1685*$U$3)/J1685</f>
        <v>-3.6255601994058106</v>
      </c>
      <c r="M1685" s="11">
        <f>ABS(L1685/$U$6)</f>
        <v>1.05701463539528E-2</v>
      </c>
      <c r="N1685" s="12">
        <f>L1685*SIN(RADIANS(K1685))</f>
        <v>-2.2321177412481692</v>
      </c>
      <c r="O1685" s="12">
        <f>L1685*COS(RADIANS(K1685))</f>
        <v>-2.8569804249803097</v>
      </c>
      <c r="P1685" s="5">
        <v>3.1485062355885653</v>
      </c>
      <c r="Q1685" s="5">
        <v>2.5441364013899046E-2</v>
      </c>
      <c r="R1685" s="6">
        <f>P1685/Q1685</f>
        <v>123.75540218160015</v>
      </c>
    </row>
    <row r="1686" spans="1:18" x14ac:dyDescent="0.35">
      <c r="A1686" s="9">
        <v>1687</v>
      </c>
      <c r="B1686" s="5">
        <v>1</v>
      </c>
      <c r="C1686" s="5">
        <v>2000000</v>
      </c>
      <c r="D1686" s="5">
        <v>10</v>
      </c>
      <c r="E1686" s="5">
        <v>0</v>
      </c>
      <c r="F1686" s="5">
        <v>0.05</v>
      </c>
      <c r="G1686" s="12">
        <f>(C1686*$U$4)/($U$5*$U$3)</f>
        <v>29.387755102040813</v>
      </c>
      <c r="H1686" s="11">
        <f>G1686*COS(RADIANS(D1686))</f>
        <v>28.941289068113864</v>
      </c>
      <c r="I1686" s="11">
        <f>G1686*SIN(RADIANS(D1686))</f>
        <v>5.1031301191914213</v>
      </c>
      <c r="J1686" s="11">
        <v>0.33379999999999999</v>
      </c>
      <c r="K1686" s="12">
        <v>0</v>
      </c>
      <c r="L1686" s="12">
        <f>-(F1686*G1686*$U$3)/J1686</f>
        <v>-4.4020004646556048</v>
      </c>
      <c r="M1686" s="11">
        <f>ABS(L1686/$U$6)</f>
        <v>1.283382059666357E-2</v>
      </c>
      <c r="N1686" s="12">
        <f>L1686*SIN(RADIANS(K1686))</f>
        <v>0</v>
      </c>
      <c r="O1686" s="12">
        <f>L1686*COS(RADIANS(K1686))</f>
        <v>-4.4020004646556048</v>
      </c>
      <c r="P1686" s="5">
        <v>2.1759444475416228</v>
      </c>
      <c r="Q1686" s="5">
        <v>1.6678371022514213</v>
      </c>
      <c r="R1686" s="6">
        <f>P1686/Q1686</f>
        <v>1.3046504629284867</v>
      </c>
    </row>
    <row r="1687" spans="1:18" x14ac:dyDescent="0.35">
      <c r="A1687" s="9">
        <v>1688</v>
      </c>
      <c r="B1687" s="5">
        <v>1</v>
      </c>
      <c r="C1687" s="5">
        <v>6000000</v>
      </c>
      <c r="D1687" s="5">
        <v>15</v>
      </c>
      <c r="E1687" s="5">
        <v>0.375</v>
      </c>
      <c r="F1687" s="5">
        <v>7.4999999999999997E-2</v>
      </c>
      <c r="G1687" s="12">
        <f>(C1687*$U$4)/($U$5*$U$3)</f>
        <v>88.16326530612244</v>
      </c>
      <c r="H1687" s="11">
        <f>G1687*COS(RADIANS(D1687))</f>
        <v>85.159174889158663</v>
      </c>
      <c r="I1687" s="11">
        <f>G1687*SIN(RADIANS(D1687))</f>
        <v>22.818332139650806</v>
      </c>
      <c r="J1687" s="12">
        <v>0.33379999999999999</v>
      </c>
      <c r="K1687" s="11">
        <v>49</v>
      </c>
      <c r="L1687" s="12">
        <f>-(F1687*G1687*$U$3)/J1687</f>
        <v>-19.809002090950219</v>
      </c>
      <c r="M1687" s="11">
        <f>ABS(L1687/$U$6)</f>
        <v>5.7752192684986062E-2</v>
      </c>
      <c r="N1687" s="12">
        <f>L1687*SIN(RADIANS(K1687))</f>
        <v>-14.950043652693052</v>
      </c>
      <c r="O1687" s="12">
        <f>L1687*COS(RADIANS(K1687))</f>
        <v>-12.99587467705973</v>
      </c>
      <c r="P1687" s="5">
        <v>5.962975537140677</v>
      </c>
      <c r="Q1687" s="5">
        <v>0.3214420914520949</v>
      </c>
      <c r="R1687" s="6">
        <f>P1687/Q1687</f>
        <v>18.550699163893881</v>
      </c>
    </row>
    <row r="1688" spans="1:18" x14ac:dyDescent="0.35">
      <c r="A1688" s="9">
        <v>1689</v>
      </c>
      <c r="B1688" s="5">
        <v>0.75</v>
      </c>
      <c r="C1688" s="5">
        <v>6000000</v>
      </c>
      <c r="D1688" s="5">
        <v>0</v>
      </c>
      <c r="E1688" s="5">
        <v>0.25</v>
      </c>
      <c r="F1688" s="5">
        <v>3.5000000000000003E-2</v>
      </c>
      <c r="G1688" s="12">
        <f>(C1688*$U$4)/($U$5*$U$3)</f>
        <v>88.16326530612244</v>
      </c>
      <c r="H1688" s="11">
        <f>G1688*COS(RADIANS(D1688))</f>
        <v>88.16326530612244</v>
      </c>
      <c r="I1688" s="11">
        <f>G1688*SIN(RADIANS(D1688))</f>
        <v>0</v>
      </c>
      <c r="J1688" s="12">
        <v>0.28370000000000001</v>
      </c>
      <c r="K1688" s="11">
        <v>38</v>
      </c>
      <c r="L1688" s="12">
        <f>-(F1688*G1688*$U$3)/J1688</f>
        <v>-10.876680598217433</v>
      </c>
      <c r="M1688" s="11">
        <f>ABS(L1688/$U$6)</f>
        <v>3.1710439061858407E-2</v>
      </c>
      <c r="N1688" s="12">
        <f>L1688*SIN(RADIANS(K1688))</f>
        <v>-6.6963532237445085</v>
      </c>
      <c r="O1688" s="12">
        <f>L1688*COS(RADIANS(K1688))</f>
        <v>-8.5709412749409299</v>
      </c>
      <c r="P1688" s="5">
        <v>3.2096670285174751</v>
      </c>
      <c r="Q1688" s="5">
        <v>5.2435430348017412E-2</v>
      </c>
      <c r="R1688" s="6">
        <f>P1688/Q1688</f>
        <v>61.211799106342852</v>
      </c>
    </row>
    <row r="1689" spans="1:18" x14ac:dyDescent="0.35">
      <c r="A1689" s="9">
        <v>1690</v>
      </c>
      <c r="B1689" s="5">
        <v>0.75</v>
      </c>
      <c r="C1689" s="5">
        <v>4000000</v>
      </c>
      <c r="D1689" s="5">
        <v>10</v>
      </c>
      <c r="E1689" s="5">
        <v>0.375</v>
      </c>
      <c r="F1689" s="5">
        <v>0</v>
      </c>
      <c r="G1689" s="12">
        <f>(C1689*$U$4)/($U$5*$U$3)</f>
        <v>58.775510204081627</v>
      </c>
      <c r="H1689" s="11">
        <f>G1689*COS(RADIANS(D1689))</f>
        <v>57.882578136227728</v>
      </c>
      <c r="I1689" s="11">
        <f>G1689*SIN(RADIANS(D1689))</f>
        <v>10.206260238382843</v>
      </c>
      <c r="J1689" s="11">
        <v>0.29299999999999998</v>
      </c>
      <c r="K1689" s="12">
        <v>57</v>
      </c>
      <c r="L1689" s="12">
        <f>-(F1689*G1689*$U$3)/J1689</f>
        <v>0</v>
      </c>
      <c r="M1689" s="11">
        <f>ABS(L1689/$U$6)</f>
        <v>0</v>
      </c>
      <c r="N1689" s="12">
        <f>L1689*SIN(RADIANS(K1689))</f>
        <v>0</v>
      </c>
      <c r="O1689" s="12">
        <f>L1689*COS(RADIANS(K1689))</f>
        <v>0</v>
      </c>
      <c r="P1689" s="5">
        <v>5.0867541341441456</v>
      </c>
      <c r="Q1689" s="5">
        <v>1.0106104563032661</v>
      </c>
      <c r="R1689" s="6">
        <f>P1689/Q1689</f>
        <v>5.0333480149721526</v>
      </c>
    </row>
    <row r="1690" spans="1:18" x14ac:dyDescent="0.35">
      <c r="A1690" s="9">
        <v>1691</v>
      </c>
      <c r="B1690" s="5">
        <v>1</v>
      </c>
      <c r="C1690" s="5">
        <v>2000000</v>
      </c>
      <c r="D1690" s="5">
        <v>10</v>
      </c>
      <c r="E1690" s="5">
        <v>0</v>
      </c>
      <c r="F1690" s="5">
        <v>1.4999999999999999E-2</v>
      </c>
      <c r="G1690" s="12">
        <f>(C1690*$U$4)/($U$5*$U$3)</f>
        <v>29.387755102040813</v>
      </c>
      <c r="H1690" s="11">
        <f>G1690*COS(RADIANS(D1690))</f>
        <v>28.941289068113864</v>
      </c>
      <c r="I1690" s="11">
        <f>G1690*SIN(RADIANS(D1690))</f>
        <v>5.1031301191914213</v>
      </c>
      <c r="J1690" s="11">
        <v>0.33379999999999999</v>
      </c>
      <c r="K1690" s="12">
        <v>0</v>
      </c>
      <c r="L1690" s="12">
        <f>-(F1690*G1690*$U$3)/J1690</f>
        <v>-1.3206001393966813</v>
      </c>
      <c r="M1690" s="11">
        <f>ABS(L1690/$U$6)</f>
        <v>3.8501461789990708E-3</v>
      </c>
      <c r="N1690" s="12">
        <f>L1690*SIN(RADIANS(K1690))</f>
        <v>0</v>
      </c>
      <c r="O1690" s="12">
        <f>L1690*COS(RADIANS(K1690))</f>
        <v>-1.3206001393966813</v>
      </c>
      <c r="P1690" s="5">
        <v>0.81310837360973587</v>
      </c>
      <c r="Q1690" s="5">
        <v>2.3097765584284113</v>
      </c>
      <c r="R1690" s="6">
        <f>P1690/Q1690</f>
        <v>0.3520290179769513</v>
      </c>
    </row>
    <row r="1691" spans="1:18" x14ac:dyDescent="0.35">
      <c r="A1691" s="9">
        <v>1692</v>
      </c>
      <c r="B1691" s="5">
        <v>0.5</v>
      </c>
      <c r="C1691" s="5">
        <v>6000000</v>
      </c>
      <c r="D1691" s="5">
        <v>15</v>
      </c>
      <c r="E1691" s="5">
        <v>0.25</v>
      </c>
      <c r="F1691" s="5">
        <v>0</v>
      </c>
      <c r="G1691" s="12">
        <f>(C1691*$U$4)/($U$5*$U$3)</f>
        <v>88.16326530612244</v>
      </c>
      <c r="H1691" s="11">
        <f>G1691*COS(RADIANS(D1691))</f>
        <v>85.159174889158663</v>
      </c>
      <c r="I1691" s="11">
        <f>G1691*SIN(RADIANS(D1691))</f>
        <v>22.818332139650806</v>
      </c>
      <c r="J1691" s="11">
        <v>0.23580000000000001</v>
      </c>
      <c r="K1691" s="11">
        <v>49</v>
      </c>
      <c r="L1691" s="12">
        <f>-(F1691*G1691*$U$3)/J1691</f>
        <v>0</v>
      </c>
      <c r="M1691" s="11">
        <f>ABS(L1691/$U$6)</f>
        <v>0</v>
      </c>
      <c r="N1691" s="12">
        <f>L1691*SIN(RADIANS(K1691))</f>
        <v>0</v>
      </c>
      <c r="O1691" s="12">
        <f>L1691*COS(RADIANS(K1691))</f>
        <v>0</v>
      </c>
      <c r="P1691" s="5">
        <v>4.1852665344801885</v>
      </c>
      <c r="Q1691" s="5">
        <v>1.1649355309813689</v>
      </c>
      <c r="R1691" s="6">
        <f>P1691/Q1691</f>
        <v>3.5927022767984611</v>
      </c>
    </row>
    <row r="1692" spans="1:18" x14ac:dyDescent="0.35">
      <c r="A1692" s="9">
        <v>922</v>
      </c>
      <c r="B1692" s="5">
        <v>0.5</v>
      </c>
      <c r="C1692" s="5">
        <v>4000000</v>
      </c>
      <c r="D1692" s="5">
        <v>15</v>
      </c>
      <c r="E1692" s="5">
        <v>0</v>
      </c>
      <c r="F1692" s="5">
        <v>0.15</v>
      </c>
      <c r="G1692" s="12">
        <f>(C1692*$U$4)/($U$5*$U$3)</f>
        <v>58.775510204081627</v>
      </c>
      <c r="H1692" s="11">
        <f>G1692*COS(RADIANS(D1692))</f>
        <v>56.772783259439109</v>
      </c>
      <c r="I1692" s="11">
        <f>G1692*SIN(RADIANS(D1692))</f>
        <v>15.212221426433871</v>
      </c>
      <c r="J1692" s="19">
        <v>0.23230000000000001</v>
      </c>
      <c r="K1692" s="12">
        <v>0</v>
      </c>
      <c r="L1692" s="12">
        <f>-(F1692*G1692*$U$3)/J1692</f>
        <v>-37.952331169230497</v>
      </c>
      <c r="M1692" s="11">
        <f>ABS(L1692/$U$6)</f>
        <v>0.11064819582866034</v>
      </c>
      <c r="N1692" s="12">
        <f>L1692*SIN(RADIANS(K1692))</f>
        <v>0</v>
      </c>
      <c r="O1692" s="12">
        <f>L1692*COS(RADIANS(K1692))</f>
        <v>-37.952331169230497</v>
      </c>
      <c r="P1692" s="5">
        <v>4.6682322094466908</v>
      </c>
      <c r="Q1692" s="5">
        <v>0.65520717612741364</v>
      </c>
      <c r="R1692" s="6">
        <f>P1692/Q1692</f>
        <v>7.1248184994525943</v>
      </c>
    </row>
    <row r="1693" spans="1:18" x14ac:dyDescent="0.35">
      <c r="A1693" s="9">
        <v>1694</v>
      </c>
      <c r="B1693" s="5">
        <v>0.5</v>
      </c>
      <c r="C1693" s="5">
        <v>2000000</v>
      </c>
      <c r="D1693" s="5">
        <v>30</v>
      </c>
      <c r="E1693" s="5">
        <v>0.375</v>
      </c>
      <c r="F1693" s="5">
        <v>0.15</v>
      </c>
      <c r="G1693" s="12">
        <f>(C1693*$U$4)/($U$5*$U$3)</f>
        <v>29.387755102040813</v>
      </c>
      <c r="H1693" s="11">
        <f>G1693*COS(RADIANS(D1693))</f>
        <v>25.450542478563094</v>
      </c>
      <c r="I1693" s="11">
        <f>G1693*SIN(RADIANS(D1693))</f>
        <v>14.693877551020405</v>
      </c>
      <c r="J1693" s="12">
        <v>0.24809999999999999</v>
      </c>
      <c r="K1693" s="12">
        <v>67</v>
      </c>
      <c r="L1693" s="12">
        <f>-(F1693*G1693*$U$3)/J1693</f>
        <v>-17.767687486118994</v>
      </c>
      <c r="M1693" s="11">
        <f>ABS(L1693/$U$6)</f>
        <v>5.1800838151950419E-2</v>
      </c>
      <c r="N1693" s="12">
        <f>L1693*SIN(RADIANS(K1693))</f>
        <v>-16.355242565598722</v>
      </c>
      <c r="O1693" s="12">
        <f>L1693*COS(RADIANS(K1693))</f>
        <v>-6.9423885820960214</v>
      </c>
      <c r="P1693" s="5">
        <v>5.4581901620355806</v>
      </c>
      <c r="Q1693" s="5">
        <v>1.2901684952651862</v>
      </c>
      <c r="R1693" s="6">
        <f>P1693/Q1693</f>
        <v>4.2306025779320269</v>
      </c>
    </row>
    <row r="1694" spans="1:18" x14ac:dyDescent="0.35">
      <c r="A1694" s="9">
        <v>928</v>
      </c>
      <c r="B1694" s="5">
        <v>0.5</v>
      </c>
      <c r="C1694" s="5">
        <v>4000000</v>
      </c>
      <c r="D1694" s="5">
        <v>20</v>
      </c>
      <c r="E1694" s="5">
        <v>0</v>
      </c>
      <c r="F1694" s="5">
        <v>0.15</v>
      </c>
      <c r="G1694" s="12">
        <f>(C1694*$U$4)/($U$5*$U$3)</f>
        <v>58.775510204081627</v>
      </c>
      <c r="H1694" s="11">
        <f>G1694*COS(RADIANS(D1694))</f>
        <v>55.230913221702366</v>
      </c>
      <c r="I1694" s="11">
        <f>G1694*SIN(RADIANS(D1694))</f>
        <v>20.102408424039304</v>
      </c>
      <c r="J1694" s="19">
        <v>0.23230000000000001</v>
      </c>
      <c r="K1694" s="12">
        <v>0</v>
      </c>
      <c r="L1694" s="12">
        <f>-(F1694*G1694*$U$3)/J1694</f>
        <v>-37.952331169230497</v>
      </c>
      <c r="M1694" s="11">
        <f>ABS(L1694/$U$6)</f>
        <v>0.11064819582866034</v>
      </c>
      <c r="N1694" s="12">
        <f>L1694*SIN(RADIANS(K1694))</f>
        <v>0</v>
      </c>
      <c r="O1694" s="12">
        <f>L1694*COS(RADIANS(K1694))</f>
        <v>-37.952331169230497</v>
      </c>
      <c r="P1694" s="5">
        <v>4.7157146276304784</v>
      </c>
      <c r="Q1694" s="5">
        <v>0.91600799623857487</v>
      </c>
      <c r="R1694" s="6">
        <f>P1694/Q1694</f>
        <v>5.14811513326819</v>
      </c>
    </row>
    <row r="1695" spans="1:18" x14ac:dyDescent="0.35">
      <c r="A1695" s="9">
        <v>1696</v>
      </c>
      <c r="B1695" s="5">
        <v>1</v>
      </c>
      <c r="C1695" s="5">
        <v>6000000</v>
      </c>
      <c r="D1695" s="5">
        <v>5</v>
      </c>
      <c r="E1695" s="5">
        <v>0.25</v>
      </c>
      <c r="F1695" s="5">
        <v>0.05</v>
      </c>
      <c r="G1695" s="12">
        <f>(C1695*$U$4)/($U$5*$U$3)</f>
        <v>88.16326530612244</v>
      </c>
      <c r="H1695" s="11">
        <f>G1695*COS(RADIANS(D1695))</f>
        <v>87.827777464415107</v>
      </c>
      <c r="I1695" s="11">
        <f>G1695*SIN(RADIANS(D1695))</f>
        <v>7.6839348708139434</v>
      </c>
      <c r="J1695" s="13">
        <v>0.33379999999999999</v>
      </c>
      <c r="K1695" s="12">
        <v>30</v>
      </c>
      <c r="L1695" s="12">
        <f>-(F1695*G1695*$U$3)/J1695</f>
        <v>-13.206001393966813</v>
      </c>
      <c r="M1695" s="11">
        <f>ABS(L1695/$U$6)</f>
        <v>3.8501461789990712E-2</v>
      </c>
      <c r="N1695" s="12">
        <f>L1695*SIN(RADIANS(K1695))</f>
        <v>-6.6030006969834059</v>
      </c>
      <c r="O1695" s="12">
        <f>L1695*COS(RADIANS(K1695))</f>
        <v>-11.43673268958797</v>
      </c>
      <c r="P1695" s="5">
        <v>3.5885247456152261</v>
      </c>
      <c r="Q1695" s="5">
        <v>0.78921413024444365</v>
      </c>
      <c r="R1695" s="6">
        <f>P1695/Q1695</f>
        <v>4.5469595742080173</v>
      </c>
    </row>
    <row r="1696" spans="1:18" x14ac:dyDescent="0.35">
      <c r="A1696" s="9">
        <v>1697</v>
      </c>
      <c r="B1696" s="5">
        <v>0.25</v>
      </c>
      <c r="C1696" s="5">
        <v>6000000</v>
      </c>
      <c r="D1696" s="5">
        <v>20</v>
      </c>
      <c r="E1696" s="5">
        <v>0.125</v>
      </c>
      <c r="F1696" s="5">
        <v>1.4999999999999999E-2</v>
      </c>
      <c r="G1696" s="12">
        <f>(C1696*$U$4)/($U$5*$U$3)</f>
        <v>88.16326530612244</v>
      </c>
      <c r="H1696" s="11">
        <f>G1696*COS(RADIANS(D1696))</f>
        <v>82.846369832553549</v>
      </c>
      <c r="I1696" s="11">
        <f>G1696*SIN(RADIANS(D1696))</f>
        <v>30.153612636058952</v>
      </c>
      <c r="J1696" s="11">
        <v>0.19020000000000001</v>
      </c>
      <c r="K1696" s="12">
        <v>46</v>
      </c>
      <c r="L1696" s="12">
        <f>-(F1696*G1696*$U$3)/J1696</f>
        <v>-6.9529389042683309</v>
      </c>
      <c r="M1696" s="11">
        <f>ABS(L1696/$U$6)</f>
        <v>2.0270958904572395E-2</v>
      </c>
      <c r="N1696" s="12">
        <f>L1696*SIN(RADIANS(K1696))</f>
        <v>-5.0015256831632202</v>
      </c>
      <c r="O1696" s="12">
        <f>L1696*COS(RADIANS(K1696))</f>
        <v>-4.8299172091400049</v>
      </c>
      <c r="P1696" s="5">
        <v>2.1725378947943157</v>
      </c>
      <c r="Q1696" s="5">
        <v>0.71461544003591337</v>
      </c>
      <c r="R1696" s="6">
        <f>P1696/Q1696</f>
        <v>3.0401496708287379</v>
      </c>
    </row>
    <row r="1697" spans="1:18" x14ac:dyDescent="0.35">
      <c r="A1697" s="9">
        <v>1010</v>
      </c>
      <c r="B1697" s="5">
        <v>0.5</v>
      </c>
      <c r="C1697" s="5">
        <v>4000000</v>
      </c>
      <c r="D1697" s="5">
        <v>10</v>
      </c>
      <c r="E1697" s="5">
        <v>0</v>
      </c>
      <c r="F1697" s="5">
        <v>0.15</v>
      </c>
      <c r="G1697" s="12">
        <f>(C1697*$U$4)/($U$5*$U$3)</f>
        <v>58.775510204081627</v>
      </c>
      <c r="H1697" s="11">
        <f>G1697*COS(RADIANS(D1697))</f>
        <v>57.882578136227728</v>
      </c>
      <c r="I1697" s="11">
        <f>G1697*SIN(RADIANS(D1697))</f>
        <v>10.206260238382843</v>
      </c>
      <c r="J1697" s="19">
        <v>0.23230000000000001</v>
      </c>
      <c r="K1697" s="12">
        <v>0</v>
      </c>
      <c r="L1697" s="12">
        <f>-(F1697*G1697*$U$3)/J1697</f>
        <v>-37.952331169230497</v>
      </c>
      <c r="M1697" s="11">
        <f>ABS(L1697/$U$6)</f>
        <v>0.11064819582866034</v>
      </c>
      <c r="N1697" s="12">
        <f>L1697*SIN(RADIANS(K1697))</f>
        <v>0</v>
      </c>
      <c r="O1697" s="12">
        <f>L1697*COS(RADIANS(K1697))</f>
        <v>-37.952331169230497</v>
      </c>
      <c r="P1697" s="5">
        <v>4.6059834521569991</v>
      </c>
      <c r="Q1697" s="5">
        <v>0.39469339043200902</v>
      </c>
      <c r="R1697" s="6">
        <f>P1697/Q1697</f>
        <v>11.669775992740975</v>
      </c>
    </row>
    <row r="1698" spans="1:18" x14ac:dyDescent="0.35">
      <c r="A1698" s="9">
        <v>1699</v>
      </c>
      <c r="B1698" s="5">
        <v>0.1</v>
      </c>
      <c r="C1698" s="5">
        <v>4000000</v>
      </c>
      <c r="D1698" s="5">
        <v>20</v>
      </c>
      <c r="E1698" s="5">
        <v>0.125</v>
      </c>
      <c r="F1698" s="5">
        <v>0.05</v>
      </c>
      <c r="G1698" s="12">
        <f>(C1698*$U$4)/($U$5*$U$3)</f>
        <v>58.775510204081627</v>
      </c>
      <c r="H1698" s="11">
        <f>G1698*COS(RADIANS(D1698))</f>
        <v>55.230913221702366</v>
      </c>
      <c r="I1698" s="11">
        <f>G1698*SIN(RADIANS(D1698))</f>
        <v>20.102408424039304</v>
      </c>
      <c r="J1698" s="12">
        <v>0.1658</v>
      </c>
      <c r="K1698" s="12">
        <v>69</v>
      </c>
      <c r="L1698" s="12">
        <f>-(F1698*G1698*$U$3)/J1698</f>
        <v>-17.724822136333422</v>
      </c>
      <c r="M1698" s="11">
        <f>ABS(L1698/$U$6)</f>
        <v>5.1675866286686363E-2</v>
      </c>
      <c r="N1698" s="12">
        <f>L1698*SIN(RADIANS(K1698))</f>
        <v>-16.547547009625198</v>
      </c>
      <c r="O1698" s="12">
        <f>L1698*COS(RADIANS(K1698))</f>
        <v>-6.3520081650529594</v>
      </c>
      <c r="P1698" s="5">
        <v>1.4248816142498566</v>
      </c>
      <c r="Q1698" s="5">
        <v>0.70977538710672239</v>
      </c>
      <c r="R1698" s="6">
        <f>P1698/Q1698</f>
        <v>2.0075106014286321</v>
      </c>
    </row>
    <row r="1699" spans="1:18" x14ac:dyDescent="0.35">
      <c r="A1699" s="9">
        <v>1700</v>
      </c>
      <c r="B1699" s="5">
        <v>0.75</v>
      </c>
      <c r="C1699" s="5">
        <v>6000000</v>
      </c>
      <c r="D1699" s="5">
        <v>0</v>
      </c>
      <c r="E1699" s="5">
        <v>0.125</v>
      </c>
      <c r="F1699" s="5">
        <v>7.4999999999999997E-2</v>
      </c>
      <c r="G1699" s="12">
        <f>(C1699*$U$4)/($U$5*$U$3)</f>
        <v>88.16326530612244</v>
      </c>
      <c r="H1699" s="11">
        <f>G1699*COS(RADIANS(D1699))</f>
        <v>88.16326530612244</v>
      </c>
      <c r="I1699" s="11">
        <f>G1699*SIN(RADIANS(D1699))</f>
        <v>0</v>
      </c>
      <c r="J1699" s="12">
        <v>0.2802</v>
      </c>
      <c r="K1699" s="12">
        <v>19</v>
      </c>
      <c r="L1699" s="12">
        <f>-(F1699*G1699*$U$3)/J1699</f>
        <v>-23.59830441812699</v>
      </c>
      <c r="M1699" s="11">
        <f>ABS(L1699/$U$6)</f>
        <v>6.8799721335647199E-2</v>
      </c>
      <c r="N1699" s="12">
        <f>L1699*SIN(RADIANS(K1699))</f>
        <v>-7.6828564177277707</v>
      </c>
      <c r="O1699" s="12">
        <f>L1699*COS(RADIANS(K1699))</f>
        <v>-22.312635179986497</v>
      </c>
      <c r="P1699" s="5">
        <v>6.3192793892685559</v>
      </c>
      <c r="Q1699" s="5">
        <v>-0.32766145755938725</v>
      </c>
      <c r="R1699" s="6">
        <f>P1699/Q1699</f>
        <v>-19.286001583275059</v>
      </c>
    </row>
    <row r="1700" spans="1:18" x14ac:dyDescent="0.35">
      <c r="A1700" s="9">
        <v>1519</v>
      </c>
      <c r="B1700" s="5">
        <v>0.5</v>
      </c>
      <c r="C1700" s="5">
        <v>4000000</v>
      </c>
      <c r="D1700" s="5">
        <v>5</v>
      </c>
      <c r="E1700" s="5">
        <v>0</v>
      </c>
      <c r="F1700" s="5">
        <v>0.15</v>
      </c>
      <c r="G1700" s="12">
        <f>(C1700*$U$4)/($U$5*$U$3)</f>
        <v>58.775510204081627</v>
      </c>
      <c r="H1700" s="11">
        <f>G1700*COS(RADIANS(D1700))</f>
        <v>58.551851642943404</v>
      </c>
      <c r="I1700" s="11">
        <f>G1700*SIN(RADIANS(D1700))</f>
        <v>5.1226232472092956</v>
      </c>
      <c r="J1700" s="12">
        <v>0.23230000000000001</v>
      </c>
      <c r="K1700" s="12">
        <v>0</v>
      </c>
      <c r="L1700" s="12">
        <f>-(F1700*G1700*$U$3)/J1700</f>
        <v>-37.952331169230497</v>
      </c>
      <c r="M1700" s="11">
        <f>ABS(L1700/$U$6)</f>
        <v>0.11064819582866034</v>
      </c>
      <c r="N1700" s="12">
        <f>L1700*SIN(RADIANS(K1700))</f>
        <v>0</v>
      </c>
      <c r="O1700" s="12">
        <f>L1700*COS(RADIANS(K1700))</f>
        <v>-37.952331169230497</v>
      </c>
      <c r="P1700" s="5">
        <v>4.7006395046330853</v>
      </c>
      <c r="Q1700" s="5">
        <v>0.15337671324679492</v>
      </c>
      <c r="R1700" s="6">
        <f>P1700/Q1700</f>
        <v>30.64767398600722</v>
      </c>
    </row>
    <row r="1701" spans="1:18" x14ac:dyDescent="0.35">
      <c r="A1701" s="9">
        <v>1702</v>
      </c>
      <c r="B1701" s="5">
        <v>1</v>
      </c>
      <c r="C1701" s="5">
        <v>6000000</v>
      </c>
      <c r="D1701" s="5">
        <v>20</v>
      </c>
      <c r="E1701" s="5">
        <v>0.125</v>
      </c>
      <c r="F1701" s="5">
        <v>1.4999999999999999E-2</v>
      </c>
      <c r="G1701" s="12">
        <f>(C1701*$U$4)/($U$5*$U$3)</f>
        <v>88.16326530612244</v>
      </c>
      <c r="H1701" s="11">
        <f>G1701*COS(RADIANS(D1701))</f>
        <v>82.846369832553549</v>
      </c>
      <c r="I1701" s="11">
        <f>G1701*SIN(RADIANS(D1701))</f>
        <v>30.153612636058952</v>
      </c>
      <c r="J1701" s="11">
        <v>0.33379999999999999</v>
      </c>
      <c r="K1701" s="12">
        <v>14</v>
      </c>
      <c r="L1701" s="12">
        <f>-(F1701*G1701*$U$3)/J1701</f>
        <v>-3.9618004181900441</v>
      </c>
      <c r="M1701" s="11">
        <f>ABS(L1701/$U$6)</f>
        <v>1.1550438536997214E-2</v>
      </c>
      <c r="N1701" s="12">
        <f>L1701*SIN(RADIANS(K1701))</f>
        <v>-0.95844626715609182</v>
      </c>
      <c r="O1701" s="12">
        <f>L1701*COS(RADIANS(K1701))</f>
        <v>-3.8441180141282554</v>
      </c>
      <c r="P1701" s="5">
        <v>1.576540860608145</v>
      </c>
      <c r="Q1701" s="5">
        <v>1.9130936074006231</v>
      </c>
      <c r="R1701" s="6">
        <f>P1701/Q1701</f>
        <v>0.82407931034291504</v>
      </c>
    </row>
    <row r="1702" spans="1:18" x14ac:dyDescent="0.35">
      <c r="A1702" s="9">
        <v>1703</v>
      </c>
      <c r="B1702" s="5">
        <v>0.75</v>
      </c>
      <c r="C1702" s="5">
        <v>6000000</v>
      </c>
      <c r="D1702" s="5">
        <v>0</v>
      </c>
      <c r="E1702" s="5">
        <v>0</v>
      </c>
      <c r="F1702" s="5">
        <v>3.5000000000000003E-2</v>
      </c>
      <c r="G1702" s="12">
        <f>(C1702*$U$4)/($U$5*$U$3)</f>
        <v>88.16326530612244</v>
      </c>
      <c r="H1702" s="11">
        <f>G1702*COS(RADIANS(D1702))</f>
        <v>88.16326530612244</v>
      </c>
      <c r="I1702" s="11">
        <f>G1702*SIN(RADIANS(D1702))</f>
        <v>0</v>
      </c>
      <c r="J1702" s="11">
        <v>0.27929999999999999</v>
      </c>
      <c r="K1702" s="12">
        <v>0</v>
      </c>
      <c r="L1702" s="12">
        <f>-(F1702*G1702*$U$3)/J1702</f>
        <v>-11.048028233849932</v>
      </c>
      <c r="M1702" s="11">
        <f>ABS(L1702/$U$6)</f>
        <v>3.2209994850874439E-2</v>
      </c>
      <c r="N1702" s="12">
        <f>L1702*SIN(RADIANS(K1702))</f>
        <v>0</v>
      </c>
      <c r="O1702" s="12">
        <f>L1702*COS(RADIANS(K1702))</f>
        <v>-11.048028233849932</v>
      </c>
      <c r="P1702" s="5">
        <v>4.6220334492480619</v>
      </c>
      <c r="Q1702" s="5">
        <v>0.41516368165351708</v>
      </c>
      <c r="R1702" s="6">
        <f>P1702/Q1702</f>
        <v>11.133038975951346</v>
      </c>
    </row>
    <row r="1703" spans="1:18" x14ac:dyDescent="0.35">
      <c r="A1703" s="9">
        <v>1553</v>
      </c>
      <c r="B1703" s="5">
        <v>0.5</v>
      </c>
      <c r="C1703" s="5">
        <v>6000000</v>
      </c>
      <c r="D1703" s="5">
        <v>20</v>
      </c>
      <c r="E1703" s="5">
        <v>0</v>
      </c>
      <c r="F1703" s="5">
        <v>0.1</v>
      </c>
      <c r="G1703" s="12">
        <f>(C1703*$U$4)/($U$5*$U$3)</f>
        <v>88.16326530612244</v>
      </c>
      <c r="H1703" s="11">
        <f>G1703*COS(RADIANS(D1703))</f>
        <v>82.846369832553549</v>
      </c>
      <c r="I1703" s="11">
        <f>G1703*SIN(RADIANS(D1703))</f>
        <v>30.153612636058952</v>
      </c>
      <c r="J1703" s="12">
        <v>0.23230000000000001</v>
      </c>
      <c r="K1703" s="19">
        <v>0</v>
      </c>
      <c r="L1703" s="12">
        <f>-(F1703*G1703*$U$3)/J1703</f>
        <v>-37.952331169230497</v>
      </c>
      <c r="M1703" s="11">
        <f>ABS(L1703/$U$6)</f>
        <v>0.11064819582866034</v>
      </c>
      <c r="N1703" s="12">
        <f>L1703*SIN(RADIANS(K1703))</f>
        <v>0</v>
      </c>
      <c r="O1703" s="12">
        <f>L1703*COS(RADIANS(K1703))</f>
        <v>-37.952331169230497</v>
      </c>
      <c r="P1703" s="5">
        <v>4.4197734448040196</v>
      </c>
      <c r="Q1703" s="5">
        <v>1.0280638819598333</v>
      </c>
      <c r="R1703" s="6">
        <f>P1703/Q1703</f>
        <v>4.2991233544538634</v>
      </c>
    </row>
    <row r="1704" spans="1:18" x14ac:dyDescent="0.35">
      <c r="A1704" s="9">
        <v>1705</v>
      </c>
      <c r="B1704" s="5">
        <v>0.1</v>
      </c>
      <c r="C1704" s="5">
        <v>2000000</v>
      </c>
      <c r="D1704" s="5">
        <v>20</v>
      </c>
      <c r="E1704" s="5">
        <v>0.375</v>
      </c>
      <c r="F1704" s="5">
        <v>0.1</v>
      </c>
      <c r="G1704" s="12">
        <f>(C1704*$U$4)/($U$5*$U$3)</f>
        <v>29.387755102040813</v>
      </c>
      <c r="H1704" s="11">
        <f>G1704*COS(RADIANS(D1704))</f>
        <v>27.615456610851183</v>
      </c>
      <c r="I1704" s="11">
        <f>G1704*SIN(RADIANS(D1704))</f>
        <v>10.051204212019652</v>
      </c>
      <c r="J1704" s="12">
        <v>0.16789999999999999</v>
      </c>
      <c r="K1704" s="11">
        <v>85</v>
      </c>
      <c r="L1704" s="12">
        <f>-(F1704*G1704*$U$3)/J1704</f>
        <v>-17.503129899964751</v>
      </c>
      <c r="M1704" s="11">
        <f>ABS(L1704/$U$6)</f>
        <v>5.1029533236048835E-2</v>
      </c>
      <c r="N1704" s="12">
        <f>L1704*SIN(RADIANS(K1704))</f>
        <v>-17.436525206355988</v>
      </c>
      <c r="O1704" s="12">
        <f>L1704*COS(RADIANS(K1704))</f>
        <v>-1.5254982868401712</v>
      </c>
      <c r="P1704" s="5">
        <v>1.9736992410761358</v>
      </c>
      <c r="Q1704" s="5">
        <v>0.89496884267427879</v>
      </c>
      <c r="R1704" s="6">
        <f>P1704/Q1704</f>
        <v>2.2053273219864011</v>
      </c>
    </row>
    <row r="1705" spans="1:18" x14ac:dyDescent="0.35">
      <c r="A1705" s="9">
        <v>1706</v>
      </c>
      <c r="B1705" s="5">
        <v>0.1</v>
      </c>
      <c r="C1705" s="5">
        <v>4000000</v>
      </c>
      <c r="D1705" s="5">
        <v>0</v>
      </c>
      <c r="E1705" s="5">
        <v>0</v>
      </c>
      <c r="F1705" s="5">
        <v>3.5000000000000003E-2</v>
      </c>
      <c r="G1705" s="12">
        <f>(C1705*$U$4)/($U$5*$U$3)</f>
        <v>58.775510204081627</v>
      </c>
      <c r="H1705" s="11">
        <f>G1705*COS(RADIANS(D1705))</f>
        <v>58.775510204081627</v>
      </c>
      <c r="I1705" s="11">
        <f>G1705*SIN(RADIANS(D1705))</f>
        <v>0</v>
      </c>
      <c r="J1705" s="11">
        <v>0.16569999999999999</v>
      </c>
      <c r="K1705" s="12">
        <v>0</v>
      </c>
      <c r="L1705" s="12">
        <f>-(F1705*G1705*$U$3)/J1705</f>
        <v>-12.414863350288817</v>
      </c>
      <c r="M1705" s="11">
        <f>ABS(L1705/$U$6)</f>
        <v>3.6194936881308502E-2</v>
      </c>
      <c r="N1705" s="12">
        <f>L1705*SIN(RADIANS(K1705))</f>
        <v>0</v>
      </c>
      <c r="O1705" s="12">
        <f>L1705*COS(RADIANS(K1705))</f>
        <v>-12.414863350288817</v>
      </c>
      <c r="P1705" s="5">
        <v>1.1712236506252027</v>
      </c>
      <c r="Q1705" s="5">
        <v>0.22450125830634884</v>
      </c>
      <c r="R1705" s="6">
        <f>P1705/Q1705</f>
        <v>5.2170026104129006</v>
      </c>
    </row>
    <row r="1706" spans="1:18" x14ac:dyDescent="0.35">
      <c r="A1706" s="9">
        <v>1707</v>
      </c>
      <c r="B1706" s="5">
        <v>0.25</v>
      </c>
      <c r="C1706" s="5">
        <v>6000000</v>
      </c>
      <c r="D1706" s="5">
        <v>30</v>
      </c>
      <c r="E1706" s="5">
        <v>0.25</v>
      </c>
      <c r="F1706" s="5">
        <v>3.5000000000000003E-2</v>
      </c>
      <c r="G1706" s="12">
        <f>(C1706*$U$4)/($U$5*$U$3)</f>
        <v>88.16326530612244</v>
      </c>
      <c r="H1706" s="11">
        <f>G1706*COS(RADIANS(D1706))</f>
        <v>76.351627435689281</v>
      </c>
      <c r="I1706" s="11">
        <f>G1706*SIN(RADIANS(D1706))</f>
        <v>44.081632653061213</v>
      </c>
      <c r="J1706" s="12">
        <v>0.1913</v>
      </c>
      <c r="K1706" s="11">
        <v>67</v>
      </c>
      <c r="L1706" s="12">
        <f>-(F1706*G1706*$U$3)/J1706</f>
        <v>-16.13023672615936</v>
      </c>
      <c r="M1706" s="11">
        <f>ABS(L1706/$U$6)</f>
        <v>4.702692923078531E-2</v>
      </c>
      <c r="N1706" s="12">
        <f>L1706*SIN(RADIANS(K1706))</f>
        <v>-14.847961193766494</v>
      </c>
      <c r="O1706" s="12">
        <f>L1706*COS(RADIANS(K1706))</f>
        <v>-6.3025855988113744</v>
      </c>
      <c r="P1706" s="5">
        <v>2.2409198801342565</v>
      </c>
      <c r="Q1706" s="5">
        <v>0.91499680203089429</v>
      </c>
      <c r="R1706" s="6">
        <f>P1706/Q1706</f>
        <v>2.4491013249012354</v>
      </c>
    </row>
    <row r="1707" spans="1:18" x14ac:dyDescent="0.35">
      <c r="A1707" s="9">
        <v>1708</v>
      </c>
      <c r="B1707" s="5">
        <v>1</v>
      </c>
      <c r="C1707" s="5">
        <v>6000000</v>
      </c>
      <c r="D1707" s="5">
        <v>30</v>
      </c>
      <c r="E1707" s="5">
        <v>0.25</v>
      </c>
      <c r="F1707" s="5">
        <v>1.4999999999999999E-2</v>
      </c>
      <c r="G1707" s="12">
        <f>(C1707*$U$4)/($U$5*$U$3)</f>
        <v>88.16326530612244</v>
      </c>
      <c r="H1707" s="11">
        <f>G1707*COS(RADIANS(D1707))</f>
        <v>76.351627435689281</v>
      </c>
      <c r="I1707" s="11">
        <f>G1707*SIN(RADIANS(D1707))</f>
        <v>44.081632653061213</v>
      </c>
      <c r="J1707" s="13">
        <v>0.33379999999999999</v>
      </c>
      <c r="K1707" s="12">
        <v>30</v>
      </c>
      <c r="L1707" s="12">
        <f>-(F1707*G1707*$U$3)/J1707</f>
        <v>-3.9618004181900441</v>
      </c>
      <c r="M1707" s="11">
        <f>ABS(L1707/$U$6)</f>
        <v>1.1550438536997214E-2</v>
      </c>
      <c r="N1707" s="12">
        <f>L1707*SIN(RADIANS(K1707))</f>
        <v>-1.9809002090950218</v>
      </c>
      <c r="O1707" s="12">
        <f>L1707*COS(RADIANS(K1707))</f>
        <v>-3.4310198068763911</v>
      </c>
      <c r="P1707" s="5">
        <v>3.234203558981446</v>
      </c>
      <c r="Q1707" s="5">
        <v>1.7260359510297041</v>
      </c>
      <c r="R1707" s="6">
        <f>P1707/Q1707</f>
        <v>1.8737753156601471</v>
      </c>
    </row>
    <row r="1708" spans="1:18" x14ac:dyDescent="0.35">
      <c r="A1708" s="9">
        <v>1709</v>
      </c>
      <c r="B1708" s="5">
        <v>0.25</v>
      </c>
      <c r="C1708" s="5">
        <v>4000000</v>
      </c>
      <c r="D1708" s="5">
        <v>30</v>
      </c>
      <c r="E1708" s="5">
        <v>0.125</v>
      </c>
      <c r="F1708" s="5">
        <v>0.1</v>
      </c>
      <c r="G1708" s="12">
        <f>(C1708*$U$4)/($U$5*$U$3)</f>
        <v>58.775510204081627</v>
      </c>
      <c r="H1708" s="11">
        <f>G1708*COS(RADIANS(D1708))</f>
        <v>50.901084957126187</v>
      </c>
      <c r="I1708" s="11">
        <f>G1708*SIN(RADIANS(D1708))</f>
        <v>29.38775510204081</v>
      </c>
      <c r="J1708" s="11">
        <v>0.19020000000000001</v>
      </c>
      <c r="K1708" s="12">
        <v>46</v>
      </c>
      <c r="L1708" s="12">
        <f>-(F1708*G1708*$U$3)/J1708</f>
        <v>-30.901950685637026</v>
      </c>
      <c r="M1708" s="11">
        <f>ABS(L1708/$U$6)</f>
        <v>9.0093150686988407E-2</v>
      </c>
      <c r="N1708" s="12">
        <f>L1708*SIN(RADIANS(K1708))</f>
        <v>-22.229003036280979</v>
      </c>
      <c r="O1708" s="12">
        <f>L1708*COS(RADIANS(K1708))</f>
        <v>-21.46629870728891</v>
      </c>
      <c r="P1708" s="5">
        <v>2.762957282788455</v>
      </c>
      <c r="Q1708" s="5">
        <v>0.99846402973522341</v>
      </c>
      <c r="R1708" s="6">
        <f>P1708/Q1708</f>
        <v>2.7672076314267895</v>
      </c>
    </row>
    <row r="1709" spans="1:18" x14ac:dyDescent="0.35">
      <c r="A1709" s="9">
        <v>1710</v>
      </c>
      <c r="B1709" s="5">
        <v>0.25</v>
      </c>
      <c r="C1709" s="5">
        <v>6000000</v>
      </c>
      <c r="D1709" s="5">
        <v>30</v>
      </c>
      <c r="E1709" s="5">
        <v>0.375</v>
      </c>
      <c r="F1709" s="5">
        <v>2.5000000000000001E-2</v>
      </c>
      <c r="G1709" s="12">
        <f>(C1709*$U$4)/($U$5*$U$3)</f>
        <v>88.16326530612244</v>
      </c>
      <c r="H1709" s="11">
        <f>G1709*COS(RADIANS(D1709))</f>
        <v>76.351627435689281</v>
      </c>
      <c r="I1709" s="11">
        <f>G1709*SIN(RADIANS(D1709))</f>
        <v>44.081632653061213</v>
      </c>
      <c r="J1709" s="11">
        <v>0.1976</v>
      </c>
      <c r="K1709" s="12">
        <v>78</v>
      </c>
      <c r="L1709" s="12">
        <f>-(F1709*G1709*$U$3)/J1709</f>
        <v>-11.154259274560026</v>
      </c>
      <c r="M1709" s="11">
        <f>ABS(L1709/$U$6)</f>
        <v>3.251970633982515E-2</v>
      </c>
      <c r="N1709" s="12">
        <f>L1709*SIN(RADIANS(K1709))</f>
        <v>-10.910511947373688</v>
      </c>
      <c r="O1709" s="12">
        <f>L1709*COS(RADIANS(K1709))</f>
        <v>-2.3191009055934502</v>
      </c>
      <c r="P1709" s="5">
        <v>2.2972462134111402</v>
      </c>
      <c r="Q1709" s="5">
        <v>0.94757694902130463</v>
      </c>
      <c r="R1709" s="6">
        <f>P1709/Q1709</f>
        <v>2.4243373752219575</v>
      </c>
    </row>
    <row r="1710" spans="1:18" x14ac:dyDescent="0.35">
      <c r="A1710" s="9">
        <v>1711</v>
      </c>
      <c r="B1710" s="5">
        <v>0.1</v>
      </c>
      <c r="C1710" s="5">
        <v>4000000</v>
      </c>
      <c r="D1710" s="5">
        <v>30</v>
      </c>
      <c r="E1710" s="5">
        <v>0.375</v>
      </c>
      <c r="F1710" s="5">
        <v>7.4999999999999997E-2</v>
      </c>
      <c r="G1710" s="12">
        <f>(C1710*$U$4)/($U$5*$U$3)</f>
        <v>58.775510204081627</v>
      </c>
      <c r="H1710" s="11">
        <f>G1710*COS(RADIANS(D1710))</f>
        <v>50.901084957126187</v>
      </c>
      <c r="I1710" s="11">
        <f>G1710*SIN(RADIANS(D1710))</f>
        <v>29.38775510204081</v>
      </c>
      <c r="J1710" s="12">
        <v>0.16789999999999999</v>
      </c>
      <c r="K1710" s="11">
        <v>85</v>
      </c>
      <c r="L1710" s="12">
        <f>-(F1710*G1710*$U$3)/J1710</f>
        <v>-26.254694849947125</v>
      </c>
      <c r="M1710" s="11">
        <f>ABS(L1710/$U$6)</f>
        <v>7.6544299854073253E-2</v>
      </c>
      <c r="N1710" s="12">
        <f>L1710*SIN(RADIANS(K1710))</f>
        <v>-26.154787809533982</v>
      </c>
      <c r="O1710" s="12">
        <f>L1710*COS(RADIANS(K1710))</f>
        <v>-2.2882474302602565</v>
      </c>
      <c r="P1710" s="5">
        <v>1.5784267346619718</v>
      </c>
      <c r="Q1710" s="5">
        <v>1.1551442424096869</v>
      </c>
      <c r="R1710" s="6">
        <f>P1710/Q1710</f>
        <v>1.366432586262385</v>
      </c>
    </row>
    <row r="1711" spans="1:18" x14ac:dyDescent="0.35">
      <c r="A1711" s="9">
        <v>1712</v>
      </c>
      <c r="B1711" s="5">
        <v>0.5</v>
      </c>
      <c r="C1711" s="5">
        <v>4000000</v>
      </c>
      <c r="D1711" s="5">
        <v>10</v>
      </c>
      <c r="E1711" s="5">
        <v>0.25</v>
      </c>
      <c r="F1711" s="5">
        <v>7.4999999999999997E-2</v>
      </c>
      <c r="G1711" s="12">
        <f>(C1711*$U$4)/($U$5*$U$3)</f>
        <v>58.775510204081627</v>
      </c>
      <c r="H1711" s="11">
        <f>G1711*COS(RADIANS(D1711))</f>
        <v>57.882578136227728</v>
      </c>
      <c r="I1711" s="11">
        <f>G1711*SIN(RADIANS(D1711))</f>
        <v>10.206260238382843</v>
      </c>
      <c r="J1711" s="11">
        <v>0.23580000000000001</v>
      </c>
      <c r="K1711" s="11">
        <v>49</v>
      </c>
      <c r="L1711" s="12">
        <f>-(F1711*G1711*$U$3)/J1711</f>
        <v>-18.694500701043772</v>
      </c>
      <c r="M1711" s="11">
        <f>ABS(L1711/$U$6)</f>
        <v>5.4502917495754435E-2</v>
      </c>
      <c r="N1711" s="12">
        <f>L1711*SIN(RADIANS(K1711))</f>
        <v>-14.108918776559062</v>
      </c>
      <c r="O1711" s="12">
        <f>L1711*COS(RADIANS(K1711))</f>
        <v>-12.264695977389135</v>
      </c>
      <c r="P1711" s="5">
        <v>4.6118733099060627</v>
      </c>
      <c r="Q1711" s="5">
        <v>0.31801427273080896</v>
      </c>
      <c r="R1711" s="6">
        <f>P1711/Q1711</f>
        <v>14.50209536290183</v>
      </c>
    </row>
    <row r="1712" spans="1:18" x14ac:dyDescent="0.35">
      <c r="A1712" s="9">
        <v>1713</v>
      </c>
      <c r="B1712" s="5">
        <v>0.5</v>
      </c>
      <c r="C1712" s="5">
        <v>6000000</v>
      </c>
      <c r="D1712" s="5">
        <v>15</v>
      </c>
      <c r="E1712" s="5">
        <v>0.25</v>
      </c>
      <c r="F1712" s="5">
        <v>3.5000000000000003E-2</v>
      </c>
      <c r="G1712" s="12">
        <f>(C1712*$U$4)/($U$5*$U$3)</f>
        <v>88.16326530612244</v>
      </c>
      <c r="H1712" s="11">
        <f>G1712*COS(RADIANS(D1712))</f>
        <v>85.159174889158663</v>
      </c>
      <c r="I1712" s="11">
        <f>G1712*SIN(RADIANS(D1712))</f>
        <v>22.818332139650806</v>
      </c>
      <c r="J1712" s="11">
        <v>0.23580000000000001</v>
      </c>
      <c r="K1712" s="11">
        <v>49</v>
      </c>
      <c r="L1712" s="12">
        <f>-(F1712*G1712*$U$3)/J1712</f>
        <v>-13.086150490730644</v>
      </c>
      <c r="M1712" s="11">
        <f>ABS(L1712/$U$6)</f>
        <v>3.8152042247028117E-2</v>
      </c>
      <c r="N1712" s="12">
        <f>L1712*SIN(RADIANS(K1712))</f>
        <v>-9.8762431435913456</v>
      </c>
      <c r="O1712" s="12">
        <f>L1712*COS(RADIANS(K1712))</f>
        <v>-8.5852871841723957</v>
      </c>
      <c r="P1712" s="5">
        <v>2.8584076038231112</v>
      </c>
      <c r="Q1712" s="5">
        <v>0.55516335273588935</v>
      </c>
      <c r="R1712" s="6">
        <f>P1712/Q1712</f>
        <v>5.1487685376504952</v>
      </c>
    </row>
    <row r="1713" spans="1:18" x14ac:dyDescent="0.35">
      <c r="A1713" s="9">
        <v>1714</v>
      </c>
      <c r="B1713" s="5">
        <v>1</v>
      </c>
      <c r="C1713" s="5">
        <v>6000000</v>
      </c>
      <c r="D1713" s="5">
        <v>0</v>
      </c>
      <c r="E1713" s="5">
        <v>0</v>
      </c>
      <c r="F1713" s="5">
        <v>3.5000000000000003E-2</v>
      </c>
      <c r="G1713" s="12">
        <f>(C1713*$U$4)/($U$5*$U$3)</f>
        <v>88.16326530612244</v>
      </c>
      <c r="H1713" s="11">
        <f>G1713*COS(RADIANS(D1713))</f>
        <v>88.16326530612244</v>
      </c>
      <c r="I1713" s="11">
        <f>G1713*SIN(RADIANS(D1713))</f>
        <v>0</v>
      </c>
      <c r="J1713" s="11">
        <v>0.33379999999999999</v>
      </c>
      <c r="K1713" s="12">
        <v>0</v>
      </c>
      <c r="L1713" s="12">
        <f>-(F1713*G1713*$U$3)/J1713</f>
        <v>-9.2442009757767707</v>
      </c>
      <c r="M1713" s="11">
        <f>ABS(L1713/$U$6)</f>
        <v>2.6951023252993502E-2</v>
      </c>
      <c r="N1713" s="12">
        <f>L1713*SIN(RADIANS(K1713))</f>
        <v>0</v>
      </c>
      <c r="O1713" s="12">
        <f>L1713*COS(RADIANS(K1713))</f>
        <v>-9.2442009757767707</v>
      </c>
      <c r="P1713" s="5">
        <v>1.8756985196584168</v>
      </c>
      <c r="Q1713" s="5">
        <v>1.9210842317305721</v>
      </c>
      <c r="R1713" s="6">
        <f>P1713/Q1713</f>
        <v>0.97637494945691661</v>
      </c>
    </row>
    <row r="1714" spans="1:18" x14ac:dyDescent="0.35">
      <c r="A1714" s="9">
        <v>1715</v>
      </c>
      <c r="B1714" s="5">
        <v>0.1</v>
      </c>
      <c r="C1714" s="5">
        <v>6000000</v>
      </c>
      <c r="D1714" s="5">
        <v>15</v>
      </c>
      <c r="E1714" s="5">
        <v>0.25</v>
      </c>
      <c r="F1714" s="5">
        <v>0</v>
      </c>
      <c r="G1714" s="12">
        <f>(C1714*$U$4)/($U$5*$U$3)</f>
        <v>88.16326530612244</v>
      </c>
      <c r="H1714" s="11">
        <f>G1714*COS(RADIANS(D1714))</f>
        <v>85.159174889158663</v>
      </c>
      <c r="I1714" s="11">
        <f>G1714*SIN(RADIANS(D1714))</f>
        <v>22.818332139650806</v>
      </c>
      <c r="J1714" s="11">
        <v>0.1661</v>
      </c>
      <c r="K1714" s="12">
        <v>80</v>
      </c>
      <c r="L1714" s="12">
        <f>-(F1714*G1714*$U$3)/J1714</f>
        <v>0</v>
      </c>
      <c r="M1714" s="11">
        <f>ABS(L1714/$U$6)</f>
        <v>0</v>
      </c>
      <c r="N1714" s="12">
        <f>L1714*SIN(RADIANS(K1714))</f>
        <v>0</v>
      </c>
      <c r="O1714" s="12">
        <f>L1714*COS(RADIANS(K1714))</f>
        <v>0</v>
      </c>
      <c r="P1714" s="5">
        <v>1.5324769823060516</v>
      </c>
      <c r="Q1714" s="5">
        <v>0.65825783423364492</v>
      </c>
      <c r="R1714" s="6">
        <f>P1714/Q1714</f>
        <v>2.3280801269766696</v>
      </c>
    </row>
    <row r="1715" spans="1:18" x14ac:dyDescent="0.35">
      <c r="A1715" s="9">
        <v>1633</v>
      </c>
      <c r="B1715" s="5">
        <v>0.5</v>
      </c>
      <c r="C1715" s="5">
        <v>6000000</v>
      </c>
      <c r="D1715" s="5">
        <v>5</v>
      </c>
      <c r="E1715" s="5">
        <v>0</v>
      </c>
      <c r="F1715" s="5">
        <v>0.1</v>
      </c>
      <c r="G1715" s="12">
        <f>(C1715*$U$4)/($U$5*$U$3)</f>
        <v>88.16326530612244</v>
      </c>
      <c r="H1715" s="11">
        <f>G1715*COS(RADIANS(D1715))</f>
        <v>87.827777464415107</v>
      </c>
      <c r="I1715" s="11">
        <f>G1715*SIN(RADIANS(D1715))</f>
        <v>7.6839348708139434</v>
      </c>
      <c r="J1715" s="19">
        <v>0.23230000000000001</v>
      </c>
      <c r="K1715" s="12">
        <v>0</v>
      </c>
      <c r="L1715" s="12">
        <f>-(F1715*G1715*$U$3)/J1715</f>
        <v>-37.952331169230497</v>
      </c>
      <c r="M1715" s="11">
        <f>ABS(L1715/$U$6)</f>
        <v>0.11064819582866034</v>
      </c>
      <c r="N1715" s="12">
        <f>L1715*SIN(RADIANS(K1715))</f>
        <v>0</v>
      </c>
      <c r="O1715" s="12">
        <f>L1715*COS(RADIANS(K1715))</f>
        <v>-37.952331169230497</v>
      </c>
      <c r="P1715" s="5">
        <v>4.5576122331886859</v>
      </c>
      <c r="Q1715" s="5">
        <v>0.30637492499262364</v>
      </c>
      <c r="R1715" s="6">
        <f>P1715/Q1715</f>
        <v>14.875930963666221</v>
      </c>
    </row>
    <row r="1716" spans="1:18" x14ac:dyDescent="0.35">
      <c r="A1716" s="9">
        <v>1717</v>
      </c>
      <c r="B1716" s="5">
        <v>0.75</v>
      </c>
      <c r="C1716" s="5">
        <v>4000000</v>
      </c>
      <c r="D1716" s="5">
        <v>15</v>
      </c>
      <c r="E1716" s="5">
        <v>0.125</v>
      </c>
      <c r="F1716" s="5">
        <v>2.5000000000000001E-2</v>
      </c>
      <c r="G1716" s="12">
        <f>(C1716*$U$4)/($U$5*$U$3)</f>
        <v>58.775510204081627</v>
      </c>
      <c r="H1716" s="11">
        <f>G1716*COS(RADIANS(D1716))</f>
        <v>56.772783259439109</v>
      </c>
      <c r="I1716" s="11">
        <f>G1716*SIN(RADIANS(D1716))</f>
        <v>15.212221426433871</v>
      </c>
      <c r="J1716" s="12">
        <v>0.2802</v>
      </c>
      <c r="K1716" s="12">
        <v>19</v>
      </c>
      <c r="L1716" s="12">
        <f>-(F1716*G1716*$U$3)/J1716</f>
        <v>-5.2440676484726643</v>
      </c>
      <c r="M1716" s="11">
        <f>ABS(L1716/$U$6)</f>
        <v>1.5288826963477156E-2</v>
      </c>
      <c r="N1716" s="12">
        <f>L1716*SIN(RADIANS(K1716))</f>
        <v>-1.707301426161727</v>
      </c>
      <c r="O1716" s="12">
        <f>L1716*COS(RADIANS(K1716))</f>
        <v>-4.9583633733303323</v>
      </c>
      <c r="P1716" s="5">
        <v>3.9942365909652109</v>
      </c>
      <c r="Q1716" s="5">
        <v>0.84885494553508578</v>
      </c>
      <c r="R1716" s="6">
        <f>P1716/Q1716</f>
        <v>4.7054406786160579</v>
      </c>
    </row>
    <row r="1717" spans="1:18" x14ac:dyDescent="0.35">
      <c r="A1717" s="9">
        <v>1718</v>
      </c>
      <c r="B1717" s="5">
        <v>0.25</v>
      </c>
      <c r="C1717" s="5">
        <v>6000000</v>
      </c>
      <c r="D1717" s="5">
        <v>30</v>
      </c>
      <c r="E1717" s="5">
        <v>0</v>
      </c>
      <c r="F1717" s="5">
        <v>3.5000000000000003E-2</v>
      </c>
      <c r="G1717" s="12">
        <f>(C1717*$U$4)/($U$5*$U$3)</f>
        <v>88.16326530612244</v>
      </c>
      <c r="H1717" s="11">
        <f>G1717*COS(RADIANS(D1717))</f>
        <v>76.351627435689281</v>
      </c>
      <c r="I1717" s="11">
        <f>G1717*SIN(RADIANS(D1717))</f>
        <v>44.081632653061213</v>
      </c>
      <c r="J1717" s="12">
        <v>0.18990000000000001</v>
      </c>
      <c r="K1717" s="12">
        <v>0</v>
      </c>
      <c r="L1717" s="12">
        <f>-(F1717*G1717*$U$3)/J1717</f>
        <v>-16.249153689911985</v>
      </c>
      <c r="M1717" s="11">
        <f>ABS(L1717/$U$6)</f>
        <v>4.7373625918110743E-2</v>
      </c>
      <c r="N1717" s="12">
        <f>L1717*SIN(RADIANS(K1717))</f>
        <v>0</v>
      </c>
      <c r="O1717" s="12">
        <f>L1717*COS(RADIANS(K1717))</f>
        <v>-16.249153689911985</v>
      </c>
      <c r="P1717" s="5">
        <v>2.1889804621592814</v>
      </c>
      <c r="Q1717" s="5">
        <v>0.86965757804441379</v>
      </c>
      <c r="R1717" s="6">
        <f>P1717/Q1717</f>
        <v>2.5170601825624397</v>
      </c>
    </row>
    <row r="1718" spans="1:18" x14ac:dyDescent="0.35">
      <c r="A1718" s="9">
        <v>1719</v>
      </c>
      <c r="B1718" s="5">
        <v>0.25</v>
      </c>
      <c r="C1718" s="5">
        <v>2000000</v>
      </c>
      <c r="D1718" s="5">
        <v>5</v>
      </c>
      <c r="E1718" s="5">
        <v>0.375</v>
      </c>
      <c r="F1718" s="5">
        <v>3.5000000000000003E-2</v>
      </c>
      <c r="G1718" s="12">
        <f>(C1718*$U$4)/($U$5*$U$3)</f>
        <v>29.387755102040813</v>
      </c>
      <c r="H1718" s="11">
        <f>G1718*COS(RADIANS(D1718))</f>
        <v>29.275925821471702</v>
      </c>
      <c r="I1718" s="11">
        <f>G1718*SIN(RADIANS(D1718))</f>
        <v>2.5613116236046478</v>
      </c>
      <c r="J1718" s="11">
        <v>0.1976</v>
      </c>
      <c r="K1718" s="12">
        <v>78</v>
      </c>
      <c r="L1718" s="12">
        <f>-(F1718*G1718*$U$3)/J1718</f>
        <v>-5.2053209947946781</v>
      </c>
      <c r="M1718" s="11">
        <f>ABS(L1718/$U$6)</f>
        <v>1.5175862958585067E-2</v>
      </c>
      <c r="N1718" s="12">
        <f>L1718*SIN(RADIANS(K1718))</f>
        <v>-5.0915722421077207</v>
      </c>
      <c r="O1718" s="12">
        <f>L1718*COS(RADIANS(K1718))</f>
        <v>-1.0822470892769431</v>
      </c>
      <c r="P1718" s="5">
        <v>2.132210792488797</v>
      </c>
      <c r="Q1718" s="5">
        <v>0.17504916092831319</v>
      </c>
      <c r="R1718" s="6">
        <f>P1718/Q1718</f>
        <v>12.180639890996041</v>
      </c>
    </row>
    <row r="1719" spans="1:18" x14ac:dyDescent="0.35">
      <c r="A1719" s="9">
        <v>1720</v>
      </c>
      <c r="B1719" s="5">
        <v>1</v>
      </c>
      <c r="C1719" s="5">
        <v>4000000</v>
      </c>
      <c r="D1719" s="5">
        <v>20</v>
      </c>
      <c r="E1719" s="5">
        <v>0.375</v>
      </c>
      <c r="F1719" s="5">
        <v>2.5000000000000001E-2</v>
      </c>
      <c r="G1719" s="12">
        <f>(C1719*$U$4)/($U$5*$U$3)</f>
        <v>58.775510204081627</v>
      </c>
      <c r="H1719" s="11">
        <f>G1719*COS(RADIANS(D1719))</f>
        <v>55.230913221702366</v>
      </c>
      <c r="I1719" s="11">
        <f>G1719*SIN(RADIANS(D1719))</f>
        <v>20.102408424039304</v>
      </c>
      <c r="J1719" s="12">
        <v>0.33379999999999999</v>
      </c>
      <c r="K1719" s="11">
        <v>49</v>
      </c>
      <c r="L1719" s="12">
        <f>-(F1719*G1719*$U$3)/J1719</f>
        <v>-4.4020004646556048</v>
      </c>
      <c r="M1719" s="11">
        <f>ABS(L1719/$U$6)</f>
        <v>1.283382059666357E-2</v>
      </c>
      <c r="N1719" s="12">
        <f>L1719*SIN(RADIANS(K1719))</f>
        <v>-3.3222319228206789</v>
      </c>
      <c r="O1719" s="12">
        <f>L1719*COS(RADIANS(K1719))</f>
        <v>-2.8879721504577178</v>
      </c>
      <c r="P1719" s="5">
        <v>5.308096744977659</v>
      </c>
      <c r="Q1719" s="5">
        <v>0.8268015374580594</v>
      </c>
      <c r="R1719" s="6">
        <f>P1719/Q1719</f>
        <v>6.4200373420893877</v>
      </c>
    </row>
    <row r="1720" spans="1:18" x14ac:dyDescent="0.35">
      <c r="A1720" s="9">
        <v>1721</v>
      </c>
      <c r="B1720" s="5">
        <v>0.25</v>
      </c>
      <c r="C1720" s="5">
        <v>6000000</v>
      </c>
      <c r="D1720" s="5">
        <v>30</v>
      </c>
      <c r="E1720" s="5">
        <v>0.25</v>
      </c>
      <c r="F1720" s="5">
        <v>1.4999999999999999E-2</v>
      </c>
      <c r="G1720" s="12">
        <f>(C1720*$U$4)/($U$5*$U$3)</f>
        <v>88.16326530612244</v>
      </c>
      <c r="H1720" s="11">
        <f>G1720*COS(RADIANS(D1720))</f>
        <v>76.351627435689281</v>
      </c>
      <c r="I1720" s="11">
        <f>G1720*SIN(RADIANS(D1720))</f>
        <v>44.081632653061213</v>
      </c>
      <c r="J1720" s="12">
        <v>0.1913</v>
      </c>
      <c r="K1720" s="11">
        <v>67</v>
      </c>
      <c r="L1720" s="12">
        <f>-(F1720*G1720*$U$3)/J1720</f>
        <v>-6.9129585969254395</v>
      </c>
      <c r="M1720" s="11">
        <f>ABS(L1720/$U$6)</f>
        <v>2.0154398241765129E-2</v>
      </c>
      <c r="N1720" s="12">
        <f>L1720*SIN(RADIANS(K1720))</f>
        <v>-6.3634119401856397</v>
      </c>
      <c r="O1720" s="12">
        <f>L1720*COS(RADIANS(K1720))</f>
        <v>-2.7011081137763031</v>
      </c>
      <c r="P1720" s="5">
        <v>2.232127058886582</v>
      </c>
      <c r="Q1720" s="5">
        <v>0.93585112442959795</v>
      </c>
      <c r="R1720" s="6">
        <f>P1720/Q1720</f>
        <v>2.3851304984508785</v>
      </c>
    </row>
    <row r="1721" spans="1:18" x14ac:dyDescent="0.35">
      <c r="A1721" s="9">
        <v>1722</v>
      </c>
      <c r="B1721" s="5">
        <v>1</v>
      </c>
      <c r="C1721" s="5">
        <v>4000000</v>
      </c>
      <c r="D1721" s="5">
        <v>30</v>
      </c>
      <c r="E1721" s="5">
        <v>0</v>
      </c>
      <c r="F1721" s="5">
        <v>7.4999999999999997E-2</v>
      </c>
      <c r="G1721" s="12">
        <f>(C1721*$U$4)/($U$5*$U$3)</f>
        <v>58.775510204081627</v>
      </c>
      <c r="H1721" s="11">
        <f>G1721*COS(RADIANS(D1721))</f>
        <v>50.901084957126187</v>
      </c>
      <c r="I1721" s="11">
        <f>G1721*SIN(RADIANS(D1721))</f>
        <v>29.38775510204081</v>
      </c>
      <c r="J1721" s="11">
        <v>0.33379999999999999</v>
      </c>
      <c r="K1721" s="12">
        <v>0</v>
      </c>
      <c r="L1721" s="12">
        <f>-(F1721*G1721*$U$3)/J1721</f>
        <v>-13.206001393966813</v>
      </c>
      <c r="M1721" s="11">
        <f>ABS(L1721/$U$6)</f>
        <v>3.8501461789990712E-2</v>
      </c>
      <c r="N1721" s="12">
        <f>L1721*SIN(RADIANS(K1721))</f>
        <v>0</v>
      </c>
      <c r="O1721" s="12">
        <f>L1721*COS(RADIANS(K1721))</f>
        <v>-13.206001393966813</v>
      </c>
      <c r="P1721" s="5">
        <v>6.4763397139648937</v>
      </c>
      <c r="Q1721" s="5">
        <v>2.1035887790390531</v>
      </c>
      <c r="R1721" s="6">
        <f>P1721/Q1721</f>
        <v>3.0787099543872687</v>
      </c>
    </row>
    <row r="1722" spans="1:18" x14ac:dyDescent="0.35">
      <c r="A1722" s="9">
        <v>1723</v>
      </c>
      <c r="B1722" s="5">
        <v>0.5</v>
      </c>
      <c r="C1722" s="5">
        <v>6000000</v>
      </c>
      <c r="D1722" s="5">
        <v>5</v>
      </c>
      <c r="E1722" s="5">
        <v>0.125</v>
      </c>
      <c r="F1722" s="5">
        <v>7.4999999999999997E-2</v>
      </c>
      <c r="G1722" s="12">
        <f>(C1722*$U$4)/($U$5*$U$3)</f>
        <v>88.16326530612244</v>
      </c>
      <c r="H1722" s="11">
        <f>G1722*COS(RADIANS(D1722))</f>
        <v>87.827777464415107</v>
      </c>
      <c r="I1722" s="11">
        <f>G1722*SIN(RADIANS(D1722))</f>
        <v>7.6839348708139434</v>
      </c>
      <c r="J1722" s="12">
        <v>0.23300000000000001</v>
      </c>
      <c r="K1722" s="11">
        <v>27</v>
      </c>
      <c r="L1722" s="12">
        <f>-(F1722*G1722*$U$3)/J1722</f>
        <v>-28.378733467635978</v>
      </c>
      <c r="M1722" s="11">
        <f>ABS(L1722/$U$6)</f>
        <v>8.273683226716029E-2</v>
      </c>
      <c r="N1722" s="12">
        <f>L1722*SIN(RADIANS(K1722))</f>
        <v>-12.883675388947458</v>
      </c>
      <c r="O1722" s="12">
        <f>L1722*COS(RADIANS(K1722))</f>
        <v>-25.285636667866441</v>
      </c>
      <c r="P1722" s="5">
        <v>4.6082756611624376</v>
      </c>
      <c r="Q1722" s="5">
        <v>0.22970815612660697</v>
      </c>
      <c r="R1722" s="6">
        <f>P1722/Q1722</f>
        <v>20.061436819955667</v>
      </c>
    </row>
    <row r="1723" spans="1:18" x14ac:dyDescent="0.35">
      <c r="A1723" s="9">
        <v>1724</v>
      </c>
      <c r="B1723" s="5">
        <v>0.25</v>
      </c>
      <c r="C1723" s="5">
        <v>6000000</v>
      </c>
      <c r="D1723" s="5">
        <v>10</v>
      </c>
      <c r="E1723" s="5">
        <v>0.375</v>
      </c>
      <c r="F1723" s="5">
        <v>0.05</v>
      </c>
      <c r="G1723" s="12">
        <f>(C1723*$U$4)/($U$5*$U$3)</f>
        <v>88.16326530612244</v>
      </c>
      <c r="H1723" s="11">
        <f>G1723*COS(RADIANS(D1723))</f>
        <v>86.823867204341596</v>
      </c>
      <c r="I1723" s="11">
        <f>G1723*SIN(RADIANS(D1723))</f>
        <v>15.309390357574264</v>
      </c>
      <c r="J1723" s="11">
        <v>0.1976</v>
      </c>
      <c r="K1723" s="12">
        <v>78</v>
      </c>
      <c r="L1723" s="12">
        <f>-(F1723*G1723*$U$3)/J1723</f>
        <v>-22.308518549120052</v>
      </c>
      <c r="M1723" s="11">
        <f>ABS(L1723/$U$6)</f>
        <v>6.5039412679650299E-2</v>
      </c>
      <c r="N1723" s="12">
        <f>L1723*SIN(RADIANS(K1723))</f>
        <v>-21.821023894747377</v>
      </c>
      <c r="O1723" s="12">
        <f>L1723*COS(RADIANS(K1723))</f>
        <v>-4.6382018111869003</v>
      </c>
      <c r="P1723" s="5">
        <v>2.4594230239456514</v>
      </c>
      <c r="Q1723" s="5">
        <v>0.37960808822080705</v>
      </c>
      <c r="R1723" s="6">
        <f>P1723/Q1723</f>
        <v>6.4788477913438873</v>
      </c>
    </row>
    <row r="1724" spans="1:18" x14ac:dyDescent="0.35">
      <c r="A1724" s="9">
        <v>1725</v>
      </c>
      <c r="B1724" s="5">
        <v>0.1</v>
      </c>
      <c r="C1724" s="5">
        <v>6000000</v>
      </c>
      <c r="D1724" s="5">
        <v>0</v>
      </c>
      <c r="E1724" s="5">
        <v>0</v>
      </c>
      <c r="F1724" s="5">
        <v>3.5000000000000003E-2</v>
      </c>
      <c r="G1724" s="12">
        <f>(C1724*$U$4)/($U$5*$U$3)</f>
        <v>88.16326530612244</v>
      </c>
      <c r="H1724" s="11">
        <f>G1724*COS(RADIANS(D1724))</f>
        <v>88.16326530612244</v>
      </c>
      <c r="I1724" s="11">
        <f>G1724*SIN(RADIANS(D1724))</f>
        <v>0</v>
      </c>
      <c r="J1724" s="11">
        <v>0.16569999999999999</v>
      </c>
      <c r="K1724" s="12">
        <v>0</v>
      </c>
      <c r="L1724" s="12">
        <f>-(F1724*G1724*$U$3)/J1724</f>
        <v>-18.622295025433228</v>
      </c>
      <c r="M1724" s="11">
        <f>ABS(L1724/$U$6)</f>
        <v>5.4292405321962764E-2</v>
      </c>
      <c r="N1724" s="12">
        <f>L1724*SIN(RADIANS(K1724))</f>
        <v>0</v>
      </c>
      <c r="O1724" s="12">
        <f>L1724*COS(RADIANS(K1724))</f>
        <v>-18.622295025433228</v>
      </c>
      <c r="P1724" s="5">
        <v>1.172132801925508</v>
      </c>
      <c r="Q1724" s="5">
        <v>0.22406715168685695</v>
      </c>
      <c r="R1724" s="6">
        <f>P1724/Q1724</f>
        <v>5.2311675009088869</v>
      </c>
    </row>
    <row r="1725" spans="1:18" x14ac:dyDescent="0.35">
      <c r="A1725" s="9">
        <v>1726</v>
      </c>
      <c r="B1725" s="5">
        <v>0.25</v>
      </c>
      <c r="C1725" s="5">
        <v>2000000</v>
      </c>
      <c r="D1725" s="5">
        <v>10</v>
      </c>
      <c r="E1725" s="5">
        <v>0.375</v>
      </c>
      <c r="F1725" s="5">
        <v>7.4999999999999997E-2</v>
      </c>
      <c r="G1725" s="12">
        <f>(C1725*$U$4)/($U$5*$U$3)</f>
        <v>29.387755102040813</v>
      </c>
      <c r="H1725" s="11">
        <f>G1725*COS(RADIANS(D1725))</f>
        <v>28.941289068113864</v>
      </c>
      <c r="I1725" s="11">
        <f>G1725*SIN(RADIANS(D1725))</f>
        <v>5.1031301191914213</v>
      </c>
      <c r="J1725" s="11">
        <v>0.1976</v>
      </c>
      <c r="K1725" s="12">
        <v>78</v>
      </c>
      <c r="L1725" s="12">
        <f>-(F1725*G1725*$U$3)/J1725</f>
        <v>-11.154259274560026</v>
      </c>
      <c r="M1725" s="11">
        <f>ABS(L1725/$U$6)</f>
        <v>3.251970633982515E-2</v>
      </c>
      <c r="N1725" s="12">
        <f>L1725*SIN(RADIANS(K1725))</f>
        <v>-10.910511947373688</v>
      </c>
      <c r="O1725" s="12">
        <f>L1725*COS(RADIANS(K1725))</f>
        <v>-2.3191009055934502</v>
      </c>
      <c r="P1725" s="5">
        <v>2.5203136512033288</v>
      </c>
      <c r="Q1725" s="5">
        <v>0.28777361880071378</v>
      </c>
      <c r="R1725" s="6">
        <f>P1725/Q1725</f>
        <v>8.7579732350263573</v>
      </c>
    </row>
    <row r="1726" spans="1:18" x14ac:dyDescent="0.35">
      <c r="A1726" s="9">
        <v>1727</v>
      </c>
      <c r="B1726" s="5">
        <v>1</v>
      </c>
      <c r="C1726" s="5">
        <v>2000000</v>
      </c>
      <c r="D1726" s="5">
        <v>30</v>
      </c>
      <c r="E1726" s="5">
        <v>0</v>
      </c>
      <c r="F1726" s="5">
        <v>7.4999999999999997E-2</v>
      </c>
      <c r="G1726" s="12">
        <f>(C1726*$U$4)/($U$5*$U$3)</f>
        <v>29.387755102040813</v>
      </c>
      <c r="H1726" s="11">
        <f>G1726*COS(RADIANS(D1726))</f>
        <v>25.450542478563094</v>
      </c>
      <c r="I1726" s="11">
        <f>G1726*SIN(RADIANS(D1726))</f>
        <v>14.693877551020405</v>
      </c>
      <c r="J1726" s="11">
        <v>0.33379999999999999</v>
      </c>
      <c r="K1726" s="12">
        <v>0</v>
      </c>
      <c r="L1726" s="12">
        <f>-(F1726*G1726*$U$3)/J1726</f>
        <v>-6.6030006969834067</v>
      </c>
      <c r="M1726" s="11">
        <f>ABS(L1726/$U$6)</f>
        <v>1.9250730894995356E-2</v>
      </c>
      <c r="N1726" s="12">
        <f>L1726*SIN(RADIANS(K1726))</f>
        <v>0</v>
      </c>
      <c r="O1726" s="12">
        <f>L1726*COS(RADIANS(K1726))</f>
        <v>-6.6030006969834067</v>
      </c>
      <c r="P1726" s="5">
        <v>5.0542715242553644</v>
      </c>
      <c r="Q1726" s="5">
        <v>1.9853973485887653</v>
      </c>
      <c r="R1726" s="6">
        <f>P1726/Q1726</f>
        <v>2.545722914281102</v>
      </c>
    </row>
    <row r="1727" spans="1:18" x14ac:dyDescent="0.35">
      <c r="A1727" s="9">
        <v>1914</v>
      </c>
      <c r="B1727" s="5">
        <v>0.5</v>
      </c>
      <c r="C1727" s="5">
        <v>6000000</v>
      </c>
      <c r="D1727" s="5">
        <v>10</v>
      </c>
      <c r="E1727" s="5">
        <v>0</v>
      </c>
      <c r="F1727" s="5">
        <v>0.1</v>
      </c>
      <c r="G1727" s="12">
        <f>(C1727*$U$4)/($U$5*$U$3)</f>
        <v>88.16326530612244</v>
      </c>
      <c r="H1727" s="11">
        <f>G1727*COS(RADIANS(D1727))</f>
        <v>86.823867204341596</v>
      </c>
      <c r="I1727" s="11">
        <f>G1727*SIN(RADIANS(D1727))</f>
        <v>15.309390357574264</v>
      </c>
      <c r="J1727" s="19">
        <v>0.23230000000000001</v>
      </c>
      <c r="K1727" s="19">
        <v>0</v>
      </c>
      <c r="L1727" s="12">
        <f>-(F1727*G1727*$U$3)/J1727</f>
        <v>-37.952331169230497</v>
      </c>
      <c r="M1727" s="11">
        <f>ABS(L1727/$U$6)</f>
        <v>0.11064819582866034</v>
      </c>
      <c r="N1727" s="12">
        <f>L1727*SIN(RADIANS(K1727))</f>
        <v>0</v>
      </c>
      <c r="O1727" s="12">
        <f>L1727*COS(RADIANS(K1727))</f>
        <v>-37.952331169230497</v>
      </c>
      <c r="P1727" s="5">
        <v>4.4122919701746648</v>
      </c>
      <c r="Q1727" s="5">
        <v>0.53607950972763618</v>
      </c>
      <c r="R1727" s="6">
        <f>P1727/Q1727</f>
        <v>8.2306670747710555</v>
      </c>
    </row>
    <row r="1728" spans="1:18" x14ac:dyDescent="0.35">
      <c r="A1728" s="9">
        <v>1729</v>
      </c>
      <c r="B1728" s="5">
        <v>0.5</v>
      </c>
      <c r="C1728" s="5">
        <v>2000000</v>
      </c>
      <c r="D1728" s="5">
        <v>30</v>
      </c>
      <c r="E1728" s="5">
        <v>0.125</v>
      </c>
      <c r="F1728" s="5">
        <v>7.4999999999999997E-2</v>
      </c>
      <c r="G1728" s="12">
        <f>(C1728*$U$4)/($U$5*$U$3)</f>
        <v>29.387755102040813</v>
      </c>
      <c r="H1728" s="11">
        <f>G1728*COS(RADIANS(D1728))</f>
        <v>25.450542478563094</v>
      </c>
      <c r="I1728" s="11">
        <f>G1728*SIN(RADIANS(D1728))</f>
        <v>14.693877551020405</v>
      </c>
      <c r="J1728" s="12">
        <v>0.23300000000000001</v>
      </c>
      <c r="K1728" s="11">
        <v>27</v>
      </c>
      <c r="L1728" s="12">
        <f>-(F1728*G1728*$U$3)/J1728</f>
        <v>-9.4595778225453255</v>
      </c>
      <c r="M1728" s="11">
        <f>ABS(L1728/$U$6)</f>
        <v>2.7578944089053429E-2</v>
      </c>
      <c r="N1728" s="12">
        <f>L1728*SIN(RADIANS(K1728))</f>
        <v>-4.2945584629824856</v>
      </c>
      <c r="O1728" s="12">
        <f>L1728*COS(RADIANS(K1728))</f>
        <v>-8.4285455559554805</v>
      </c>
      <c r="P1728" s="5">
        <v>4.0943707578695925</v>
      </c>
      <c r="Q1728" s="5">
        <v>1.3033356494652251</v>
      </c>
      <c r="R1728" s="6">
        <f>P1728/Q1728</f>
        <v>3.1414553569140566</v>
      </c>
    </row>
    <row r="1729" spans="1:18" x14ac:dyDescent="0.35">
      <c r="A1729" s="9">
        <v>1730</v>
      </c>
      <c r="B1729" s="5">
        <v>0.5</v>
      </c>
      <c r="C1729" s="5">
        <v>6000000</v>
      </c>
      <c r="D1729" s="5">
        <v>10</v>
      </c>
      <c r="E1729" s="5">
        <v>0.25</v>
      </c>
      <c r="F1729" s="5">
        <v>3.5000000000000003E-2</v>
      </c>
      <c r="G1729" s="12">
        <f>(C1729*$U$4)/($U$5*$U$3)</f>
        <v>88.16326530612244</v>
      </c>
      <c r="H1729" s="11">
        <f>G1729*COS(RADIANS(D1729))</f>
        <v>86.823867204341596</v>
      </c>
      <c r="I1729" s="11">
        <f>G1729*SIN(RADIANS(D1729))</f>
        <v>15.309390357574264</v>
      </c>
      <c r="J1729" s="11">
        <v>0.23580000000000001</v>
      </c>
      <c r="K1729" s="11">
        <v>49</v>
      </c>
      <c r="L1729" s="12">
        <f>-(F1729*G1729*$U$3)/J1729</f>
        <v>-13.086150490730644</v>
      </c>
      <c r="M1729" s="11">
        <f>ABS(L1729/$U$6)</f>
        <v>3.8152042247028117E-2</v>
      </c>
      <c r="N1729" s="12">
        <f>L1729*SIN(RADIANS(K1729))</f>
        <v>-9.8762431435913456</v>
      </c>
      <c r="O1729" s="12">
        <f>L1729*COS(RADIANS(K1729))</f>
        <v>-8.5852871841723957</v>
      </c>
      <c r="P1729" s="5">
        <v>2.7605056623054915</v>
      </c>
      <c r="Q1729" s="5">
        <v>0.39343783731543552</v>
      </c>
      <c r="R1729" s="6">
        <f>P1729/Q1729</f>
        <v>7.016370568579247</v>
      </c>
    </row>
    <row r="1730" spans="1:18" x14ac:dyDescent="0.35">
      <c r="A1730" s="9">
        <v>1731</v>
      </c>
      <c r="B1730" s="5">
        <v>0.25</v>
      </c>
      <c r="C1730" s="5">
        <v>6000000</v>
      </c>
      <c r="D1730" s="5">
        <v>5</v>
      </c>
      <c r="E1730" s="5">
        <v>0.25</v>
      </c>
      <c r="F1730" s="5">
        <v>0</v>
      </c>
      <c r="G1730" s="12">
        <f>(C1730*$U$4)/($U$5*$U$3)</f>
        <v>88.16326530612244</v>
      </c>
      <c r="H1730" s="11">
        <f>G1730*COS(RADIANS(D1730))</f>
        <v>87.827777464415107</v>
      </c>
      <c r="I1730" s="11">
        <f>G1730*SIN(RADIANS(D1730))</f>
        <v>7.6839348708139434</v>
      </c>
      <c r="J1730" s="12">
        <v>0.1913</v>
      </c>
      <c r="K1730" s="11">
        <v>67</v>
      </c>
      <c r="L1730" s="12">
        <f>-(F1730*G1730*$U$3)/J1730</f>
        <v>0</v>
      </c>
      <c r="M1730" s="11">
        <f>ABS(L1730/$U$6)</f>
        <v>0</v>
      </c>
      <c r="N1730" s="12">
        <f>L1730*SIN(RADIANS(K1730))</f>
        <v>0</v>
      </c>
      <c r="O1730" s="12">
        <f>L1730*COS(RADIANS(K1730))</f>
        <v>0</v>
      </c>
      <c r="P1730" s="5">
        <v>2.5406082033433917</v>
      </c>
      <c r="Q1730" s="5">
        <v>0.41740053856687664</v>
      </c>
      <c r="R1730" s="6">
        <f>P1730/Q1730</f>
        <v>6.0867391596245648</v>
      </c>
    </row>
    <row r="1731" spans="1:18" x14ac:dyDescent="0.35">
      <c r="A1731" s="9">
        <v>1732</v>
      </c>
      <c r="B1731" s="5">
        <v>0.5</v>
      </c>
      <c r="C1731" s="5">
        <v>6000000</v>
      </c>
      <c r="D1731" s="5">
        <v>5</v>
      </c>
      <c r="E1731" s="5">
        <v>0</v>
      </c>
      <c r="F1731" s="5">
        <v>3.5000000000000003E-2</v>
      </c>
      <c r="G1731" s="12">
        <f>(C1731*$U$4)/($U$5*$U$3)</f>
        <v>88.16326530612244</v>
      </c>
      <c r="H1731" s="11">
        <f>G1731*COS(RADIANS(D1731))</f>
        <v>87.827777464415107</v>
      </c>
      <c r="I1731" s="11">
        <f>G1731*SIN(RADIANS(D1731))</f>
        <v>7.6839348708139434</v>
      </c>
      <c r="J1731" s="12">
        <v>0.23230000000000001</v>
      </c>
      <c r="K1731" s="12">
        <v>0</v>
      </c>
      <c r="L1731" s="12">
        <f>-(F1731*G1731*$U$3)/J1731</f>
        <v>-13.283315909230675</v>
      </c>
      <c r="M1731" s="11">
        <f>ABS(L1731/$U$6)</f>
        <v>3.8726868540031122E-2</v>
      </c>
      <c r="N1731" s="12">
        <f>L1731*SIN(RADIANS(K1731))</f>
        <v>0</v>
      </c>
      <c r="O1731" s="12">
        <f>L1731*COS(RADIANS(K1731))</f>
        <v>-13.283315909230675</v>
      </c>
      <c r="P1731" s="5">
        <v>3.6723056741615911</v>
      </c>
      <c r="Q1731" s="5">
        <v>0.46418449035620135</v>
      </c>
      <c r="R1731" s="6">
        <f>P1731/Q1731</f>
        <v>7.9113062811374268</v>
      </c>
    </row>
    <row r="1732" spans="1:18" x14ac:dyDescent="0.35">
      <c r="A1732" s="9">
        <v>1733</v>
      </c>
      <c r="B1732" s="5">
        <v>1</v>
      </c>
      <c r="C1732" s="5">
        <v>6000000</v>
      </c>
      <c r="D1732" s="5">
        <v>20</v>
      </c>
      <c r="E1732" s="5">
        <v>0.25</v>
      </c>
      <c r="F1732" s="5">
        <v>0</v>
      </c>
      <c r="G1732" s="12">
        <f>(C1732*$U$4)/($U$5*$U$3)</f>
        <v>88.16326530612244</v>
      </c>
      <c r="H1732" s="11">
        <f>G1732*COS(RADIANS(D1732))</f>
        <v>82.846369832553549</v>
      </c>
      <c r="I1732" s="11">
        <f>G1732*SIN(RADIANS(D1732))</f>
        <v>30.153612636058952</v>
      </c>
      <c r="J1732" s="13">
        <v>0.33379999999999999</v>
      </c>
      <c r="K1732" s="12">
        <v>30</v>
      </c>
      <c r="L1732" s="12">
        <f>-(F1732*G1732*$U$3)/J1732</f>
        <v>0</v>
      </c>
      <c r="M1732" s="11">
        <f>ABS(L1732/$U$6)</f>
        <v>0</v>
      </c>
      <c r="N1732" s="12">
        <f>L1732*SIN(RADIANS(K1732))</f>
        <v>0</v>
      </c>
      <c r="O1732" s="12">
        <f>L1732*COS(RADIANS(K1732))</f>
        <v>0</v>
      </c>
      <c r="P1732" s="5">
        <v>6.2270943133190864</v>
      </c>
      <c r="Q1732" s="5">
        <v>2.444596372998185</v>
      </c>
      <c r="R1732" s="6">
        <f>P1732/Q1732</f>
        <v>2.5472893529993428</v>
      </c>
    </row>
    <row r="1733" spans="1:18" x14ac:dyDescent="0.35">
      <c r="A1733" s="9">
        <v>1734</v>
      </c>
      <c r="B1733" s="5">
        <v>0.25</v>
      </c>
      <c r="C1733" s="5">
        <v>4000000</v>
      </c>
      <c r="D1733" s="5">
        <v>20</v>
      </c>
      <c r="E1733" s="5">
        <v>0.375</v>
      </c>
      <c r="F1733" s="5">
        <v>2.5000000000000001E-2</v>
      </c>
      <c r="G1733" s="12">
        <f>(C1733*$U$4)/($U$5*$U$3)</f>
        <v>58.775510204081627</v>
      </c>
      <c r="H1733" s="11">
        <f>G1733*COS(RADIANS(D1733))</f>
        <v>55.230913221702366</v>
      </c>
      <c r="I1733" s="11">
        <f>G1733*SIN(RADIANS(D1733))</f>
        <v>20.102408424039304</v>
      </c>
      <c r="J1733" s="11">
        <v>0.1976</v>
      </c>
      <c r="K1733" s="12">
        <v>78</v>
      </c>
      <c r="L1733" s="12">
        <f>-(F1733*G1733*$U$3)/J1733</f>
        <v>-7.4361728497066837</v>
      </c>
      <c r="M1733" s="11">
        <f>ABS(L1733/$U$6)</f>
        <v>2.1679804226550099E-2</v>
      </c>
      <c r="N1733" s="12">
        <f>L1733*SIN(RADIANS(K1733))</f>
        <v>-7.2736746315824581</v>
      </c>
      <c r="O1733" s="12">
        <f>L1733*COS(RADIANS(K1733))</f>
        <v>-1.5460672703956333</v>
      </c>
      <c r="P1733" s="5">
        <v>2.1782737385700974</v>
      </c>
      <c r="Q1733" s="5">
        <v>0.63321594355703492</v>
      </c>
      <c r="R1733" s="6">
        <f>P1733/Q1733</f>
        <v>3.4400172022419966</v>
      </c>
    </row>
    <row r="1734" spans="1:18" x14ac:dyDescent="0.35">
      <c r="A1734" s="9">
        <v>1735</v>
      </c>
      <c r="B1734" s="5">
        <v>1</v>
      </c>
      <c r="C1734" s="5">
        <v>6000000</v>
      </c>
      <c r="D1734" s="5">
        <v>5</v>
      </c>
      <c r="E1734" s="5">
        <v>0.375</v>
      </c>
      <c r="F1734" s="5">
        <v>2.5000000000000001E-2</v>
      </c>
      <c r="G1734" s="12">
        <f>(C1734*$U$4)/($U$5*$U$3)</f>
        <v>88.16326530612244</v>
      </c>
      <c r="H1734" s="11">
        <f>G1734*COS(RADIANS(D1734))</f>
        <v>87.827777464415107</v>
      </c>
      <c r="I1734" s="11">
        <f>G1734*SIN(RADIANS(D1734))</f>
        <v>7.6839348708139434</v>
      </c>
      <c r="J1734" s="12">
        <v>0.33379999999999999</v>
      </c>
      <c r="K1734" s="11">
        <v>49</v>
      </c>
      <c r="L1734" s="12">
        <f>-(F1734*G1734*$U$3)/J1734</f>
        <v>-6.6030006969834067</v>
      </c>
      <c r="M1734" s="11">
        <f>ABS(L1734/$U$6)</f>
        <v>1.9250730894995356E-2</v>
      </c>
      <c r="N1734" s="12">
        <f>L1734*SIN(RADIANS(K1734))</f>
        <v>-4.9833478842310184</v>
      </c>
      <c r="O1734" s="12">
        <f>L1734*COS(RADIANS(K1734))</f>
        <v>-4.3319582256865763</v>
      </c>
      <c r="P1734" s="5">
        <v>4.8422896459464795</v>
      </c>
      <c r="Q1734" s="5">
        <v>-0.20664002389207087</v>
      </c>
      <c r="R1734" s="6">
        <f>P1734/Q1734</f>
        <v>-23.433454733220664</v>
      </c>
    </row>
    <row r="1735" spans="1:18" x14ac:dyDescent="0.35">
      <c r="A1735" s="9">
        <v>1736</v>
      </c>
      <c r="B1735" s="5">
        <v>1</v>
      </c>
      <c r="C1735" s="5">
        <v>4000000</v>
      </c>
      <c r="D1735" s="5">
        <v>15</v>
      </c>
      <c r="E1735" s="5">
        <v>0.375</v>
      </c>
      <c r="F1735" s="5">
        <v>3.5000000000000003E-2</v>
      </c>
      <c r="G1735" s="12">
        <f>(C1735*$U$4)/($U$5*$U$3)</f>
        <v>58.775510204081627</v>
      </c>
      <c r="H1735" s="11">
        <f>G1735*COS(RADIANS(D1735))</f>
        <v>56.772783259439109</v>
      </c>
      <c r="I1735" s="11">
        <f>G1735*SIN(RADIANS(D1735))</f>
        <v>15.212221426433871</v>
      </c>
      <c r="J1735" s="12">
        <v>0.33379999999999999</v>
      </c>
      <c r="K1735" s="11">
        <v>49</v>
      </c>
      <c r="L1735" s="12">
        <f>-(F1735*G1735*$U$3)/J1735</f>
        <v>-6.1628006505178465</v>
      </c>
      <c r="M1735" s="11">
        <f>ABS(L1735/$U$6)</f>
        <v>1.7967348835328998E-2</v>
      </c>
      <c r="N1735" s="12">
        <f>L1735*SIN(RADIANS(K1735))</f>
        <v>-4.65112469194895</v>
      </c>
      <c r="O1735" s="12">
        <f>L1735*COS(RADIANS(K1735))</f>
        <v>-4.0431610106408051</v>
      </c>
      <c r="P1735" s="5">
        <v>4.9286479813541435</v>
      </c>
      <c r="Q1735" s="5">
        <v>0.46704718823804758</v>
      </c>
      <c r="R1735" s="6">
        <f>P1735/Q1735</f>
        <v>10.552783756064663</v>
      </c>
    </row>
    <row r="1736" spans="1:18" x14ac:dyDescent="0.35">
      <c r="A1736" s="9">
        <v>1737</v>
      </c>
      <c r="B1736" s="5">
        <v>0.1</v>
      </c>
      <c r="C1736" s="5">
        <v>2000000</v>
      </c>
      <c r="D1736" s="5">
        <v>30</v>
      </c>
      <c r="E1736" s="5">
        <v>0.375</v>
      </c>
      <c r="F1736" s="5">
        <v>0.1</v>
      </c>
      <c r="G1736" s="12">
        <f>(C1736*$U$4)/($U$5*$U$3)</f>
        <v>29.387755102040813</v>
      </c>
      <c r="H1736" s="11">
        <f>G1736*COS(RADIANS(D1736))</f>
        <v>25.450542478563094</v>
      </c>
      <c r="I1736" s="11">
        <f>G1736*SIN(RADIANS(D1736))</f>
        <v>14.693877551020405</v>
      </c>
      <c r="J1736" s="12">
        <v>0.16789999999999999</v>
      </c>
      <c r="K1736" s="11">
        <v>85</v>
      </c>
      <c r="L1736" s="12">
        <f>-(F1736*G1736*$U$3)/J1736</f>
        <v>-17.503129899964751</v>
      </c>
      <c r="M1736" s="11">
        <f>ABS(L1736/$U$6)</f>
        <v>5.1029533236048835E-2</v>
      </c>
      <c r="N1736" s="12">
        <f>L1736*SIN(RADIANS(K1736))</f>
        <v>-17.436525206355988</v>
      </c>
      <c r="O1736" s="12">
        <f>L1736*COS(RADIANS(K1736))</f>
        <v>-1.5254982868401712</v>
      </c>
      <c r="P1736" s="5">
        <v>1.6131295763011813</v>
      </c>
      <c r="Q1736" s="5">
        <v>1.157179627651669</v>
      </c>
      <c r="R1736" s="6">
        <f>P1736/Q1736</f>
        <v>1.3940182991078036</v>
      </c>
    </row>
    <row r="1737" spans="1:18" x14ac:dyDescent="0.35">
      <c r="A1737" s="9">
        <v>1738</v>
      </c>
      <c r="B1737" s="5">
        <v>0.1</v>
      </c>
      <c r="C1737" s="5">
        <v>6000000</v>
      </c>
      <c r="D1737" s="5">
        <v>20</v>
      </c>
      <c r="E1737" s="5">
        <v>0.25</v>
      </c>
      <c r="F1737" s="5">
        <v>0.05</v>
      </c>
      <c r="G1737" s="12">
        <f>(C1737*$U$4)/($U$5*$U$3)</f>
        <v>88.16326530612244</v>
      </c>
      <c r="H1737" s="11">
        <f>G1737*COS(RADIANS(D1737))</f>
        <v>82.846369832553549</v>
      </c>
      <c r="I1737" s="11">
        <f>G1737*SIN(RADIANS(D1737))</f>
        <v>30.153612636058952</v>
      </c>
      <c r="J1737" s="11">
        <v>0.1661</v>
      </c>
      <c r="K1737" s="12">
        <v>80</v>
      </c>
      <c r="L1737" s="12">
        <f>-(F1737*G1737*$U$3)/J1737</f>
        <v>-26.539212915750284</v>
      </c>
      <c r="M1737" s="11">
        <f>ABS(L1737/$U$6)</f>
        <v>7.7373798588193252E-2</v>
      </c>
      <c r="N1737" s="12">
        <f>L1737*SIN(RADIANS(K1737))</f>
        <v>-26.136022638272607</v>
      </c>
      <c r="O1737" s="12">
        <f>L1737*COS(RADIANS(K1737))</f>
        <v>-4.6084859595346996</v>
      </c>
      <c r="P1737" s="5">
        <v>1.5740333951730674</v>
      </c>
      <c r="Q1737" s="5">
        <v>0.78544611046995938</v>
      </c>
      <c r="R1737" s="6">
        <f>P1737/Q1737</f>
        <v>2.003999223105541</v>
      </c>
    </row>
    <row r="1738" spans="1:18" x14ac:dyDescent="0.35">
      <c r="A1738" s="9">
        <v>1739</v>
      </c>
      <c r="B1738" s="5">
        <v>0.5</v>
      </c>
      <c r="C1738" s="5">
        <v>2000000</v>
      </c>
      <c r="D1738" s="5">
        <v>0</v>
      </c>
      <c r="E1738" s="5">
        <v>0</v>
      </c>
      <c r="F1738" s="5">
        <v>2.5000000000000001E-2</v>
      </c>
      <c r="G1738" s="12">
        <f>(C1738*$U$4)/($U$5*$U$3)</f>
        <v>29.387755102040813</v>
      </c>
      <c r="H1738" s="11">
        <f>G1738*COS(RADIANS(D1738))</f>
        <v>29.387755102040813</v>
      </c>
      <c r="I1738" s="11">
        <f>G1738*SIN(RADIANS(D1738))</f>
        <v>0</v>
      </c>
      <c r="J1738" s="12">
        <v>0.23230000000000001</v>
      </c>
      <c r="K1738" s="12">
        <v>0</v>
      </c>
      <c r="L1738" s="12">
        <f>-(F1738*G1738*$U$3)/J1738</f>
        <v>-3.1626942641025413</v>
      </c>
      <c r="M1738" s="11">
        <f>ABS(L1738/$U$6)</f>
        <v>9.2206829857216944E-3</v>
      </c>
      <c r="N1738" s="12">
        <f>L1738*SIN(RADIANS(K1738))</f>
        <v>0</v>
      </c>
      <c r="O1738" s="12">
        <f>L1738*COS(RADIANS(K1738))</f>
        <v>-3.1626942641025413</v>
      </c>
      <c r="P1738" s="5">
        <v>2.4712815477567105</v>
      </c>
      <c r="Q1738" s="5">
        <v>0.44001299149170531</v>
      </c>
      <c r="R1738" s="6">
        <f>P1738/Q1738</f>
        <v>5.6163831421856933</v>
      </c>
    </row>
    <row r="1739" spans="1:18" x14ac:dyDescent="0.35">
      <c r="A1739" s="9">
        <v>1740</v>
      </c>
      <c r="B1739" s="5">
        <v>1</v>
      </c>
      <c r="C1739" s="5">
        <v>2000000</v>
      </c>
      <c r="D1739" s="5">
        <v>20</v>
      </c>
      <c r="E1739" s="5">
        <v>0.125</v>
      </c>
      <c r="F1739" s="5">
        <v>0.05</v>
      </c>
      <c r="G1739" s="12">
        <f>(C1739*$U$4)/($U$5*$U$3)</f>
        <v>29.387755102040813</v>
      </c>
      <c r="H1739" s="11">
        <f>G1739*COS(RADIANS(D1739))</f>
        <v>27.615456610851183</v>
      </c>
      <c r="I1739" s="11">
        <f>G1739*SIN(RADIANS(D1739))</f>
        <v>10.051204212019652</v>
      </c>
      <c r="J1739" s="11">
        <v>0.33379999999999999</v>
      </c>
      <c r="K1739" s="12">
        <v>14</v>
      </c>
      <c r="L1739" s="12">
        <f>-(F1739*G1739*$U$3)/J1739</f>
        <v>-4.4020004646556048</v>
      </c>
      <c r="M1739" s="11">
        <f>ABS(L1739/$U$6)</f>
        <v>1.283382059666357E-2</v>
      </c>
      <c r="N1739" s="12">
        <f>L1739*SIN(RADIANS(K1739))</f>
        <v>-1.0649402968401021</v>
      </c>
      <c r="O1739" s="12">
        <f>L1739*COS(RADIANS(K1739))</f>
        <v>-4.2712422379202843</v>
      </c>
      <c r="P1739" s="5">
        <v>4.5231095619193891</v>
      </c>
      <c r="Q1739" s="5">
        <v>0.86636012273613228</v>
      </c>
      <c r="R1739" s="6">
        <f>P1739/Q1739</f>
        <v>5.2208191988737171</v>
      </c>
    </row>
    <row r="1740" spans="1:18" x14ac:dyDescent="0.35">
      <c r="A1740" s="9">
        <v>1934</v>
      </c>
      <c r="B1740" s="5">
        <v>0.5</v>
      </c>
      <c r="C1740" s="5">
        <v>6000000</v>
      </c>
      <c r="D1740" s="5">
        <v>0</v>
      </c>
      <c r="E1740" s="5">
        <v>0</v>
      </c>
      <c r="F1740" s="5">
        <v>0.1</v>
      </c>
      <c r="G1740" s="12">
        <f>(C1740*$U$4)/($U$5*$U$3)</f>
        <v>88.16326530612244</v>
      </c>
      <c r="H1740" s="11">
        <f>G1740*COS(RADIANS(D1740))</f>
        <v>88.16326530612244</v>
      </c>
      <c r="I1740" s="11">
        <f>G1740*SIN(RADIANS(D1740))</f>
        <v>0</v>
      </c>
      <c r="J1740" s="19">
        <v>0.23230000000000001</v>
      </c>
      <c r="K1740" s="12">
        <v>0</v>
      </c>
      <c r="L1740" s="12">
        <f>-(F1740*G1740*$U$3)/J1740</f>
        <v>-37.952331169230497</v>
      </c>
      <c r="M1740" s="11">
        <f>ABS(L1740/$U$6)</f>
        <v>0.11064819582866034</v>
      </c>
      <c r="N1740" s="12">
        <f>L1740*SIN(RADIANS(K1740))</f>
        <v>0</v>
      </c>
      <c r="O1740" s="12">
        <f>L1740*COS(RADIANS(K1740))</f>
        <v>-37.952331169230497</v>
      </c>
      <c r="P1740" s="5">
        <v>4.6876149308701232</v>
      </c>
      <c r="Q1740" s="5">
        <v>4.2273535208237865E-2</v>
      </c>
      <c r="R1740" s="6">
        <f>P1740/Q1740</f>
        <v>110.88769623309491</v>
      </c>
    </row>
    <row r="1741" spans="1:18" x14ac:dyDescent="0.35">
      <c r="A1741" s="9">
        <v>1742</v>
      </c>
      <c r="B1741" s="5">
        <v>0.75</v>
      </c>
      <c r="C1741" s="5">
        <v>2000000</v>
      </c>
      <c r="D1741" s="5">
        <v>30</v>
      </c>
      <c r="E1741" s="5">
        <v>0.125</v>
      </c>
      <c r="F1741" s="5">
        <v>0</v>
      </c>
      <c r="G1741" s="12">
        <f>(C1741*$U$4)/($U$5*$U$3)</f>
        <v>29.387755102040813</v>
      </c>
      <c r="H1741" s="11">
        <f>G1741*COS(RADIANS(D1741))</f>
        <v>25.450542478563094</v>
      </c>
      <c r="I1741" s="11">
        <f>G1741*SIN(RADIANS(D1741))</f>
        <v>14.693877551020405</v>
      </c>
      <c r="J1741" s="12">
        <v>0.2802</v>
      </c>
      <c r="K1741" s="12">
        <v>19</v>
      </c>
      <c r="L1741" s="12">
        <f>-(F1741*G1741*$U$3)/J1741</f>
        <v>0</v>
      </c>
      <c r="M1741" s="11">
        <f>ABS(L1741/$U$6)</f>
        <v>0</v>
      </c>
      <c r="N1741" s="12">
        <f>L1741*SIN(RADIANS(K1741))</f>
        <v>0</v>
      </c>
      <c r="O1741" s="12">
        <f>L1741*COS(RADIANS(K1741))</f>
        <v>0</v>
      </c>
      <c r="P1741" s="5">
        <v>4.366652968662053</v>
      </c>
      <c r="Q1741" s="5">
        <v>2.3511857961265816</v>
      </c>
      <c r="R1741" s="6">
        <f>P1741/Q1741</f>
        <v>1.8572130606844497</v>
      </c>
    </row>
    <row r="1742" spans="1:18" x14ac:dyDescent="0.35">
      <c r="A1742" s="9">
        <v>1743</v>
      </c>
      <c r="B1742" s="5">
        <v>1</v>
      </c>
      <c r="C1742" s="5">
        <v>2000000</v>
      </c>
      <c r="D1742" s="5">
        <v>20</v>
      </c>
      <c r="E1742" s="5">
        <v>0</v>
      </c>
      <c r="F1742" s="5">
        <v>0.1</v>
      </c>
      <c r="G1742" s="12">
        <f>(C1742*$U$4)/($U$5*$U$3)</f>
        <v>29.387755102040813</v>
      </c>
      <c r="H1742" s="11">
        <f>G1742*COS(RADIANS(D1742))</f>
        <v>27.615456610851183</v>
      </c>
      <c r="I1742" s="11">
        <f>G1742*SIN(RADIANS(D1742))</f>
        <v>10.051204212019652</v>
      </c>
      <c r="J1742" s="11">
        <v>0.33379999999999999</v>
      </c>
      <c r="K1742" s="12">
        <v>0</v>
      </c>
      <c r="L1742" s="12">
        <f>-(F1742*G1742*$U$3)/J1742</f>
        <v>-8.8040009293112096</v>
      </c>
      <c r="M1742" s="11">
        <f>ABS(L1742/$U$6)</f>
        <v>2.566764119332714E-2</v>
      </c>
      <c r="N1742" s="12">
        <f>L1742*SIN(RADIANS(K1742))</f>
        <v>0</v>
      </c>
      <c r="O1742" s="12">
        <f>L1742*COS(RADIANS(K1742))</f>
        <v>-8.8040009293112096</v>
      </c>
      <c r="P1742" s="5">
        <v>1.4143005106699524</v>
      </c>
      <c r="Q1742" s="5">
        <v>1.6908847062105059</v>
      </c>
      <c r="R1742" s="6">
        <f>P1742/Q1742</f>
        <v>0.83642634265678895</v>
      </c>
    </row>
    <row r="1743" spans="1:18" x14ac:dyDescent="0.35">
      <c r="A1743" s="9">
        <v>1744</v>
      </c>
      <c r="B1743" s="5">
        <v>0.25</v>
      </c>
      <c r="C1743" s="5">
        <v>2000000</v>
      </c>
      <c r="D1743" s="5">
        <v>30</v>
      </c>
      <c r="E1743" s="5">
        <v>0.125</v>
      </c>
      <c r="F1743" s="5">
        <v>7.4999999999999997E-2</v>
      </c>
      <c r="G1743" s="12">
        <f>(C1743*$U$4)/($U$5*$U$3)</f>
        <v>29.387755102040813</v>
      </c>
      <c r="H1743" s="11">
        <f>G1743*COS(RADIANS(D1743))</f>
        <v>25.450542478563094</v>
      </c>
      <c r="I1743" s="11">
        <f>G1743*SIN(RADIANS(D1743))</f>
        <v>14.693877551020405</v>
      </c>
      <c r="J1743" s="11">
        <v>0.19020000000000001</v>
      </c>
      <c r="K1743" s="12">
        <v>46</v>
      </c>
      <c r="L1743" s="12">
        <f>-(F1743*G1743*$U$3)/J1743</f>
        <v>-11.588231507113885</v>
      </c>
      <c r="M1743" s="11">
        <f>ABS(L1743/$U$6)</f>
        <v>3.3784931507620658E-2</v>
      </c>
      <c r="N1743" s="12">
        <f>L1743*SIN(RADIANS(K1743))</f>
        <v>-8.3358761386053679</v>
      </c>
      <c r="O1743" s="12">
        <f>L1743*COS(RADIANS(K1743))</f>
        <v>-8.0498620152333409</v>
      </c>
      <c r="P1743" s="5">
        <v>2.681427951248486</v>
      </c>
      <c r="Q1743" s="5">
        <v>1.0019565988644308</v>
      </c>
      <c r="R1743" s="6">
        <f>P1743/Q1743</f>
        <v>2.676191717572884</v>
      </c>
    </row>
    <row r="1744" spans="1:18" x14ac:dyDescent="0.35">
      <c r="A1744" s="9">
        <v>1745</v>
      </c>
      <c r="B1744" s="5">
        <v>0.25</v>
      </c>
      <c r="C1744" s="5">
        <v>4000000</v>
      </c>
      <c r="D1744" s="5">
        <v>10</v>
      </c>
      <c r="E1744" s="5">
        <v>0.125</v>
      </c>
      <c r="F1744" s="5">
        <v>2.5000000000000001E-2</v>
      </c>
      <c r="G1744" s="12">
        <f>(C1744*$U$4)/($U$5*$U$3)</f>
        <v>58.775510204081627</v>
      </c>
      <c r="H1744" s="11">
        <f>G1744*COS(RADIANS(D1744))</f>
        <v>57.882578136227728</v>
      </c>
      <c r="I1744" s="11">
        <f>G1744*SIN(RADIANS(D1744))</f>
        <v>10.206260238382843</v>
      </c>
      <c r="J1744" s="11">
        <v>0.19020000000000001</v>
      </c>
      <c r="K1744" s="12">
        <v>46</v>
      </c>
      <c r="L1744" s="12">
        <f>-(F1744*G1744*$U$3)/J1744</f>
        <v>-7.7254876714092564</v>
      </c>
      <c r="M1744" s="11">
        <f>ABS(L1744/$U$6)</f>
        <v>2.2523287671747102E-2</v>
      </c>
      <c r="N1744" s="12">
        <f>L1744*SIN(RADIANS(K1744))</f>
        <v>-5.5572507590702447</v>
      </c>
      <c r="O1744" s="12">
        <f>L1744*COS(RADIANS(K1744))</f>
        <v>-5.3665746768222276</v>
      </c>
      <c r="P1744" s="5">
        <v>2.1096808966156897</v>
      </c>
      <c r="Q1744" s="5">
        <v>0.45248922381417112</v>
      </c>
      <c r="R1744" s="6">
        <f>P1744/Q1744</f>
        <v>4.662389258317666</v>
      </c>
    </row>
    <row r="1745" spans="1:18" x14ac:dyDescent="0.35">
      <c r="A1745" s="9">
        <v>1746</v>
      </c>
      <c r="B1745" s="5">
        <v>1</v>
      </c>
      <c r="C1745" s="5">
        <v>4000000</v>
      </c>
      <c r="D1745" s="5">
        <v>15</v>
      </c>
      <c r="E1745" s="5">
        <v>0.125</v>
      </c>
      <c r="F1745" s="5">
        <v>1.4999999999999999E-2</v>
      </c>
      <c r="G1745" s="12">
        <f>(C1745*$U$4)/($U$5*$U$3)</f>
        <v>58.775510204081627</v>
      </c>
      <c r="H1745" s="11">
        <f>G1745*COS(RADIANS(D1745))</f>
        <v>56.772783259439109</v>
      </c>
      <c r="I1745" s="11">
        <f>G1745*SIN(RADIANS(D1745))</f>
        <v>15.212221426433871</v>
      </c>
      <c r="J1745" s="11">
        <v>0.33379999999999999</v>
      </c>
      <c r="K1745" s="12">
        <v>14</v>
      </c>
      <c r="L1745" s="12">
        <f>-(F1745*G1745*$U$3)/J1745</f>
        <v>-2.6412002787933626</v>
      </c>
      <c r="M1745" s="11">
        <f>ABS(L1745/$U$6)</f>
        <v>7.7002923579981416E-3</v>
      </c>
      <c r="N1745" s="12">
        <f>L1745*SIN(RADIANS(K1745))</f>
        <v>-0.63896417810406114</v>
      </c>
      <c r="O1745" s="12">
        <f>L1745*COS(RADIANS(K1745))</f>
        <v>-2.5627453427521703</v>
      </c>
      <c r="P1745" s="5">
        <v>1.8117384940164414</v>
      </c>
      <c r="Q1745" s="5">
        <v>1.8113333571240198</v>
      </c>
      <c r="R1745" s="6">
        <f>P1745/Q1745</f>
        <v>1.0002236677698382</v>
      </c>
    </row>
    <row r="1746" spans="1:18" x14ac:dyDescent="0.35">
      <c r="A1746" s="9">
        <v>1747</v>
      </c>
      <c r="B1746" s="5">
        <v>0.75</v>
      </c>
      <c r="C1746" s="5">
        <v>6000000</v>
      </c>
      <c r="D1746" s="5">
        <v>30</v>
      </c>
      <c r="E1746" s="5">
        <v>0.125</v>
      </c>
      <c r="F1746" s="5">
        <v>0.05</v>
      </c>
      <c r="G1746" s="12">
        <f>(C1746*$U$4)/($U$5*$U$3)</f>
        <v>88.16326530612244</v>
      </c>
      <c r="H1746" s="11">
        <f>G1746*COS(RADIANS(D1746))</f>
        <v>76.351627435689281</v>
      </c>
      <c r="I1746" s="11">
        <f>G1746*SIN(RADIANS(D1746))</f>
        <v>44.081632653061213</v>
      </c>
      <c r="J1746" s="12">
        <v>0.2802</v>
      </c>
      <c r="K1746" s="12">
        <v>19</v>
      </c>
      <c r="L1746" s="12">
        <f>-(F1746*G1746*$U$3)/J1746</f>
        <v>-15.732202945417994</v>
      </c>
      <c r="M1746" s="11">
        <f>ABS(L1746/$U$6)</f>
        <v>4.5866480890431466E-2</v>
      </c>
      <c r="N1746" s="12">
        <f>L1746*SIN(RADIANS(K1746))</f>
        <v>-5.1219042784851814</v>
      </c>
      <c r="O1746" s="12">
        <f>L1746*COS(RADIANS(K1746))</f>
        <v>-14.875090119990999</v>
      </c>
      <c r="P1746" s="5">
        <v>3.9328125509972809</v>
      </c>
      <c r="Q1746" s="5">
        <v>1.3020315912734826</v>
      </c>
      <c r="R1746" s="6">
        <f>P1746/Q1746</f>
        <v>3.0205200682962703</v>
      </c>
    </row>
    <row r="1747" spans="1:18" x14ac:dyDescent="0.35">
      <c r="A1747" s="9">
        <v>1748</v>
      </c>
      <c r="B1747" s="5">
        <v>0.5</v>
      </c>
      <c r="C1747" s="5">
        <v>4000000</v>
      </c>
      <c r="D1747" s="5">
        <v>5</v>
      </c>
      <c r="E1747" s="5">
        <v>0.25</v>
      </c>
      <c r="F1747" s="5">
        <v>7.4999999999999997E-2</v>
      </c>
      <c r="G1747" s="12">
        <f>(C1747*$U$4)/($U$5*$U$3)</f>
        <v>58.775510204081627</v>
      </c>
      <c r="H1747" s="11">
        <f>G1747*COS(RADIANS(D1747))</f>
        <v>58.551851642943404</v>
      </c>
      <c r="I1747" s="11">
        <f>G1747*SIN(RADIANS(D1747))</f>
        <v>5.1226232472092956</v>
      </c>
      <c r="J1747" s="11">
        <v>0.23580000000000001</v>
      </c>
      <c r="K1747" s="11">
        <v>49</v>
      </c>
      <c r="L1747" s="12">
        <f>-(F1747*G1747*$U$3)/J1747</f>
        <v>-18.694500701043772</v>
      </c>
      <c r="M1747" s="11">
        <f>ABS(L1747/$U$6)</f>
        <v>5.4502917495754435E-2</v>
      </c>
      <c r="N1747" s="12">
        <f>L1747*SIN(RADIANS(K1747))</f>
        <v>-14.108918776559062</v>
      </c>
      <c r="O1747" s="12">
        <f>L1747*COS(RADIANS(K1747))</f>
        <v>-12.264695977389135</v>
      </c>
      <c r="P1747" s="5">
        <v>4.6190371455587353</v>
      </c>
      <c r="Q1747" s="5">
        <v>4.1293897064238895E-2</v>
      </c>
      <c r="R1747" s="6">
        <f>P1747/Q1747</f>
        <v>111.85762240781308</v>
      </c>
    </row>
    <row r="1748" spans="1:18" x14ac:dyDescent="0.35">
      <c r="A1748" s="9">
        <v>1749</v>
      </c>
      <c r="B1748" s="5">
        <v>0.5</v>
      </c>
      <c r="C1748" s="5">
        <v>6000000</v>
      </c>
      <c r="D1748" s="5">
        <v>30</v>
      </c>
      <c r="E1748" s="5">
        <v>0</v>
      </c>
      <c r="F1748" s="5">
        <v>2.5000000000000001E-2</v>
      </c>
      <c r="G1748" s="12">
        <f>(C1748*$U$4)/($U$5*$U$3)</f>
        <v>88.16326530612244</v>
      </c>
      <c r="H1748" s="11">
        <f>G1748*COS(RADIANS(D1748))</f>
        <v>76.351627435689281</v>
      </c>
      <c r="I1748" s="11">
        <f>G1748*SIN(RADIANS(D1748))</f>
        <v>44.081632653061213</v>
      </c>
      <c r="J1748" s="12">
        <v>0.23230000000000001</v>
      </c>
      <c r="K1748" s="12">
        <v>0</v>
      </c>
      <c r="L1748" s="12">
        <f>-(F1748*G1748*$U$3)/J1748</f>
        <v>-9.4880827923076243</v>
      </c>
      <c r="M1748" s="11">
        <f>ABS(L1748/$U$6)</f>
        <v>2.7662048957165085E-2</v>
      </c>
      <c r="N1748" s="12">
        <f>L1748*SIN(RADIANS(K1748))</f>
        <v>0</v>
      </c>
      <c r="O1748" s="12">
        <f>L1748*COS(RADIANS(K1748))</f>
        <v>-9.4880827923076243</v>
      </c>
      <c r="P1748" s="5">
        <v>2.0011722074874387</v>
      </c>
      <c r="Q1748" s="5">
        <v>1.0118751424212911</v>
      </c>
      <c r="R1748" s="6">
        <f>P1748/Q1748</f>
        <v>1.9776868939569789</v>
      </c>
    </row>
    <row r="1749" spans="1:18" x14ac:dyDescent="0.35">
      <c r="A1749" s="9">
        <v>1750</v>
      </c>
      <c r="B1749" s="5">
        <v>0.25</v>
      </c>
      <c r="C1749" s="5">
        <v>4000000</v>
      </c>
      <c r="D1749" s="5">
        <v>30</v>
      </c>
      <c r="E1749" s="5">
        <v>0.125</v>
      </c>
      <c r="F1749" s="5">
        <v>0.05</v>
      </c>
      <c r="G1749" s="12">
        <f>(C1749*$U$4)/($U$5*$U$3)</f>
        <v>58.775510204081627</v>
      </c>
      <c r="H1749" s="11">
        <f>G1749*COS(RADIANS(D1749))</f>
        <v>50.901084957126187</v>
      </c>
      <c r="I1749" s="11">
        <f>G1749*SIN(RADIANS(D1749))</f>
        <v>29.38775510204081</v>
      </c>
      <c r="J1749" s="11">
        <v>0.19020000000000001</v>
      </c>
      <c r="K1749" s="12">
        <v>46</v>
      </c>
      <c r="L1749" s="12">
        <f>-(F1749*G1749*$U$3)/J1749</f>
        <v>-15.450975342818513</v>
      </c>
      <c r="M1749" s="11">
        <f>ABS(L1749/$U$6)</f>
        <v>4.5046575343494204E-2</v>
      </c>
      <c r="N1749" s="12">
        <f>L1749*SIN(RADIANS(K1749))</f>
        <v>-11.114501518140489</v>
      </c>
      <c r="O1749" s="12">
        <f>L1749*COS(RADIANS(K1749))</f>
        <v>-10.733149353644455</v>
      </c>
      <c r="P1749" s="5">
        <v>2.3280977789779826</v>
      </c>
      <c r="Q1749" s="5">
        <v>0.92907894281944836</v>
      </c>
      <c r="R1749" s="6">
        <f>P1749/Q1749</f>
        <v>2.5058126620682772</v>
      </c>
    </row>
    <row r="1750" spans="1:18" x14ac:dyDescent="0.35">
      <c r="A1750" s="9">
        <v>1751</v>
      </c>
      <c r="B1750" s="5">
        <v>0.75</v>
      </c>
      <c r="C1750" s="5">
        <v>4000000</v>
      </c>
      <c r="D1750" s="5">
        <v>5</v>
      </c>
      <c r="E1750" s="5">
        <v>0.125</v>
      </c>
      <c r="F1750" s="5">
        <v>0.15</v>
      </c>
      <c r="G1750" s="12">
        <f>(C1750*$U$4)/($U$5*$U$3)</f>
        <v>58.775510204081627</v>
      </c>
      <c r="H1750" s="11">
        <f>G1750*COS(RADIANS(D1750))</f>
        <v>58.551851642943404</v>
      </c>
      <c r="I1750" s="11">
        <f>G1750*SIN(RADIANS(D1750))</f>
        <v>5.1226232472092956</v>
      </c>
      <c r="J1750" s="12">
        <v>0.2802</v>
      </c>
      <c r="K1750" s="12">
        <v>19</v>
      </c>
      <c r="L1750" s="12">
        <f>-(F1750*G1750*$U$3)/J1750</f>
        <v>-31.464405890835987</v>
      </c>
      <c r="M1750" s="11">
        <f>ABS(L1750/$U$6)</f>
        <v>9.1732961780862932E-2</v>
      </c>
      <c r="N1750" s="12">
        <f>L1750*SIN(RADIANS(K1750))</f>
        <v>-10.243808556970363</v>
      </c>
      <c r="O1750" s="12">
        <f>L1750*COS(RADIANS(K1750))</f>
        <v>-29.750180239981997</v>
      </c>
      <c r="P1750" s="5">
        <v>4.5463330566728883</v>
      </c>
      <c r="Q1750" s="5">
        <v>1.0282578222635019E-2</v>
      </c>
      <c r="R1750" s="6">
        <f>P1750/Q1750</f>
        <v>442.13940883669181</v>
      </c>
    </row>
    <row r="1751" spans="1:18" x14ac:dyDescent="0.35">
      <c r="A1751" s="9">
        <v>1752</v>
      </c>
      <c r="B1751" s="5">
        <v>0.5</v>
      </c>
      <c r="C1751" s="5">
        <v>2000000</v>
      </c>
      <c r="D1751" s="5">
        <v>30</v>
      </c>
      <c r="E1751" s="5">
        <v>0.375</v>
      </c>
      <c r="F1751" s="5">
        <v>0</v>
      </c>
      <c r="G1751" s="12">
        <f>(C1751*$U$4)/($U$5*$U$3)</f>
        <v>29.387755102040813</v>
      </c>
      <c r="H1751" s="11">
        <f>G1751*COS(RADIANS(D1751))</f>
        <v>25.450542478563094</v>
      </c>
      <c r="I1751" s="11">
        <f>G1751*SIN(RADIANS(D1751))</f>
        <v>14.693877551020405</v>
      </c>
      <c r="J1751" s="12">
        <v>0.24809999999999999</v>
      </c>
      <c r="K1751" s="12">
        <v>67</v>
      </c>
      <c r="L1751" s="12">
        <f>-(F1751*G1751*$U$3)/J1751</f>
        <v>0</v>
      </c>
      <c r="M1751" s="11">
        <f>ABS(L1751/$U$6)</f>
        <v>0</v>
      </c>
      <c r="N1751" s="12">
        <f>L1751*SIN(RADIANS(K1751))</f>
        <v>0</v>
      </c>
      <c r="O1751" s="12">
        <f>L1751*COS(RADIANS(K1751))</f>
        <v>0</v>
      </c>
      <c r="P1751" s="5">
        <v>3.5287219669674066</v>
      </c>
      <c r="Q1751" s="5">
        <v>1.7227388118535565</v>
      </c>
      <c r="R1751" s="6">
        <f>P1751/Q1751</f>
        <v>2.0483209310009842</v>
      </c>
    </row>
    <row r="1752" spans="1:18" x14ac:dyDescent="0.35">
      <c r="A1752" s="9">
        <v>1753</v>
      </c>
      <c r="B1752" s="5">
        <v>0.25</v>
      </c>
      <c r="C1752" s="5">
        <v>4000000</v>
      </c>
      <c r="D1752" s="5">
        <v>30</v>
      </c>
      <c r="E1752" s="5">
        <v>0.375</v>
      </c>
      <c r="F1752" s="5">
        <v>7.4999999999999997E-2</v>
      </c>
      <c r="G1752" s="12">
        <f>(C1752*$U$4)/($U$5*$U$3)</f>
        <v>58.775510204081627</v>
      </c>
      <c r="H1752" s="11">
        <f>G1752*COS(RADIANS(D1752))</f>
        <v>50.901084957126187</v>
      </c>
      <c r="I1752" s="11">
        <f>G1752*SIN(RADIANS(D1752))</f>
        <v>29.38775510204081</v>
      </c>
      <c r="J1752" s="11">
        <v>0.1976</v>
      </c>
      <c r="K1752" s="12">
        <v>78</v>
      </c>
      <c r="L1752" s="12">
        <f>-(F1752*G1752*$U$3)/J1752</f>
        <v>-22.308518549120052</v>
      </c>
      <c r="M1752" s="11">
        <f>ABS(L1752/$U$6)</f>
        <v>6.5039412679650299E-2</v>
      </c>
      <c r="N1752" s="12">
        <f>L1752*SIN(RADIANS(K1752))</f>
        <v>-21.821023894747377</v>
      </c>
      <c r="O1752" s="12">
        <f>L1752*COS(RADIANS(K1752))</f>
        <v>-4.6382018111869003</v>
      </c>
      <c r="P1752" s="5">
        <v>2.7854618849831736</v>
      </c>
      <c r="Q1752" s="5">
        <v>0.97287721334590704</v>
      </c>
      <c r="R1752" s="6">
        <f>P1752/Q1752</f>
        <v>2.8631176131707807</v>
      </c>
    </row>
    <row r="1753" spans="1:18" x14ac:dyDescent="0.35">
      <c r="A1753" s="9">
        <v>1754</v>
      </c>
      <c r="B1753" s="5">
        <v>0.25</v>
      </c>
      <c r="C1753" s="5">
        <v>2000000</v>
      </c>
      <c r="D1753" s="5">
        <v>10</v>
      </c>
      <c r="E1753" s="5">
        <v>0.375</v>
      </c>
      <c r="F1753" s="5">
        <v>0.1</v>
      </c>
      <c r="G1753" s="12">
        <f>(C1753*$U$4)/($U$5*$U$3)</f>
        <v>29.387755102040813</v>
      </c>
      <c r="H1753" s="11">
        <f>G1753*COS(RADIANS(D1753))</f>
        <v>28.941289068113864</v>
      </c>
      <c r="I1753" s="11">
        <f>G1753*SIN(RADIANS(D1753))</f>
        <v>5.1031301191914213</v>
      </c>
      <c r="J1753" s="11">
        <v>0.1976</v>
      </c>
      <c r="K1753" s="12">
        <v>78</v>
      </c>
      <c r="L1753" s="12">
        <f>-(F1753*G1753*$U$3)/J1753</f>
        <v>-14.872345699413367</v>
      </c>
      <c r="M1753" s="11">
        <f>ABS(L1753/$U$6)</f>
        <v>4.3359608453100197E-2</v>
      </c>
      <c r="N1753" s="12">
        <f>L1753*SIN(RADIANS(K1753))</f>
        <v>-14.547349263164916</v>
      </c>
      <c r="O1753" s="12">
        <f>L1753*COS(RADIANS(K1753))</f>
        <v>-3.0921345407912666</v>
      </c>
      <c r="P1753" s="5">
        <v>2.6377452479175632</v>
      </c>
      <c r="Q1753" s="5">
        <v>0.26811713699978296</v>
      </c>
      <c r="R1753" s="6">
        <f>P1753/Q1753</f>
        <v>9.8380330233039093</v>
      </c>
    </row>
    <row r="1754" spans="1:18" x14ac:dyDescent="0.35">
      <c r="A1754" s="9">
        <v>110</v>
      </c>
      <c r="B1754" s="5">
        <v>0.5</v>
      </c>
      <c r="C1754" s="5">
        <v>4000000</v>
      </c>
      <c r="D1754" s="5">
        <v>20</v>
      </c>
      <c r="E1754" s="5">
        <v>0.125</v>
      </c>
      <c r="F1754" s="5">
        <v>0.15</v>
      </c>
      <c r="G1754" s="12">
        <f>(C1754*$U$4)/($U$5*$U$3)</f>
        <v>58.775510204081627</v>
      </c>
      <c r="H1754" s="11">
        <f>G1754*COS(RADIANS(D1754))</f>
        <v>55.230913221702366</v>
      </c>
      <c r="I1754" s="11">
        <f>G1754*SIN(RADIANS(D1754))</f>
        <v>20.102408424039304</v>
      </c>
      <c r="J1754" s="19">
        <v>0.23300000000000001</v>
      </c>
      <c r="K1754" s="11">
        <v>27</v>
      </c>
      <c r="L1754" s="12">
        <f>-(F1754*G1754*$U$3)/J1754</f>
        <v>-37.838311290181302</v>
      </c>
      <c r="M1754" s="11">
        <f>ABS(L1754/$U$6)</f>
        <v>0.11031577635621372</v>
      </c>
      <c r="N1754" s="12">
        <f>L1754*SIN(RADIANS(K1754))</f>
        <v>-17.178233851929942</v>
      </c>
      <c r="O1754" s="12">
        <f>L1754*COS(RADIANS(K1754))</f>
        <v>-33.714182223821922</v>
      </c>
      <c r="P1754" s="5">
        <v>5.2119550271009185</v>
      </c>
      <c r="Q1754" s="5">
        <v>0.9110222636498404</v>
      </c>
      <c r="R1754" s="6">
        <f>P1754/Q1754</f>
        <v>5.7209963302325839</v>
      </c>
    </row>
    <row r="1755" spans="1:18" x14ac:dyDescent="0.35">
      <c r="A1755" s="9">
        <v>1756</v>
      </c>
      <c r="B1755" s="5">
        <v>0.1</v>
      </c>
      <c r="C1755" s="5">
        <v>4000000</v>
      </c>
      <c r="D1755" s="5">
        <v>20</v>
      </c>
      <c r="E1755" s="5">
        <v>0.25</v>
      </c>
      <c r="F1755" s="5">
        <v>0</v>
      </c>
      <c r="G1755" s="12">
        <f>(C1755*$U$4)/($U$5*$U$3)</f>
        <v>58.775510204081627</v>
      </c>
      <c r="H1755" s="11">
        <f>G1755*COS(RADIANS(D1755))</f>
        <v>55.230913221702366</v>
      </c>
      <c r="I1755" s="11">
        <f>G1755*SIN(RADIANS(D1755))</f>
        <v>20.102408424039304</v>
      </c>
      <c r="J1755" s="11">
        <v>0.1661</v>
      </c>
      <c r="K1755" s="12">
        <v>80</v>
      </c>
      <c r="L1755" s="12">
        <f>-(F1755*G1755*$U$3)/J1755</f>
        <v>0</v>
      </c>
      <c r="M1755" s="11">
        <f>ABS(L1755/$U$6)</f>
        <v>0</v>
      </c>
      <c r="N1755" s="12">
        <f>L1755*SIN(RADIANS(K1755))</f>
        <v>0</v>
      </c>
      <c r="O1755" s="12">
        <f>L1755*COS(RADIANS(K1755))</f>
        <v>0</v>
      </c>
      <c r="P1755" s="5">
        <v>1.5064838654060475</v>
      </c>
      <c r="Q1755" s="5">
        <v>0.80639302611448582</v>
      </c>
      <c r="R1755" s="6">
        <f>P1755/Q1755</f>
        <v>1.8681757116190236</v>
      </c>
    </row>
    <row r="1756" spans="1:18" x14ac:dyDescent="0.35">
      <c r="A1756" s="9">
        <v>339</v>
      </c>
      <c r="B1756" s="5">
        <v>0.5</v>
      </c>
      <c r="C1756" s="5">
        <v>4000000</v>
      </c>
      <c r="D1756" s="5">
        <v>0</v>
      </c>
      <c r="E1756" s="5">
        <v>0.125</v>
      </c>
      <c r="F1756" s="5">
        <v>0.15</v>
      </c>
      <c r="G1756" s="12">
        <f>(C1756*$U$4)/($U$5*$U$3)</f>
        <v>58.775510204081627</v>
      </c>
      <c r="H1756" s="11">
        <f>G1756*COS(RADIANS(D1756))</f>
        <v>58.775510204081627</v>
      </c>
      <c r="I1756" s="11">
        <f>G1756*SIN(RADIANS(D1756))</f>
        <v>0</v>
      </c>
      <c r="J1756" s="12">
        <v>0.23300000000000001</v>
      </c>
      <c r="K1756" s="11">
        <v>27</v>
      </c>
      <c r="L1756" s="12">
        <f>-(F1756*G1756*$U$3)/J1756</f>
        <v>-37.838311290181302</v>
      </c>
      <c r="M1756" s="11">
        <f>ABS(L1756/$U$6)</f>
        <v>0.11031577635621372</v>
      </c>
      <c r="N1756" s="12">
        <f>L1756*SIN(RADIANS(K1756))</f>
        <v>-17.178233851929942</v>
      </c>
      <c r="O1756" s="12">
        <f>L1756*COS(RADIANS(K1756))</f>
        <v>-33.714182223821922</v>
      </c>
      <c r="P1756" s="5">
        <v>5.3726745469268709</v>
      </c>
      <c r="Q1756" s="5">
        <v>-0.26763105506322338</v>
      </c>
      <c r="R1756" s="6">
        <f>P1756/Q1756</f>
        <v>-20.074929442166816</v>
      </c>
    </row>
    <row r="1757" spans="1:18" x14ac:dyDescent="0.35">
      <c r="A1757" s="9">
        <v>1758</v>
      </c>
      <c r="B1757" s="5">
        <v>1</v>
      </c>
      <c r="C1757" s="5">
        <v>4000000</v>
      </c>
      <c r="D1757" s="5">
        <v>30</v>
      </c>
      <c r="E1757" s="5">
        <v>0.375</v>
      </c>
      <c r="F1757" s="5">
        <v>0.15</v>
      </c>
      <c r="G1757" s="12">
        <f>(C1757*$U$4)/($U$5*$U$3)</f>
        <v>58.775510204081627</v>
      </c>
      <c r="H1757" s="11">
        <f>G1757*COS(RADIANS(D1757))</f>
        <v>50.901084957126187</v>
      </c>
      <c r="I1757" s="11">
        <f>G1757*SIN(RADIANS(D1757))</f>
        <v>29.38775510204081</v>
      </c>
      <c r="J1757" s="12">
        <v>0.33379999999999999</v>
      </c>
      <c r="K1757" s="11">
        <v>49</v>
      </c>
      <c r="L1757" s="12">
        <f>-(F1757*G1757*$U$3)/J1757</f>
        <v>-26.412002787933627</v>
      </c>
      <c r="M1757" s="11">
        <f>ABS(L1757/$U$6)</f>
        <v>7.7002923579981425E-2</v>
      </c>
      <c r="N1757" s="12">
        <f>L1757*SIN(RADIANS(K1757))</f>
        <v>-19.933391536924074</v>
      </c>
      <c r="O1757" s="12">
        <f>L1757*COS(RADIANS(K1757))</f>
        <v>-17.327832902746305</v>
      </c>
      <c r="P1757" s="5">
        <v>10.823814505460971</v>
      </c>
      <c r="Q1757" s="5">
        <v>2.0649325335864583</v>
      </c>
      <c r="R1757" s="6">
        <f>P1757/Q1757</f>
        <v>5.241727915759907</v>
      </c>
    </row>
    <row r="1758" spans="1:18" x14ac:dyDescent="0.35">
      <c r="A1758" s="9">
        <v>1759</v>
      </c>
      <c r="B1758" s="5">
        <v>1</v>
      </c>
      <c r="C1758" s="5">
        <v>4000000</v>
      </c>
      <c r="D1758" s="5">
        <v>30</v>
      </c>
      <c r="E1758" s="5">
        <v>0.25</v>
      </c>
      <c r="F1758" s="5">
        <v>3.5000000000000003E-2</v>
      </c>
      <c r="G1758" s="12">
        <f>(C1758*$U$4)/($U$5*$U$3)</f>
        <v>58.775510204081627</v>
      </c>
      <c r="H1758" s="11">
        <f>G1758*COS(RADIANS(D1758))</f>
        <v>50.901084957126187</v>
      </c>
      <c r="I1758" s="11">
        <f>G1758*SIN(RADIANS(D1758))</f>
        <v>29.38775510204081</v>
      </c>
      <c r="J1758" s="13">
        <v>0.33379999999999999</v>
      </c>
      <c r="K1758" s="12">
        <v>30</v>
      </c>
      <c r="L1758" s="12">
        <f>-(F1758*G1758*$U$3)/J1758</f>
        <v>-6.1628006505178465</v>
      </c>
      <c r="M1758" s="11">
        <f>ABS(L1758/$U$6)</f>
        <v>1.7967348835328998E-2</v>
      </c>
      <c r="N1758" s="12">
        <f>L1758*SIN(RADIANS(K1758))</f>
        <v>-3.0814003252589228</v>
      </c>
      <c r="O1758" s="12">
        <f>L1758*COS(RADIANS(K1758))</f>
        <v>-5.3371419218077198</v>
      </c>
      <c r="P1758" s="5">
        <v>3.3998467858413872</v>
      </c>
      <c r="Q1758" s="5">
        <v>1.5877166362813497</v>
      </c>
      <c r="R1758" s="6">
        <f>P1758/Q1758</f>
        <v>2.1413435547317152</v>
      </c>
    </row>
    <row r="1759" spans="1:18" x14ac:dyDescent="0.35">
      <c r="A1759" s="9">
        <v>1760</v>
      </c>
      <c r="B1759" s="5">
        <v>0.5</v>
      </c>
      <c r="C1759" s="5">
        <v>6000000</v>
      </c>
      <c r="D1759" s="5">
        <v>15</v>
      </c>
      <c r="E1759" s="5">
        <v>0.375</v>
      </c>
      <c r="F1759" s="5">
        <v>1.4999999999999999E-2</v>
      </c>
      <c r="G1759" s="12">
        <f>(C1759*$U$4)/($U$5*$U$3)</f>
        <v>88.16326530612244</v>
      </c>
      <c r="H1759" s="11">
        <f>G1759*COS(RADIANS(D1759))</f>
        <v>85.159174889158663</v>
      </c>
      <c r="I1759" s="11">
        <f>G1759*SIN(RADIANS(D1759))</f>
        <v>22.818332139650806</v>
      </c>
      <c r="J1759" s="12">
        <v>0.24809999999999999</v>
      </c>
      <c r="K1759" s="12">
        <v>67</v>
      </c>
      <c r="L1759" s="12">
        <f>-(F1759*G1759*$U$3)/J1759</f>
        <v>-5.3303062458356978</v>
      </c>
      <c r="M1759" s="11">
        <f>ABS(L1759/$U$6)</f>
        <v>1.5540251445585124E-2</v>
      </c>
      <c r="N1759" s="12">
        <f>L1759*SIN(RADIANS(K1759))</f>
        <v>-4.9065727696796166</v>
      </c>
      <c r="O1759" s="12">
        <f>L1759*COS(RADIANS(K1759))</f>
        <v>-2.0827165746288063</v>
      </c>
      <c r="P1759" s="5">
        <v>3.3292402261132192</v>
      </c>
      <c r="Q1759" s="5">
        <v>0.47148713408151954</v>
      </c>
      <c r="R1759" s="6">
        <f>P1759/Q1759</f>
        <v>7.0611475594105979</v>
      </c>
    </row>
    <row r="1760" spans="1:18" x14ac:dyDescent="0.35">
      <c r="A1760" s="9">
        <v>1761</v>
      </c>
      <c r="B1760" s="5">
        <v>0.75</v>
      </c>
      <c r="C1760" s="5">
        <v>2000000</v>
      </c>
      <c r="D1760" s="5">
        <v>30</v>
      </c>
      <c r="E1760" s="5">
        <v>0</v>
      </c>
      <c r="F1760" s="5">
        <v>3.5000000000000003E-2</v>
      </c>
      <c r="G1760" s="12">
        <f>(C1760*$U$4)/($U$5*$U$3)</f>
        <v>29.387755102040813</v>
      </c>
      <c r="H1760" s="11">
        <f>G1760*COS(RADIANS(D1760))</f>
        <v>25.450542478563094</v>
      </c>
      <c r="I1760" s="11">
        <f>G1760*SIN(RADIANS(D1760))</f>
        <v>14.693877551020405</v>
      </c>
      <c r="J1760" s="11">
        <v>0.27929999999999999</v>
      </c>
      <c r="K1760" s="12">
        <v>0</v>
      </c>
      <c r="L1760" s="12">
        <f>-(F1760*G1760*$U$3)/J1760</f>
        <v>-3.6826760779499765</v>
      </c>
      <c r="M1760" s="11">
        <f>ABS(L1760/$U$6)</f>
        <v>1.0736664950291477E-2</v>
      </c>
      <c r="N1760" s="12">
        <f>L1760*SIN(RADIANS(K1760))</f>
        <v>0</v>
      </c>
      <c r="O1760" s="12">
        <f>L1760*COS(RADIANS(K1760))</f>
        <v>-3.6826760779499765</v>
      </c>
      <c r="P1760" s="5">
        <v>3.6429672848974737</v>
      </c>
      <c r="Q1760" s="5">
        <v>1.4244985712419476</v>
      </c>
      <c r="R1760" s="6">
        <f>P1760/Q1760</f>
        <v>2.5573681563761461</v>
      </c>
    </row>
    <row r="1761" spans="1:18" x14ac:dyDescent="0.35">
      <c r="A1761" s="9">
        <v>1762</v>
      </c>
      <c r="B1761" s="5">
        <v>0.1</v>
      </c>
      <c r="C1761" s="5">
        <v>2000000</v>
      </c>
      <c r="D1761" s="5">
        <v>15</v>
      </c>
      <c r="E1761" s="5">
        <v>0.25</v>
      </c>
      <c r="F1761" s="5">
        <v>0.05</v>
      </c>
      <c r="G1761" s="12">
        <f>(C1761*$U$4)/($U$5*$U$3)</f>
        <v>29.387755102040813</v>
      </c>
      <c r="H1761" s="11">
        <f>G1761*COS(RADIANS(D1761))</f>
        <v>28.386391629719554</v>
      </c>
      <c r="I1761" s="11">
        <f>G1761*SIN(RADIANS(D1761))</f>
        <v>7.6061107132169354</v>
      </c>
      <c r="J1761" s="11">
        <v>0.1661</v>
      </c>
      <c r="K1761" s="12">
        <v>80</v>
      </c>
      <c r="L1761" s="12">
        <f>-(F1761*G1761*$U$3)/J1761</f>
        <v>-8.8464043052500951</v>
      </c>
      <c r="M1761" s="11">
        <f>ABS(L1761/$U$6)</f>
        <v>2.5791266196064418E-2</v>
      </c>
      <c r="N1761" s="12">
        <f>L1761*SIN(RADIANS(K1761))</f>
        <v>-8.7120075460908701</v>
      </c>
      <c r="O1761" s="12">
        <f>L1761*COS(RADIANS(K1761))</f>
        <v>-1.5361619865115665</v>
      </c>
      <c r="P1761" s="5">
        <v>1.6795954807141411</v>
      </c>
      <c r="Q1761" s="5">
        <v>0.63782293308757676</v>
      </c>
      <c r="R1761" s="6">
        <f>P1761/Q1761</f>
        <v>2.6333256356643466</v>
      </c>
    </row>
    <row r="1762" spans="1:18" x14ac:dyDescent="0.35">
      <c r="A1762" s="9">
        <v>1763</v>
      </c>
      <c r="B1762" s="5">
        <v>0.1</v>
      </c>
      <c r="C1762" s="5">
        <v>4000000</v>
      </c>
      <c r="D1762" s="5">
        <v>5</v>
      </c>
      <c r="E1762" s="5">
        <v>0.125</v>
      </c>
      <c r="F1762" s="5">
        <v>2.5000000000000001E-2</v>
      </c>
      <c r="G1762" s="12">
        <f>(C1762*$U$4)/($U$5*$U$3)</f>
        <v>58.775510204081627</v>
      </c>
      <c r="H1762" s="11">
        <f>G1762*COS(RADIANS(D1762))</f>
        <v>58.551851642943404</v>
      </c>
      <c r="I1762" s="11">
        <f>G1762*SIN(RADIANS(D1762))</f>
        <v>5.1226232472092956</v>
      </c>
      <c r="J1762" s="12">
        <v>0.1658</v>
      </c>
      <c r="K1762" s="12">
        <v>69</v>
      </c>
      <c r="L1762" s="12">
        <f>-(F1762*G1762*$U$3)/J1762</f>
        <v>-8.8624110681667112</v>
      </c>
      <c r="M1762" s="11">
        <f>ABS(L1762/$U$6)</f>
        <v>2.5837933143343182E-2</v>
      </c>
      <c r="N1762" s="12">
        <f>L1762*SIN(RADIANS(K1762))</f>
        <v>-8.2737735048125991</v>
      </c>
      <c r="O1762" s="12">
        <f>L1762*COS(RADIANS(K1762))</f>
        <v>-3.1760040825264797</v>
      </c>
      <c r="P1762" s="5">
        <v>1.4354099709800494</v>
      </c>
      <c r="Q1762" s="5">
        <v>0.33559434795508775</v>
      </c>
      <c r="R1762" s="6">
        <f>P1762/Q1762</f>
        <v>4.2772173599662322</v>
      </c>
    </row>
    <row r="1763" spans="1:18" x14ac:dyDescent="0.35">
      <c r="A1763" s="9">
        <v>1764</v>
      </c>
      <c r="B1763" s="5">
        <v>0.5</v>
      </c>
      <c r="C1763" s="5">
        <v>6000000</v>
      </c>
      <c r="D1763" s="5">
        <v>20</v>
      </c>
      <c r="E1763" s="5">
        <v>0.375</v>
      </c>
      <c r="F1763" s="5">
        <v>1.4999999999999999E-2</v>
      </c>
      <c r="G1763" s="12">
        <f>(C1763*$U$4)/($U$5*$U$3)</f>
        <v>88.16326530612244</v>
      </c>
      <c r="H1763" s="11">
        <f>G1763*COS(RADIANS(D1763))</f>
        <v>82.846369832553549</v>
      </c>
      <c r="I1763" s="11">
        <f>G1763*SIN(RADIANS(D1763))</f>
        <v>30.153612636058952</v>
      </c>
      <c r="J1763" s="12">
        <v>0.24809999999999999</v>
      </c>
      <c r="K1763" s="12">
        <v>67</v>
      </c>
      <c r="L1763" s="12">
        <f>-(F1763*G1763*$U$3)/J1763</f>
        <v>-5.3303062458356978</v>
      </c>
      <c r="M1763" s="11">
        <f>ABS(L1763/$U$6)</f>
        <v>1.5540251445585124E-2</v>
      </c>
      <c r="N1763" s="12">
        <f>L1763*SIN(RADIANS(K1763))</f>
        <v>-4.9065727696796166</v>
      </c>
      <c r="O1763" s="12">
        <f>L1763*COS(RADIANS(K1763))</f>
        <v>-2.0827165746288063</v>
      </c>
      <c r="P1763" s="5">
        <v>3.3951110684410319</v>
      </c>
      <c r="Q1763" s="5">
        <v>0.6845979404312208</v>
      </c>
      <c r="R1763" s="6">
        <f>P1763/Q1763</f>
        <v>4.9592773625677111</v>
      </c>
    </row>
    <row r="1764" spans="1:18" x14ac:dyDescent="0.35">
      <c r="A1764" s="9">
        <v>1765</v>
      </c>
      <c r="B1764" s="5">
        <v>0.1</v>
      </c>
      <c r="C1764" s="5">
        <v>6000000</v>
      </c>
      <c r="D1764" s="5">
        <v>15</v>
      </c>
      <c r="E1764" s="5">
        <v>0.375</v>
      </c>
      <c r="F1764" s="5">
        <v>2.5000000000000001E-2</v>
      </c>
      <c r="G1764" s="12">
        <f>(C1764*$U$4)/($U$5*$U$3)</f>
        <v>88.16326530612244</v>
      </c>
      <c r="H1764" s="11">
        <f>G1764*COS(RADIANS(D1764))</f>
        <v>85.159174889158663</v>
      </c>
      <c r="I1764" s="11">
        <f>G1764*SIN(RADIANS(D1764))</f>
        <v>22.818332139650806</v>
      </c>
      <c r="J1764" s="12">
        <v>0.16789999999999999</v>
      </c>
      <c r="K1764" s="11">
        <v>85</v>
      </c>
      <c r="L1764" s="12">
        <f>-(F1764*G1764*$U$3)/J1764</f>
        <v>-13.127347424973562</v>
      </c>
      <c r="M1764" s="11">
        <f>ABS(L1764/$U$6)</f>
        <v>3.8272149927036626E-2</v>
      </c>
      <c r="N1764" s="12">
        <f>L1764*SIN(RADIANS(K1764))</f>
        <v>-13.077393904766991</v>
      </c>
      <c r="O1764" s="12">
        <f>L1764*COS(RADIANS(K1764))</f>
        <v>-1.1441237151301282</v>
      </c>
      <c r="P1764" s="5">
        <v>1.8173043770176414</v>
      </c>
      <c r="Q1764" s="5">
        <v>0.68325506211992615</v>
      </c>
      <c r="R1764" s="6">
        <f>P1764/Q1764</f>
        <v>2.6597744792100273</v>
      </c>
    </row>
    <row r="1765" spans="1:18" x14ac:dyDescent="0.35">
      <c r="A1765" s="9">
        <v>1766</v>
      </c>
      <c r="B1765" s="5">
        <v>1</v>
      </c>
      <c r="C1765" s="5">
        <v>2000000</v>
      </c>
      <c r="D1765" s="5">
        <v>15</v>
      </c>
      <c r="E1765" s="5">
        <v>0.25</v>
      </c>
      <c r="F1765" s="5">
        <v>0.1</v>
      </c>
      <c r="G1765" s="12">
        <f>(C1765*$U$4)/($U$5*$U$3)</f>
        <v>29.387755102040813</v>
      </c>
      <c r="H1765" s="11">
        <f>G1765*COS(RADIANS(D1765))</f>
        <v>28.386391629719554</v>
      </c>
      <c r="I1765" s="11">
        <f>G1765*SIN(RADIANS(D1765))</f>
        <v>7.6061107132169354</v>
      </c>
      <c r="J1765" s="13">
        <v>0.33379999999999999</v>
      </c>
      <c r="K1765" s="12">
        <v>30</v>
      </c>
      <c r="L1765" s="12">
        <f>-(F1765*G1765*$U$3)/J1765</f>
        <v>-8.8040009293112096</v>
      </c>
      <c r="M1765" s="11">
        <f>ABS(L1765/$U$6)</f>
        <v>2.566764119332714E-2</v>
      </c>
      <c r="N1765" s="12">
        <f>L1765*SIN(RADIANS(K1765))</f>
        <v>-4.4020004646556039</v>
      </c>
      <c r="O1765" s="12">
        <f>L1765*COS(RADIANS(K1765))</f>
        <v>-7.6244884597253142</v>
      </c>
      <c r="P1765" s="5">
        <v>9.6167864889950252</v>
      </c>
      <c r="Q1765" s="5">
        <v>-0.10261244568196555</v>
      </c>
      <c r="R1765" s="6">
        <f>P1765/Q1765</f>
        <v>-93.719494015385351</v>
      </c>
    </row>
    <row r="1766" spans="1:18" x14ac:dyDescent="0.35">
      <c r="A1766" s="9">
        <v>1767</v>
      </c>
      <c r="B1766" s="5">
        <v>0.25</v>
      </c>
      <c r="C1766" s="5">
        <v>4000000</v>
      </c>
      <c r="D1766" s="5">
        <v>5</v>
      </c>
      <c r="E1766" s="5">
        <v>0.25</v>
      </c>
      <c r="F1766" s="5">
        <v>3.5000000000000003E-2</v>
      </c>
      <c r="G1766" s="12">
        <f>(C1766*$U$4)/($U$5*$U$3)</f>
        <v>58.775510204081627</v>
      </c>
      <c r="H1766" s="11">
        <f>G1766*COS(RADIANS(D1766))</f>
        <v>58.551851642943404</v>
      </c>
      <c r="I1766" s="11">
        <f>G1766*SIN(RADIANS(D1766))</f>
        <v>5.1226232472092956</v>
      </c>
      <c r="J1766" s="12">
        <v>0.1913</v>
      </c>
      <c r="K1766" s="11">
        <v>67</v>
      </c>
      <c r="L1766" s="12">
        <f>-(F1766*G1766*$U$3)/J1766</f>
        <v>-10.753491150772906</v>
      </c>
      <c r="M1766" s="11">
        <f>ABS(L1766/$U$6)</f>
        <v>3.1351286153856871E-2</v>
      </c>
      <c r="N1766" s="12">
        <f>L1766*SIN(RADIANS(K1766))</f>
        <v>-9.8986407958443277</v>
      </c>
      <c r="O1766" s="12">
        <f>L1766*COS(RADIANS(K1766))</f>
        <v>-4.2017237325409162</v>
      </c>
      <c r="P1766" s="5">
        <v>2.0599527789962604</v>
      </c>
      <c r="Q1766" s="5">
        <v>0.25522964125336089</v>
      </c>
      <c r="R1766" s="6">
        <f>P1766/Q1766</f>
        <v>8.070977841289956</v>
      </c>
    </row>
    <row r="1767" spans="1:18" x14ac:dyDescent="0.35">
      <c r="A1767" s="9">
        <v>941</v>
      </c>
      <c r="B1767" s="5">
        <v>0.5</v>
      </c>
      <c r="C1767" s="5">
        <v>4000000</v>
      </c>
      <c r="D1767" s="5">
        <v>5</v>
      </c>
      <c r="E1767" s="5">
        <v>0.125</v>
      </c>
      <c r="F1767" s="5">
        <v>0.15</v>
      </c>
      <c r="G1767" s="12">
        <f>(C1767*$U$4)/($U$5*$U$3)</f>
        <v>58.775510204081627</v>
      </c>
      <c r="H1767" s="11">
        <f>G1767*COS(RADIANS(D1767))</f>
        <v>58.551851642943404</v>
      </c>
      <c r="I1767" s="11">
        <f>G1767*SIN(RADIANS(D1767))</f>
        <v>5.1226232472092956</v>
      </c>
      <c r="J1767" s="12">
        <v>0.23300000000000001</v>
      </c>
      <c r="K1767" s="20">
        <v>27</v>
      </c>
      <c r="L1767" s="12">
        <f>-(F1767*G1767*$U$3)/J1767</f>
        <v>-37.838311290181302</v>
      </c>
      <c r="M1767" s="11">
        <f>ABS(L1767/$U$6)</f>
        <v>0.11031577635621372</v>
      </c>
      <c r="N1767" s="12">
        <f>L1767*SIN(RADIANS(K1767))</f>
        <v>-17.178233851929942</v>
      </c>
      <c r="O1767" s="12">
        <f>L1767*COS(RADIANS(K1767))</f>
        <v>-33.714182223821922</v>
      </c>
      <c r="P1767" s="5">
        <v>5.3056557981917196</v>
      </c>
      <c r="Q1767" s="5">
        <v>5.2565218622175447E-2</v>
      </c>
      <c r="R1767" s="6">
        <f>P1767/Q1767</f>
        <v>100.93472332584282</v>
      </c>
    </row>
    <row r="1768" spans="1:18" x14ac:dyDescent="0.35">
      <c r="A1768" s="9">
        <v>1769</v>
      </c>
      <c r="B1768" s="5">
        <v>0.5</v>
      </c>
      <c r="C1768" s="5">
        <v>2000000</v>
      </c>
      <c r="D1768" s="5">
        <v>5</v>
      </c>
      <c r="E1768" s="5">
        <v>0</v>
      </c>
      <c r="F1768" s="5">
        <v>7.4999999999999997E-2</v>
      </c>
      <c r="G1768" s="12">
        <f>(C1768*$U$4)/($U$5*$U$3)</f>
        <v>29.387755102040813</v>
      </c>
      <c r="H1768" s="11">
        <f>G1768*COS(RADIANS(D1768))</f>
        <v>29.275925821471702</v>
      </c>
      <c r="I1768" s="11">
        <f>G1768*SIN(RADIANS(D1768))</f>
        <v>2.5613116236046478</v>
      </c>
      <c r="J1768" s="12">
        <v>0.23230000000000001</v>
      </c>
      <c r="K1768" s="12">
        <v>0</v>
      </c>
      <c r="L1768" s="12">
        <f>-(F1768*G1768*$U$3)/J1768</f>
        <v>-9.4880827923076243</v>
      </c>
      <c r="M1768" s="11">
        <f>ABS(L1768/$U$6)</f>
        <v>2.7662048957165085E-2</v>
      </c>
      <c r="N1768" s="12">
        <f>L1768*SIN(RADIANS(K1768))</f>
        <v>0</v>
      </c>
      <c r="O1768" s="12">
        <f>L1768*COS(RADIANS(K1768))</f>
        <v>-9.4880827923076243</v>
      </c>
      <c r="P1768" s="5">
        <v>4.6465180073287353</v>
      </c>
      <c r="Q1768" s="5">
        <v>0.35225918926480843</v>
      </c>
      <c r="R1768" s="6">
        <f>P1768/Q1768</f>
        <v>13.19062255558576</v>
      </c>
    </row>
    <row r="1769" spans="1:18" x14ac:dyDescent="0.35">
      <c r="A1769" s="9">
        <v>1770</v>
      </c>
      <c r="B1769" s="5">
        <v>0.1</v>
      </c>
      <c r="C1769" s="5">
        <v>2000000</v>
      </c>
      <c r="D1769" s="5">
        <v>5</v>
      </c>
      <c r="E1769" s="5">
        <v>0</v>
      </c>
      <c r="F1769" s="5">
        <v>3.5000000000000003E-2</v>
      </c>
      <c r="G1769" s="12">
        <f>(C1769*$U$4)/($U$5*$U$3)</f>
        <v>29.387755102040813</v>
      </c>
      <c r="H1769" s="11">
        <f>G1769*COS(RADIANS(D1769))</f>
        <v>29.275925821471702</v>
      </c>
      <c r="I1769" s="11">
        <f>G1769*SIN(RADIANS(D1769))</f>
        <v>2.5613116236046478</v>
      </c>
      <c r="J1769" s="11">
        <v>0.16569999999999999</v>
      </c>
      <c r="K1769" s="12">
        <v>0</v>
      </c>
      <c r="L1769" s="12">
        <f>-(F1769*G1769*$U$3)/J1769</f>
        <v>-6.2074316751444085</v>
      </c>
      <c r="M1769" s="11">
        <f>ABS(L1769/$U$6)</f>
        <v>1.8097468440654251E-2</v>
      </c>
      <c r="N1769" s="12">
        <f>L1769*SIN(RADIANS(K1769))</f>
        <v>0</v>
      </c>
      <c r="O1769" s="12">
        <f>L1769*COS(RADIANS(K1769))</f>
        <v>-6.2074316751444085</v>
      </c>
      <c r="P1769" s="5">
        <v>1.2720409417628731</v>
      </c>
      <c r="Q1769" s="5">
        <v>0.31212244654453325</v>
      </c>
      <c r="R1769" s="6">
        <f>P1769/Q1769</f>
        <v>4.0754548602494687</v>
      </c>
    </row>
    <row r="1770" spans="1:18" x14ac:dyDescent="0.35">
      <c r="A1770" s="9">
        <v>1771</v>
      </c>
      <c r="B1770" s="5">
        <v>0.75</v>
      </c>
      <c r="C1770" s="5">
        <v>6000000</v>
      </c>
      <c r="D1770" s="5">
        <v>20</v>
      </c>
      <c r="E1770" s="5">
        <v>0</v>
      </c>
      <c r="F1770" s="5">
        <v>0.1</v>
      </c>
      <c r="G1770" s="12">
        <f>(C1770*$U$4)/($U$5*$U$3)</f>
        <v>88.16326530612244</v>
      </c>
      <c r="H1770" s="11">
        <f>G1770*COS(RADIANS(D1770))</f>
        <v>82.846369832553549</v>
      </c>
      <c r="I1770" s="11">
        <f>G1770*SIN(RADIANS(D1770))</f>
        <v>30.153612636058952</v>
      </c>
      <c r="J1770" s="11">
        <v>0.27929999999999999</v>
      </c>
      <c r="K1770" s="12">
        <v>0</v>
      </c>
      <c r="L1770" s="12">
        <f>-(F1770*G1770*$U$3)/J1770</f>
        <v>-31.565794953856944</v>
      </c>
      <c r="M1770" s="11">
        <f>ABS(L1770/$U$6)</f>
        <v>9.2028556716784088E-2</v>
      </c>
      <c r="N1770" s="12">
        <f>L1770*SIN(RADIANS(K1770))</f>
        <v>0</v>
      </c>
      <c r="O1770" s="12">
        <f>L1770*COS(RADIANS(K1770))</f>
        <v>-31.565794953856944</v>
      </c>
      <c r="P1770" s="5">
        <v>5.2172575375505756</v>
      </c>
      <c r="Q1770" s="5">
        <v>1.088879277404075</v>
      </c>
      <c r="R1770" s="6">
        <f>P1770/Q1770</f>
        <v>4.7914012561509063</v>
      </c>
    </row>
    <row r="1771" spans="1:18" x14ac:dyDescent="0.35">
      <c r="A1771" s="9">
        <v>1772</v>
      </c>
      <c r="B1771" s="5">
        <v>0.25</v>
      </c>
      <c r="C1771" s="5">
        <v>4000000</v>
      </c>
      <c r="D1771" s="5">
        <v>15</v>
      </c>
      <c r="E1771" s="5">
        <v>0.375</v>
      </c>
      <c r="F1771" s="5">
        <v>0</v>
      </c>
      <c r="G1771" s="12">
        <f>(C1771*$U$4)/($U$5*$U$3)</f>
        <v>58.775510204081627</v>
      </c>
      <c r="H1771" s="11">
        <f>G1771*COS(RADIANS(D1771))</f>
        <v>56.772783259439109</v>
      </c>
      <c r="I1771" s="11">
        <f>G1771*SIN(RADIANS(D1771))</f>
        <v>15.212221426433871</v>
      </c>
      <c r="J1771" s="11">
        <v>0.1976</v>
      </c>
      <c r="K1771" s="12">
        <v>78</v>
      </c>
      <c r="L1771" s="12">
        <f>-(F1771*G1771*$U$3)/J1771</f>
        <v>0</v>
      </c>
      <c r="M1771" s="11">
        <f>ABS(L1771/$U$6)</f>
        <v>0</v>
      </c>
      <c r="N1771" s="12">
        <f>L1771*SIN(RADIANS(K1771))</f>
        <v>0</v>
      </c>
      <c r="O1771" s="12">
        <f>L1771*COS(RADIANS(K1771))</f>
        <v>0</v>
      </c>
      <c r="P1771" s="5">
        <v>2.9078123233874478</v>
      </c>
      <c r="Q1771" s="5">
        <v>0.87032763712070027</v>
      </c>
      <c r="R1771" s="6">
        <f>P1771/Q1771</f>
        <v>3.3410547928908083</v>
      </c>
    </row>
    <row r="1772" spans="1:18" x14ac:dyDescent="0.35">
      <c r="A1772" s="9">
        <v>1773</v>
      </c>
      <c r="B1772" s="5">
        <v>0.75</v>
      </c>
      <c r="C1772" s="5">
        <v>2000000</v>
      </c>
      <c r="D1772" s="5">
        <v>5</v>
      </c>
      <c r="E1772" s="5">
        <v>0.25</v>
      </c>
      <c r="F1772" s="5">
        <v>0</v>
      </c>
      <c r="G1772" s="12">
        <f>(C1772*$U$4)/($U$5*$U$3)</f>
        <v>29.387755102040813</v>
      </c>
      <c r="H1772" s="11">
        <f>G1772*COS(RADIANS(D1772))</f>
        <v>29.275925821471702</v>
      </c>
      <c r="I1772" s="11">
        <f>G1772*SIN(RADIANS(D1772))</f>
        <v>2.5613116236046478</v>
      </c>
      <c r="J1772" s="12">
        <v>0.28370000000000001</v>
      </c>
      <c r="K1772" s="11">
        <v>38</v>
      </c>
      <c r="L1772" s="12">
        <f>-(F1772*G1772*$U$3)/J1772</f>
        <v>0</v>
      </c>
      <c r="M1772" s="11">
        <f>ABS(L1772/$U$6)</f>
        <v>0</v>
      </c>
      <c r="N1772" s="12">
        <f>L1772*SIN(RADIANS(K1772))</f>
        <v>0</v>
      </c>
      <c r="O1772" s="12">
        <f>L1772*COS(RADIANS(K1772))</f>
        <v>0</v>
      </c>
      <c r="P1772" s="5">
        <v>6.0668929245297303</v>
      </c>
      <c r="Q1772" s="5">
        <v>0.8985679441702582</v>
      </c>
      <c r="R1772" s="6">
        <f>P1772/Q1772</f>
        <v>6.751735318281276</v>
      </c>
    </row>
    <row r="1773" spans="1:18" x14ac:dyDescent="0.35">
      <c r="A1773" s="9">
        <v>1774</v>
      </c>
      <c r="B1773" s="5">
        <v>1</v>
      </c>
      <c r="C1773" s="5">
        <v>4000000</v>
      </c>
      <c r="D1773" s="5">
        <v>0</v>
      </c>
      <c r="E1773" s="5">
        <v>0.125</v>
      </c>
      <c r="F1773" s="5">
        <v>0</v>
      </c>
      <c r="G1773" s="12">
        <f>(C1773*$U$4)/($U$5*$U$3)</f>
        <v>58.775510204081627</v>
      </c>
      <c r="H1773" s="11">
        <f>G1773*COS(RADIANS(D1773))</f>
        <v>58.775510204081627</v>
      </c>
      <c r="I1773" s="11">
        <f>G1773*SIN(RADIANS(D1773))</f>
        <v>0</v>
      </c>
      <c r="J1773" s="11">
        <v>0.33379999999999999</v>
      </c>
      <c r="K1773" s="12">
        <v>14</v>
      </c>
      <c r="L1773" s="12">
        <f>-(F1773*G1773*$U$3)/J1773</f>
        <v>0</v>
      </c>
      <c r="M1773" s="11">
        <f>ABS(L1773/$U$6)</f>
        <v>0</v>
      </c>
      <c r="N1773" s="12">
        <f>L1773*SIN(RADIANS(K1773))</f>
        <v>0</v>
      </c>
      <c r="O1773" s="12">
        <f>L1773*COS(RADIANS(K1773))</f>
        <v>0</v>
      </c>
      <c r="P1773" s="5">
        <v>6.3161558565132871</v>
      </c>
      <c r="Q1773" s="5">
        <v>1.1371218216811951</v>
      </c>
      <c r="R1773" s="6">
        <f>P1773/Q1773</f>
        <v>5.5545111667763702</v>
      </c>
    </row>
    <row r="1774" spans="1:18" x14ac:dyDescent="0.35">
      <c r="A1774" s="9">
        <v>1070</v>
      </c>
      <c r="B1774" s="5">
        <v>0.5</v>
      </c>
      <c r="C1774" s="5">
        <v>4000000</v>
      </c>
      <c r="D1774" s="5">
        <v>30</v>
      </c>
      <c r="E1774" s="5">
        <v>0.125</v>
      </c>
      <c r="F1774" s="5">
        <v>0.15</v>
      </c>
      <c r="G1774" s="12">
        <f>(C1774*$U$4)/($U$5*$U$3)</f>
        <v>58.775510204081627</v>
      </c>
      <c r="H1774" s="11">
        <f>G1774*COS(RADIANS(D1774))</f>
        <v>50.901084957126187</v>
      </c>
      <c r="I1774" s="11">
        <f>G1774*SIN(RADIANS(D1774))</f>
        <v>29.38775510204081</v>
      </c>
      <c r="J1774" s="19">
        <v>0.23300000000000001</v>
      </c>
      <c r="K1774" s="20">
        <v>27</v>
      </c>
      <c r="L1774" s="12">
        <f>-(F1774*G1774*$U$3)/J1774</f>
        <v>-37.838311290181302</v>
      </c>
      <c r="M1774" s="11">
        <f>ABS(L1774/$U$6)</f>
        <v>0.11031577635621372</v>
      </c>
      <c r="N1774" s="12">
        <f>L1774*SIN(RADIANS(K1774))</f>
        <v>-17.178233851929942</v>
      </c>
      <c r="O1774" s="12">
        <f>L1774*COS(RADIANS(K1774))</f>
        <v>-33.714182223821922</v>
      </c>
      <c r="P1774" s="5">
        <v>5.3550559900016212</v>
      </c>
      <c r="Q1774" s="5">
        <v>1.5147252777663134</v>
      </c>
      <c r="R1774" s="6">
        <f>P1774/Q1774</f>
        <v>3.5353315011012714</v>
      </c>
    </row>
    <row r="1775" spans="1:18" x14ac:dyDescent="0.35">
      <c r="A1775" s="9">
        <v>1776</v>
      </c>
      <c r="B1775" s="5">
        <v>0.25</v>
      </c>
      <c r="C1775" s="5">
        <v>2000000</v>
      </c>
      <c r="D1775" s="5">
        <v>10</v>
      </c>
      <c r="E1775" s="5">
        <v>0.375</v>
      </c>
      <c r="F1775" s="5">
        <v>2.5000000000000001E-2</v>
      </c>
      <c r="G1775" s="12">
        <f>(C1775*$U$4)/($U$5*$U$3)</f>
        <v>29.387755102040813</v>
      </c>
      <c r="H1775" s="11">
        <f>G1775*COS(RADIANS(D1775))</f>
        <v>28.941289068113864</v>
      </c>
      <c r="I1775" s="11">
        <f>G1775*SIN(RADIANS(D1775))</f>
        <v>5.1031301191914213</v>
      </c>
      <c r="J1775" s="11">
        <v>0.1976</v>
      </c>
      <c r="K1775" s="12">
        <v>78</v>
      </c>
      <c r="L1775" s="12">
        <f>-(F1775*G1775*$U$3)/J1775</f>
        <v>-3.7180864248533418</v>
      </c>
      <c r="M1775" s="11">
        <f>ABS(L1775/$U$6)</f>
        <v>1.0839902113275049E-2</v>
      </c>
      <c r="N1775" s="12">
        <f>L1775*SIN(RADIANS(K1775))</f>
        <v>-3.636837315791229</v>
      </c>
      <c r="O1775" s="12">
        <f>L1775*COS(RADIANS(K1775))</f>
        <v>-0.77303363519781665</v>
      </c>
      <c r="P1775" s="5">
        <v>2.2351541363039931</v>
      </c>
      <c r="Q1775" s="5">
        <v>0.47360757654621982</v>
      </c>
      <c r="R1775" s="6">
        <f>P1775/Q1775</f>
        <v>4.7194222537651109</v>
      </c>
    </row>
    <row r="1776" spans="1:18" x14ac:dyDescent="0.35">
      <c r="A1776" s="9">
        <v>1777</v>
      </c>
      <c r="B1776" s="5">
        <v>0.25</v>
      </c>
      <c r="C1776" s="5">
        <v>2000000</v>
      </c>
      <c r="D1776" s="5">
        <v>0</v>
      </c>
      <c r="E1776" s="5">
        <v>0</v>
      </c>
      <c r="F1776" s="5">
        <v>0.15</v>
      </c>
      <c r="G1776" s="12">
        <f>(C1776*$U$4)/($U$5*$U$3)</f>
        <v>29.387755102040813</v>
      </c>
      <c r="H1776" s="11">
        <f>G1776*COS(RADIANS(D1776))</f>
        <v>29.387755102040813</v>
      </c>
      <c r="I1776" s="11">
        <f>G1776*SIN(RADIANS(D1776))</f>
        <v>0</v>
      </c>
      <c r="J1776" s="12">
        <v>0.18990000000000001</v>
      </c>
      <c r="K1776" s="12">
        <v>0</v>
      </c>
      <c r="L1776" s="12">
        <f>-(F1776*G1776*$U$3)/J1776</f>
        <v>-23.213076699874257</v>
      </c>
      <c r="M1776" s="11">
        <f>ABS(L1776/$U$6)</f>
        <v>6.7676608454443898E-2</v>
      </c>
      <c r="N1776" s="12">
        <f>L1776*SIN(RADIANS(K1776))</f>
        <v>0</v>
      </c>
      <c r="O1776" s="12">
        <f>L1776*COS(RADIANS(K1776))</f>
        <v>-23.213076699874257</v>
      </c>
      <c r="P1776" s="5">
        <v>2.2925125058554499</v>
      </c>
      <c r="Q1776" s="5">
        <v>1.592397781570901E-2</v>
      </c>
      <c r="R1776" s="6">
        <f>P1776/Q1776</f>
        <v>143.96607006032662</v>
      </c>
    </row>
    <row r="1777" spans="1:18" x14ac:dyDescent="0.35">
      <c r="A1777" s="9">
        <v>1778</v>
      </c>
      <c r="B1777" s="5">
        <v>0.25</v>
      </c>
      <c r="C1777" s="5">
        <v>4000000</v>
      </c>
      <c r="D1777" s="5">
        <v>20</v>
      </c>
      <c r="E1777" s="5">
        <v>0</v>
      </c>
      <c r="F1777" s="5">
        <v>7.4999999999999997E-2</v>
      </c>
      <c r="G1777" s="12">
        <f>(C1777*$U$4)/($U$5*$U$3)</f>
        <v>58.775510204081627</v>
      </c>
      <c r="H1777" s="11">
        <f>G1777*COS(RADIANS(D1777))</f>
        <v>55.230913221702366</v>
      </c>
      <c r="I1777" s="11">
        <f>G1777*SIN(RADIANS(D1777))</f>
        <v>20.102408424039304</v>
      </c>
      <c r="J1777" s="12">
        <v>0.18990000000000001</v>
      </c>
      <c r="K1777" s="12">
        <v>0</v>
      </c>
      <c r="L1777" s="12">
        <f>-(F1777*G1777*$U$3)/J1777</f>
        <v>-23.213076699874257</v>
      </c>
      <c r="M1777" s="11">
        <f>ABS(L1777/$U$6)</f>
        <v>6.7676608454443898E-2</v>
      </c>
      <c r="N1777" s="12">
        <f>L1777*SIN(RADIANS(K1777))</f>
        <v>0</v>
      </c>
      <c r="O1777" s="12">
        <f>L1777*COS(RADIANS(K1777))</f>
        <v>-23.213076699874257</v>
      </c>
      <c r="P1777" s="5">
        <v>2.4867068095618841</v>
      </c>
      <c r="Q1777" s="5">
        <v>0.64528777208061527</v>
      </c>
      <c r="R1777" s="6">
        <f>P1777/Q1777</f>
        <v>3.8536400613077508</v>
      </c>
    </row>
    <row r="1778" spans="1:18" x14ac:dyDescent="0.35">
      <c r="A1778" s="9">
        <v>1779</v>
      </c>
      <c r="B1778" s="5">
        <v>1</v>
      </c>
      <c r="C1778" s="5">
        <v>6000000</v>
      </c>
      <c r="D1778" s="5">
        <v>20</v>
      </c>
      <c r="E1778" s="5">
        <v>0.375</v>
      </c>
      <c r="F1778" s="5">
        <v>2.5000000000000001E-2</v>
      </c>
      <c r="G1778" s="12">
        <f>(C1778*$U$4)/($U$5*$U$3)</f>
        <v>88.16326530612244</v>
      </c>
      <c r="H1778" s="11">
        <f>G1778*COS(RADIANS(D1778))</f>
        <v>82.846369832553549</v>
      </c>
      <c r="I1778" s="11">
        <f>G1778*SIN(RADIANS(D1778))</f>
        <v>30.153612636058952</v>
      </c>
      <c r="J1778" s="12">
        <v>0.33379999999999999</v>
      </c>
      <c r="K1778" s="11">
        <v>49</v>
      </c>
      <c r="L1778" s="12">
        <f>-(F1778*G1778*$U$3)/J1778</f>
        <v>-6.6030006969834067</v>
      </c>
      <c r="M1778" s="11">
        <f>ABS(L1778/$U$6)</f>
        <v>1.9250730894995356E-2</v>
      </c>
      <c r="N1778" s="12">
        <f>L1778*SIN(RADIANS(K1778))</f>
        <v>-4.9833478842310184</v>
      </c>
      <c r="O1778" s="12">
        <f>L1778*COS(RADIANS(K1778))</f>
        <v>-4.3319582256865763</v>
      </c>
      <c r="P1778" s="5">
        <v>5.2986685377763125</v>
      </c>
      <c r="Q1778" s="5">
        <v>0.83167683083075317</v>
      </c>
      <c r="R1778" s="6">
        <f>P1778/Q1778</f>
        <v>6.3710666707927031</v>
      </c>
    </row>
    <row r="1779" spans="1:18" x14ac:dyDescent="0.35">
      <c r="A1779" s="9">
        <v>1780</v>
      </c>
      <c r="B1779" s="5">
        <v>0.1</v>
      </c>
      <c r="C1779" s="5">
        <v>4000000</v>
      </c>
      <c r="D1779" s="5">
        <v>30</v>
      </c>
      <c r="E1779" s="5">
        <v>0</v>
      </c>
      <c r="F1779" s="5">
        <v>1.4999999999999999E-2</v>
      </c>
      <c r="G1779" s="12">
        <f>(C1779*$U$4)/($U$5*$U$3)</f>
        <v>58.775510204081627</v>
      </c>
      <c r="H1779" s="11">
        <f>G1779*COS(RADIANS(D1779))</f>
        <v>50.901084957126187</v>
      </c>
      <c r="I1779" s="11">
        <f>G1779*SIN(RADIANS(D1779))</f>
        <v>29.38775510204081</v>
      </c>
      <c r="J1779" s="11">
        <v>0.16569999999999999</v>
      </c>
      <c r="K1779" s="12">
        <v>0</v>
      </c>
      <c r="L1779" s="12">
        <f>-(F1779*G1779*$U$3)/J1779</f>
        <v>-5.3206557215523507</v>
      </c>
      <c r="M1779" s="11">
        <f>ABS(L1779/$U$6)</f>
        <v>1.5512115806275074E-2</v>
      </c>
      <c r="N1779" s="12">
        <f>L1779*SIN(RADIANS(K1779))</f>
        <v>0</v>
      </c>
      <c r="O1779" s="12">
        <f>L1779*COS(RADIANS(K1779))</f>
        <v>-5.3206557215523507</v>
      </c>
      <c r="P1779" s="5">
        <v>0.88056636576196323</v>
      </c>
      <c r="Q1779" s="5">
        <v>0.77577994577985632</v>
      </c>
      <c r="R1779" s="6">
        <f>P1779/Q1779</f>
        <v>1.1350723495137141</v>
      </c>
    </row>
    <row r="1780" spans="1:18" x14ac:dyDescent="0.35">
      <c r="A1780" s="9">
        <v>1781</v>
      </c>
      <c r="B1780" s="5">
        <v>0.75</v>
      </c>
      <c r="C1780" s="5">
        <v>4000000</v>
      </c>
      <c r="D1780" s="5">
        <v>20</v>
      </c>
      <c r="E1780" s="5">
        <v>0</v>
      </c>
      <c r="F1780" s="5">
        <v>3.5000000000000003E-2</v>
      </c>
      <c r="G1780" s="12">
        <f>(C1780*$U$4)/($U$5*$U$3)</f>
        <v>58.775510204081627</v>
      </c>
      <c r="H1780" s="11">
        <f>G1780*COS(RADIANS(D1780))</f>
        <v>55.230913221702366</v>
      </c>
      <c r="I1780" s="11">
        <f>G1780*SIN(RADIANS(D1780))</f>
        <v>20.102408424039304</v>
      </c>
      <c r="J1780" s="11">
        <v>0.27929999999999999</v>
      </c>
      <c r="K1780" s="12">
        <v>0</v>
      </c>
      <c r="L1780" s="12">
        <f>-(F1780*G1780*$U$3)/J1780</f>
        <v>-7.3653521558999531</v>
      </c>
      <c r="M1780" s="11">
        <f>ABS(L1780/$U$6)</f>
        <v>2.1473329900582955E-2</v>
      </c>
      <c r="N1780" s="12">
        <f>L1780*SIN(RADIANS(K1780))</f>
        <v>0</v>
      </c>
      <c r="O1780" s="12">
        <f>L1780*COS(RADIANS(K1780))</f>
        <v>-7.3653521558999531</v>
      </c>
      <c r="P1780" s="5">
        <v>4.1097935270805461</v>
      </c>
      <c r="Q1780" s="5">
        <v>1.2474117647721683</v>
      </c>
      <c r="R1780" s="6">
        <f>P1780/Q1780</f>
        <v>3.2946566988897796</v>
      </c>
    </row>
    <row r="1781" spans="1:18" x14ac:dyDescent="0.35">
      <c r="A1781" s="9">
        <v>1782</v>
      </c>
      <c r="B1781" s="5">
        <v>0.25</v>
      </c>
      <c r="C1781" s="5">
        <v>2000000</v>
      </c>
      <c r="D1781" s="5">
        <v>20</v>
      </c>
      <c r="E1781" s="5">
        <v>0</v>
      </c>
      <c r="F1781" s="5">
        <v>7.4999999999999997E-2</v>
      </c>
      <c r="G1781" s="12">
        <f>(C1781*$U$4)/($U$5*$U$3)</f>
        <v>29.387755102040813</v>
      </c>
      <c r="H1781" s="11">
        <f>G1781*COS(RADIANS(D1781))</f>
        <v>27.615456610851183</v>
      </c>
      <c r="I1781" s="11">
        <f>G1781*SIN(RADIANS(D1781))</f>
        <v>10.051204212019652</v>
      </c>
      <c r="J1781" s="12">
        <v>0.18990000000000001</v>
      </c>
      <c r="K1781" s="12">
        <v>0</v>
      </c>
      <c r="L1781" s="12">
        <f>-(F1781*G1781*$U$3)/J1781</f>
        <v>-11.606538349937129</v>
      </c>
      <c r="M1781" s="11">
        <f>ABS(L1781/$U$6)</f>
        <v>3.3838304227221949E-2</v>
      </c>
      <c r="N1781" s="12">
        <f>L1781*SIN(RADIANS(K1781))</f>
        <v>0</v>
      </c>
      <c r="O1781" s="12">
        <f>L1781*COS(RADIANS(K1781))</f>
        <v>-11.606538349937129</v>
      </c>
      <c r="P1781" s="5">
        <v>2.4776296731026801</v>
      </c>
      <c r="Q1781" s="5">
        <v>0.64403855577521307</v>
      </c>
      <c r="R1781" s="6">
        <f>P1781/Q1781</f>
        <v>3.8470207270749799</v>
      </c>
    </row>
    <row r="1782" spans="1:18" x14ac:dyDescent="0.35">
      <c r="A1782" s="9">
        <v>1783</v>
      </c>
      <c r="B1782" s="5">
        <v>0.5</v>
      </c>
      <c r="C1782" s="5">
        <v>4000000</v>
      </c>
      <c r="D1782" s="5">
        <v>30</v>
      </c>
      <c r="E1782" s="5">
        <v>0.25</v>
      </c>
      <c r="F1782" s="5">
        <v>0.05</v>
      </c>
      <c r="G1782" s="12">
        <f>(C1782*$U$4)/($U$5*$U$3)</f>
        <v>58.775510204081627</v>
      </c>
      <c r="H1782" s="11">
        <f>G1782*COS(RADIANS(D1782))</f>
        <v>50.901084957126187</v>
      </c>
      <c r="I1782" s="11">
        <f>G1782*SIN(RADIANS(D1782))</f>
        <v>29.38775510204081</v>
      </c>
      <c r="J1782" s="11">
        <v>0.23580000000000001</v>
      </c>
      <c r="K1782" s="11">
        <v>49</v>
      </c>
      <c r="L1782" s="12">
        <f>-(F1782*G1782*$U$3)/J1782</f>
        <v>-12.463000467362516</v>
      </c>
      <c r="M1782" s="11">
        <f>ABS(L1782/$U$6)</f>
        <v>3.6335278330502964E-2</v>
      </c>
      <c r="N1782" s="12">
        <f>L1782*SIN(RADIANS(K1782))</f>
        <v>-9.405945851039375</v>
      </c>
      <c r="O1782" s="12">
        <f>L1782*COS(RADIANS(K1782))</f>
        <v>-8.1764639849260909</v>
      </c>
      <c r="P1782" s="5">
        <v>4.1669725161904267</v>
      </c>
      <c r="Q1782" s="5">
        <v>1.3232718547708009</v>
      </c>
      <c r="R1782" s="6">
        <f>P1782/Q1782</f>
        <v>3.1489920239497371</v>
      </c>
    </row>
    <row r="1783" spans="1:18" x14ac:dyDescent="0.35">
      <c r="A1783" s="9">
        <v>1784</v>
      </c>
      <c r="B1783" s="5">
        <v>0.75</v>
      </c>
      <c r="C1783" s="5">
        <v>6000000</v>
      </c>
      <c r="D1783" s="5">
        <v>10</v>
      </c>
      <c r="E1783" s="5">
        <v>0.125</v>
      </c>
      <c r="F1783" s="5">
        <v>0.05</v>
      </c>
      <c r="G1783" s="12">
        <f>(C1783*$U$4)/($U$5*$U$3)</f>
        <v>88.16326530612244</v>
      </c>
      <c r="H1783" s="11">
        <f>G1783*COS(RADIANS(D1783))</f>
        <v>86.823867204341596</v>
      </c>
      <c r="I1783" s="11">
        <f>G1783*SIN(RADIANS(D1783))</f>
        <v>15.309390357574264</v>
      </c>
      <c r="J1783" s="12">
        <v>0.2802</v>
      </c>
      <c r="K1783" s="12">
        <v>19</v>
      </c>
      <c r="L1783" s="12">
        <f>-(F1783*G1783*$U$3)/J1783</f>
        <v>-15.732202945417994</v>
      </c>
      <c r="M1783" s="11">
        <f>ABS(L1783/$U$6)</f>
        <v>4.5866480890431466E-2</v>
      </c>
      <c r="N1783" s="12">
        <f>L1783*SIN(RADIANS(K1783))</f>
        <v>-5.1219042784851814</v>
      </c>
      <c r="O1783" s="12">
        <f>L1783*COS(RADIANS(K1783))</f>
        <v>-14.875090119990999</v>
      </c>
      <c r="P1783" s="5">
        <v>5.0497977027908822</v>
      </c>
      <c r="Q1783" s="5">
        <v>0.49159534353209977</v>
      </c>
      <c r="R1783" s="6">
        <f>P1783/Q1783</f>
        <v>10.272265124621029</v>
      </c>
    </row>
    <row r="1784" spans="1:18" x14ac:dyDescent="0.35">
      <c r="A1784" s="9">
        <v>1785</v>
      </c>
      <c r="B1784" s="5">
        <v>0.25</v>
      </c>
      <c r="C1784" s="5">
        <v>2000000</v>
      </c>
      <c r="D1784" s="5">
        <v>5</v>
      </c>
      <c r="E1784" s="5">
        <v>0.375</v>
      </c>
      <c r="F1784" s="5">
        <v>0.05</v>
      </c>
      <c r="G1784" s="12">
        <f>(C1784*$U$4)/($U$5*$U$3)</f>
        <v>29.387755102040813</v>
      </c>
      <c r="H1784" s="11">
        <f>G1784*COS(RADIANS(D1784))</f>
        <v>29.275925821471702</v>
      </c>
      <c r="I1784" s="11">
        <f>G1784*SIN(RADIANS(D1784))</f>
        <v>2.5613116236046478</v>
      </c>
      <c r="J1784" s="11">
        <v>0.1976</v>
      </c>
      <c r="K1784" s="12">
        <v>78</v>
      </c>
      <c r="L1784" s="12">
        <f>-(F1784*G1784*$U$3)/J1784</f>
        <v>-7.4361728497066837</v>
      </c>
      <c r="M1784" s="11">
        <f>ABS(L1784/$U$6)</f>
        <v>2.1679804226550099E-2</v>
      </c>
      <c r="N1784" s="12">
        <f>L1784*SIN(RADIANS(K1784))</f>
        <v>-7.2736746315824581</v>
      </c>
      <c r="O1784" s="12">
        <f>L1784*COS(RADIANS(K1784))</f>
        <v>-1.5460672703956333</v>
      </c>
      <c r="P1784" s="5">
        <v>2.3948213006524002</v>
      </c>
      <c r="Q1784" s="5">
        <v>0.23303233547293054</v>
      </c>
      <c r="R1784" s="6">
        <f>P1784/Q1784</f>
        <v>10.276776807785918</v>
      </c>
    </row>
    <row r="1785" spans="1:18" x14ac:dyDescent="0.35">
      <c r="A1785" s="9">
        <v>1786</v>
      </c>
      <c r="B1785" s="5">
        <v>0.75</v>
      </c>
      <c r="C1785" s="5">
        <v>2000000</v>
      </c>
      <c r="D1785" s="5">
        <v>15</v>
      </c>
      <c r="E1785" s="5">
        <v>0.125</v>
      </c>
      <c r="F1785" s="5">
        <v>7.4999999999999997E-2</v>
      </c>
      <c r="G1785" s="12">
        <f>(C1785*$U$4)/($U$5*$U$3)</f>
        <v>29.387755102040813</v>
      </c>
      <c r="H1785" s="11">
        <f>G1785*COS(RADIANS(D1785))</f>
        <v>28.386391629719554</v>
      </c>
      <c r="I1785" s="11">
        <f>G1785*SIN(RADIANS(D1785))</f>
        <v>7.6061107132169354</v>
      </c>
      <c r="J1785" s="12">
        <v>0.2802</v>
      </c>
      <c r="K1785" s="12">
        <v>19</v>
      </c>
      <c r="L1785" s="12">
        <f>-(F1785*G1785*$U$3)/J1785</f>
        <v>-7.8661014727089968</v>
      </c>
      <c r="M1785" s="11">
        <f>ABS(L1785/$U$6)</f>
        <v>2.2933240445215733E-2</v>
      </c>
      <c r="N1785" s="12">
        <f>L1785*SIN(RADIANS(K1785))</f>
        <v>-2.5609521392425907</v>
      </c>
      <c r="O1785" s="12">
        <f>L1785*COS(RADIANS(K1785))</f>
        <v>-7.4375450599954993</v>
      </c>
      <c r="P1785" s="5">
        <v>6.1229380750573075</v>
      </c>
      <c r="Q1785" s="5">
        <v>0.70648369935583044</v>
      </c>
      <c r="R1785" s="6">
        <f>P1785/Q1785</f>
        <v>8.6667789796709851</v>
      </c>
    </row>
    <row r="1786" spans="1:18" x14ac:dyDescent="0.35">
      <c r="A1786" s="9">
        <v>1787</v>
      </c>
      <c r="B1786" s="5">
        <v>0.5</v>
      </c>
      <c r="C1786" s="5">
        <v>4000000</v>
      </c>
      <c r="D1786" s="5">
        <v>20</v>
      </c>
      <c r="E1786" s="5">
        <v>0</v>
      </c>
      <c r="F1786" s="5">
        <v>2.5000000000000001E-2</v>
      </c>
      <c r="G1786" s="12">
        <f>(C1786*$U$4)/($U$5*$U$3)</f>
        <v>58.775510204081627</v>
      </c>
      <c r="H1786" s="11">
        <f>G1786*COS(RADIANS(D1786))</f>
        <v>55.230913221702366</v>
      </c>
      <c r="I1786" s="11">
        <f>G1786*SIN(RADIANS(D1786))</f>
        <v>20.102408424039304</v>
      </c>
      <c r="J1786" s="12">
        <v>0.23230000000000001</v>
      </c>
      <c r="K1786" s="12">
        <v>0</v>
      </c>
      <c r="L1786" s="12">
        <f>-(F1786*G1786*$U$3)/J1786</f>
        <v>-6.3253885282050826</v>
      </c>
      <c r="M1786" s="11">
        <f>ABS(L1786/$U$6)</f>
        <v>1.8441365971443389E-2</v>
      </c>
      <c r="N1786" s="12">
        <f>L1786*SIN(RADIANS(K1786))</f>
        <v>0</v>
      </c>
      <c r="O1786" s="12">
        <f>L1786*COS(RADIANS(K1786))</f>
        <v>-6.3253885282050826</v>
      </c>
      <c r="P1786" s="5">
        <v>2.0812274259471693</v>
      </c>
      <c r="Q1786" s="5">
        <v>0.87506411760717473</v>
      </c>
      <c r="R1786" s="6">
        <f>P1786/Q1786</f>
        <v>2.3783713491054761</v>
      </c>
    </row>
    <row r="1787" spans="1:18" x14ac:dyDescent="0.35">
      <c r="A1787" s="9">
        <v>1788</v>
      </c>
      <c r="B1787" s="5">
        <v>1</v>
      </c>
      <c r="C1787" s="5">
        <v>6000000</v>
      </c>
      <c r="D1787" s="5">
        <v>10</v>
      </c>
      <c r="E1787" s="5">
        <v>0</v>
      </c>
      <c r="F1787" s="5">
        <v>7.4999999999999997E-2</v>
      </c>
      <c r="G1787" s="12">
        <f>(C1787*$U$4)/($U$5*$U$3)</f>
        <v>88.16326530612244</v>
      </c>
      <c r="H1787" s="11">
        <f>G1787*COS(RADIANS(D1787))</f>
        <v>86.823867204341596</v>
      </c>
      <c r="I1787" s="11">
        <f>G1787*SIN(RADIANS(D1787))</f>
        <v>15.309390357574264</v>
      </c>
      <c r="J1787" s="11">
        <v>0.33379999999999999</v>
      </c>
      <c r="K1787" s="12">
        <v>0</v>
      </c>
      <c r="L1787" s="12">
        <f>-(F1787*G1787*$U$3)/J1787</f>
        <v>-19.809002090950219</v>
      </c>
      <c r="M1787" s="11">
        <f>ABS(L1787/$U$6)</f>
        <v>5.7752192684986062E-2</v>
      </c>
      <c r="N1787" s="12">
        <f>L1787*SIN(RADIANS(K1787))</f>
        <v>0</v>
      </c>
      <c r="O1787" s="12">
        <f>L1787*COS(RADIANS(K1787))</f>
        <v>-19.809002090950219</v>
      </c>
      <c r="P1787" s="5">
        <v>7.1455975247960763</v>
      </c>
      <c r="Q1787" s="5">
        <v>0.88197874702399193</v>
      </c>
      <c r="R1787" s="6">
        <f>P1787/Q1787</f>
        <v>8.1017797185102687</v>
      </c>
    </row>
    <row r="1788" spans="1:18" x14ac:dyDescent="0.35">
      <c r="A1788" s="9">
        <v>1136</v>
      </c>
      <c r="B1788" s="5">
        <v>0.5</v>
      </c>
      <c r="C1788" s="5">
        <v>4000000</v>
      </c>
      <c r="D1788" s="5">
        <v>15</v>
      </c>
      <c r="E1788" s="5">
        <v>0.125</v>
      </c>
      <c r="F1788" s="5">
        <v>0.15</v>
      </c>
      <c r="G1788" s="12">
        <f>(C1788*$U$4)/($U$5*$U$3)</f>
        <v>58.775510204081627</v>
      </c>
      <c r="H1788" s="11">
        <f>G1788*COS(RADIANS(D1788))</f>
        <v>56.772783259439109</v>
      </c>
      <c r="I1788" s="11">
        <f>G1788*SIN(RADIANS(D1788))</f>
        <v>15.212221426433871</v>
      </c>
      <c r="J1788" s="12">
        <v>0.23300000000000001</v>
      </c>
      <c r="K1788" s="20">
        <v>27</v>
      </c>
      <c r="L1788" s="12">
        <f>-(F1788*G1788*$U$3)/J1788</f>
        <v>-37.838311290181302</v>
      </c>
      <c r="M1788" s="11">
        <f>ABS(L1788/$U$6)</f>
        <v>0.11031577635621372</v>
      </c>
      <c r="N1788" s="12">
        <f>L1788*SIN(RADIANS(K1788))</f>
        <v>-17.178233851929942</v>
      </c>
      <c r="O1788" s="12">
        <f>L1788*COS(RADIANS(K1788))</f>
        <v>-33.714182223821922</v>
      </c>
      <c r="P1788" s="5">
        <v>5.3368524835348508</v>
      </c>
      <c r="Q1788" s="5">
        <v>0.64485401975648604</v>
      </c>
      <c r="R1788" s="6">
        <f>P1788/Q1788</f>
        <v>8.2760629848445202</v>
      </c>
    </row>
    <row r="1789" spans="1:18" x14ac:dyDescent="0.35">
      <c r="A1789" s="9">
        <v>1790</v>
      </c>
      <c r="B1789" s="5">
        <v>0.5</v>
      </c>
      <c r="C1789" s="5">
        <v>6000000</v>
      </c>
      <c r="D1789" s="5">
        <v>20</v>
      </c>
      <c r="E1789" s="5">
        <v>0.125</v>
      </c>
      <c r="F1789" s="5">
        <v>0</v>
      </c>
      <c r="G1789" s="12">
        <f>(C1789*$U$4)/($U$5*$U$3)</f>
        <v>88.16326530612244</v>
      </c>
      <c r="H1789" s="11">
        <f>G1789*COS(RADIANS(D1789))</f>
        <v>82.846369832553549</v>
      </c>
      <c r="I1789" s="11">
        <f>G1789*SIN(RADIANS(D1789))</f>
        <v>30.153612636058952</v>
      </c>
      <c r="J1789" s="12">
        <v>0.23300000000000001</v>
      </c>
      <c r="K1789" s="11">
        <v>27</v>
      </c>
      <c r="L1789" s="12">
        <f>-(F1789*G1789*$U$3)/J1789</f>
        <v>0</v>
      </c>
      <c r="M1789" s="11">
        <f>ABS(L1789/$U$6)</f>
        <v>0</v>
      </c>
      <c r="N1789" s="12">
        <f>L1789*SIN(RADIANS(K1789))</f>
        <v>0</v>
      </c>
      <c r="O1789" s="12">
        <f>L1789*COS(RADIANS(K1789))</f>
        <v>0</v>
      </c>
      <c r="P1789" s="5">
        <v>3.7744274101074415</v>
      </c>
      <c r="Q1789" s="5">
        <v>1.3524078856489101</v>
      </c>
      <c r="R1789" s="6">
        <f>P1789/Q1789</f>
        <v>2.7908942636018437</v>
      </c>
    </row>
    <row r="1790" spans="1:18" x14ac:dyDescent="0.35">
      <c r="A1790" s="9">
        <v>1791</v>
      </c>
      <c r="B1790" s="5">
        <v>1</v>
      </c>
      <c r="C1790" s="5">
        <v>4000000</v>
      </c>
      <c r="D1790" s="5">
        <v>0</v>
      </c>
      <c r="E1790" s="5">
        <v>0.125</v>
      </c>
      <c r="F1790" s="5">
        <v>0.15</v>
      </c>
      <c r="G1790" s="12">
        <f>(C1790*$U$4)/($U$5*$U$3)</f>
        <v>58.775510204081627</v>
      </c>
      <c r="H1790" s="11">
        <f>G1790*COS(RADIANS(D1790))</f>
        <v>58.775510204081627</v>
      </c>
      <c r="I1790" s="11">
        <f>G1790*SIN(RADIANS(D1790))</f>
        <v>0</v>
      </c>
      <c r="J1790" s="11">
        <v>0.33379999999999999</v>
      </c>
      <c r="K1790" s="12">
        <v>14</v>
      </c>
      <c r="L1790" s="12">
        <f>-(F1790*G1790*$U$3)/J1790</f>
        <v>-26.412002787933627</v>
      </c>
      <c r="M1790" s="11">
        <f>ABS(L1790/$U$6)</f>
        <v>7.7002923579981425E-2</v>
      </c>
      <c r="N1790" s="12">
        <f>L1790*SIN(RADIANS(K1790))</f>
        <v>-6.3896417810406119</v>
      </c>
      <c r="O1790" s="12">
        <f>L1790*COS(RADIANS(K1790))</f>
        <v>-25.627453427521701</v>
      </c>
      <c r="P1790" s="5">
        <v>4.4017934116225979</v>
      </c>
      <c r="Q1790" s="5">
        <v>-9.5593074837183392E-2</v>
      </c>
      <c r="R1790" s="6">
        <f>P1790/Q1790</f>
        <v>-46.047199748724964</v>
      </c>
    </row>
    <row r="1791" spans="1:18" x14ac:dyDescent="0.35">
      <c r="A1791" s="9">
        <v>1792</v>
      </c>
      <c r="B1791" s="5">
        <v>0.75</v>
      </c>
      <c r="C1791" s="5">
        <v>6000000</v>
      </c>
      <c r="D1791" s="5">
        <v>20</v>
      </c>
      <c r="E1791" s="5">
        <v>0.375</v>
      </c>
      <c r="F1791" s="5">
        <v>7.4999999999999997E-2</v>
      </c>
      <c r="G1791" s="12">
        <f>(C1791*$U$4)/($U$5*$U$3)</f>
        <v>88.16326530612244</v>
      </c>
      <c r="H1791" s="11">
        <f>G1791*COS(RADIANS(D1791))</f>
        <v>82.846369832553549</v>
      </c>
      <c r="I1791" s="11">
        <f>G1791*SIN(RADIANS(D1791))</f>
        <v>30.153612636058952</v>
      </c>
      <c r="J1791" s="11">
        <v>0.29299999999999998</v>
      </c>
      <c r="K1791" s="12">
        <v>57</v>
      </c>
      <c r="L1791" s="12">
        <f>-(F1791*G1791*$U$3)/J1791</f>
        <v>-22.567388730236122</v>
      </c>
      <c r="M1791" s="11">
        <f>ABS(L1791/$U$6)</f>
        <v>6.5794136239755455E-2</v>
      </c>
      <c r="N1791" s="12">
        <f>L1791*SIN(RADIANS(K1791))</f>
        <v>-18.926604723432291</v>
      </c>
      <c r="O1791" s="12">
        <f>L1791*COS(RADIANS(K1791))</f>
        <v>-12.291080820844799</v>
      </c>
      <c r="P1791" s="5">
        <v>5.1990481337217016</v>
      </c>
      <c r="Q1791" s="5">
        <v>0.64635542407966062</v>
      </c>
      <c r="R1791" s="6">
        <f>P1791/Q1791</f>
        <v>8.0436365814127377</v>
      </c>
    </row>
    <row r="1792" spans="1:18" x14ac:dyDescent="0.35">
      <c r="A1792" s="9">
        <v>1793</v>
      </c>
      <c r="B1792" s="5">
        <v>0.75</v>
      </c>
      <c r="C1792" s="5">
        <v>6000000</v>
      </c>
      <c r="D1792" s="5">
        <v>5</v>
      </c>
      <c r="E1792" s="5">
        <v>0.25</v>
      </c>
      <c r="F1792" s="5">
        <v>0.1</v>
      </c>
      <c r="G1792" s="12">
        <f>(C1792*$U$4)/($U$5*$U$3)</f>
        <v>88.16326530612244</v>
      </c>
      <c r="H1792" s="11">
        <f>G1792*COS(RADIANS(D1792))</f>
        <v>87.827777464415107</v>
      </c>
      <c r="I1792" s="11">
        <f>G1792*SIN(RADIANS(D1792))</f>
        <v>7.6839348708139434</v>
      </c>
      <c r="J1792" s="12">
        <v>0.28370000000000001</v>
      </c>
      <c r="K1792" s="11">
        <v>38</v>
      </c>
      <c r="L1792" s="12">
        <f>-(F1792*G1792*$U$3)/J1792</f>
        <v>-31.076230280621232</v>
      </c>
      <c r="M1792" s="11">
        <f>ABS(L1792/$U$6)</f>
        <v>9.0601254462452568E-2</v>
      </c>
      <c r="N1792" s="12">
        <f>L1792*SIN(RADIANS(K1792))</f>
        <v>-19.132437782127163</v>
      </c>
      <c r="O1792" s="12">
        <f>L1792*COS(RADIANS(K1792))</f>
        <v>-24.488403642688368</v>
      </c>
      <c r="P1792" s="5">
        <v>4.4699865824716767</v>
      </c>
      <c r="Q1792" s="5">
        <v>-7.2529842728792288E-2</v>
      </c>
      <c r="R1792" s="6">
        <f>P1792/Q1792</f>
        <v>-61.629619123622049</v>
      </c>
    </row>
    <row r="1793" spans="1:18" x14ac:dyDescent="0.35">
      <c r="A1793" s="9">
        <v>1794</v>
      </c>
      <c r="B1793" s="5">
        <v>0.5</v>
      </c>
      <c r="C1793" s="5">
        <v>4000000</v>
      </c>
      <c r="D1793" s="5">
        <v>0</v>
      </c>
      <c r="E1793" s="5">
        <v>0</v>
      </c>
      <c r="F1793" s="5">
        <v>0.1</v>
      </c>
      <c r="G1793" s="12">
        <f>(C1793*$U$4)/($U$5*$U$3)</f>
        <v>58.775510204081627</v>
      </c>
      <c r="H1793" s="11">
        <f>G1793*COS(RADIANS(D1793))</f>
        <v>58.775510204081627</v>
      </c>
      <c r="I1793" s="11">
        <f>G1793*SIN(RADIANS(D1793))</f>
        <v>0</v>
      </c>
      <c r="J1793" s="12">
        <v>0.23230000000000001</v>
      </c>
      <c r="K1793" s="12">
        <v>0</v>
      </c>
      <c r="L1793" s="12">
        <f>-(F1793*G1793*$U$3)/J1793</f>
        <v>-25.30155411282033</v>
      </c>
      <c r="M1793" s="11">
        <f>ABS(L1793/$U$6)</f>
        <v>7.3765463885773555E-2</v>
      </c>
      <c r="N1793" s="12">
        <f>L1793*SIN(RADIANS(K1793))</f>
        <v>0</v>
      </c>
      <c r="O1793" s="12">
        <f>L1793*COS(RADIANS(K1793))</f>
        <v>-25.30155411282033</v>
      </c>
      <c r="P1793" s="5">
        <v>4.57833183260251</v>
      </c>
      <c r="Q1793" s="5">
        <v>2.5159458464901332E-2</v>
      </c>
      <c r="R1793" s="6">
        <f>P1793/Q1793</f>
        <v>181.97259050664806</v>
      </c>
    </row>
    <row r="1794" spans="1:18" x14ac:dyDescent="0.35">
      <c r="A1794" s="9">
        <v>1795</v>
      </c>
      <c r="B1794" s="5">
        <v>1</v>
      </c>
      <c r="C1794" s="5">
        <v>6000000</v>
      </c>
      <c r="D1794" s="5">
        <v>30</v>
      </c>
      <c r="E1794" s="5">
        <v>0</v>
      </c>
      <c r="F1794" s="5">
        <v>0</v>
      </c>
      <c r="G1794" s="12">
        <f>(C1794*$U$4)/($U$5*$U$3)</f>
        <v>88.16326530612244</v>
      </c>
      <c r="H1794" s="11">
        <f>G1794*COS(RADIANS(D1794))</f>
        <v>76.351627435689281</v>
      </c>
      <c r="I1794" s="11">
        <f>G1794*SIN(RADIANS(D1794))</f>
        <v>44.081632653061213</v>
      </c>
      <c r="J1794" s="11">
        <v>0.33379999999999999</v>
      </c>
      <c r="K1794" s="12">
        <v>0</v>
      </c>
      <c r="L1794" s="12">
        <f>-(F1794*G1794*$U$3)/J1794</f>
        <v>0</v>
      </c>
      <c r="M1794" s="11">
        <f>ABS(L1794/$U$6)</f>
        <v>0</v>
      </c>
      <c r="N1794" s="12">
        <f>L1794*SIN(RADIANS(K1794))</f>
        <v>0</v>
      </c>
      <c r="O1794" s="12">
        <f>L1794*COS(RADIANS(K1794))</f>
        <v>0</v>
      </c>
      <c r="P1794" s="5">
        <v>5.3072070806790581</v>
      </c>
      <c r="Q1794" s="5">
        <v>3.0184255467379337</v>
      </c>
      <c r="R1794" s="6">
        <f>P1794/Q1794</f>
        <v>1.7582699982163388</v>
      </c>
    </row>
    <row r="1795" spans="1:18" x14ac:dyDescent="0.35">
      <c r="A1795" s="9">
        <v>1796</v>
      </c>
      <c r="B1795" s="5">
        <v>0.5</v>
      </c>
      <c r="C1795" s="5">
        <v>6000000</v>
      </c>
      <c r="D1795" s="5">
        <v>15</v>
      </c>
      <c r="E1795" s="5">
        <v>0.375</v>
      </c>
      <c r="F1795" s="5">
        <v>0</v>
      </c>
      <c r="G1795" s="12">
        <f>(C1795*$U$4)/($U$5*$U$3)</f>
        <v>88.16326530612244</v>
      </c>
      <c r="H1795" s="11">
        <f>G1795*COS(RADIANS(D1795))</f>
        <v>85.159174889158663</v>
      </c>
      <c r="I1795" s="11">
        <f>G1795*SIN(RADIANS(D1795))</f>
        <v>22.818332139650806</v>
      </c>
      <c r="J1795" s="12">
        <v>0.24809999999999999</v>
      </c>
      <c r="K1795" s="12">
        <v>67</v>
      </c>
      <c r="L1795" s="12">
        <f>-(F1795*G1795*$U$3)/J1795</f>
        <v>0</v>
      </c>
      <c r="M1795" s="11">
        <f>ABS(L1795/$U$6)</f>
        <v>0</v>
      </c>
      <c r="N1795" s="12">
        <f>L1795*SIN(RADIANS(K1795))</f>
        <v>0</v>
      </c>
      <c r="O1795" s="12">
        <f>L1795*COS(RADIANS(K1795))</f>
        <v>0</v>
      </c>
      <c r="P1795" s="5">
        <v>3.6945205749250367</v>
      </c>
      <c r="Q1795" s="5">
        <v>1.0710773177293926</v>
      </c>
      <c r="R1795" s="6">
        <f>P1795/Q1795</f>
        <v>3.4493500270896935</v>
      </c>
    </row>
    <row r="1796" spans="1:18" x14ac:dyDescent="0.35">
      <c r="A1796" s="9">
        <v>1797</v>
      </c>
      <c r="B1796" s="5">
        <v>0.5</v>
      </c>
      <c r="C1796" s="5">
        <v>2000000</v>
      </c>
      <c r="D1796" s="5">
        <v>0</v>
      </c>
      <c r="E1796" s="5">
        <v>0.375</v>
      </c>
      <c r="F1796" s="5">
        <v>0</v>
      </c>
      <c r="G1796" s="12">
        <f>(C1796*$U$4)/($U$5*$U$3)</f>
        <v>29.387755102040813</v>
      </c>
      <c r="H1796" s="11">
        <f>G1796*COS(RADIANS(D1796))</f>
        <v>29.387755102040813</v>
      </c>
      <c r="I1796" s="11">
        <f>G1796*SIN(RADIANS(D1796))</f>
        <v>0</v>
      </c>
      <c r="J1796" s="12">
        <v>0.24809999999999999</v>
      </c>
      <c r="K1796" s="12">
        <v>67</v>
      </c>
      <c r="L1796" s="12">
        <f>-(F1796*G1796*$U$3)/J1796</f>
        <v>0</v>
      </c>
      <c r="M1796" s="11">
        <f>ABS(L1796/$U$6)</f>
        <v>0</v>
      </c>
      <c r="N1796" s="12">
        <f>L1796*SIN(RADIANS(K1796))</f>
        <v>0</v>
      </c>
      <c r="O1796" s="12">
        <f>L1796*COS(RADIANS(K1796))</f>
        <v>0</v>
      </c>
      <c r="P1796" s="5">
        <v>4.1576697954370108</v>
      </c>
      <c r="Q1796" s="5">
        <v>0.25517725642331601</v>
      </c>
      <c r="R1796" s="6">
        <f>P1796/Q1796</f>
        <v>16.293261608471141</v>
      </c>
    </row>
    <row r="1797" spans="1:18" x14ac:dyDescent="0.35">
      <c r="A1797" s="9">
        <v>1798</v>
      </c>
      <c r="B1797" s="5">
        <v>0.1</v>
      </c>
      <c r="C1797" s="5">
        <v>2000000</v>
      </c>
      <c r="D1797" s="5">
        <v>10</v>
      </c>
      <c r="E1797" s="5">
        <v>0</v>
      </c>
      <c r="F1797" s="5">
        <v>7.4999999999999997E-2</v>
      </c>
      <c r="G1797" s="12">
        <f>(C1797*$U$4)/($U$5*$U$3)</f>
        <v>29.387755102040813</v>
      </c>
      <c r="H1797" s="11">
        <f>G1797*COS(RADIANS(D1797))</f>
        <v>28.941289068113864</v>
      </c>
      <c r="I1797" s="11">
        <f>G1797*SIN(RADIANS(D1797))</f>
        <v>5.1031301191914213</v>
      </c>
      <c r="J1797" s="11">
        <v>0.16569999999999999</v>
      </c>
      <c r="K1797" s="12">
        <v>0</v>
      </c>
      <c r="L1797" s="12">
        <f>-(F1797*G1797*$U$3)/J1797</f>
        <v>-13.301639303880876</v>
      </c>
      <c r="M1797" s="11">
        <f>ABS(L1797/$U$6)</f>
        <v>3.8780289515687683E-2</v>
      </c>
      <c r="N1797" s="12">
        <f>L1797*SIN(RADIANS(K1797))</f>
        <v>0</v>
      </c>
      <c r="O1797" s="12">
        <f>L1797*COS(RADIANS(K1797))</f>
        <v>-13.301639303880876</v>
      </c>
      <c r="P1797" s="5">
        <v>1.5138805871987508</v>
      </c>
      <c r="Q1797" s="5">
        <v>0.4135218508857933</v>
      </c>
      <c r="R1797" s="6">
        <f>P1797/Q1797</f>
        <v>3.6609446005233113</v>
      </c>
    </row>
    <row r="1798" spans="1:18" x14ac:dyDescent="0.35">
      <c r="A1798" s="9">
        <v>1799</v>
      </c>
      <c r="B1798" s="5">
        <v>0.25</v>
      </c>
      <c r="C1798" s="5">
        <v>2000000</v>
      </c>
      <c r="D1798" s="5">
        <v>0</v>
      </c>
      <c r="E1798" s="5">
        <v>0.125</v>
      </c>
      <c r="F1798" s="5">
        <v>1.4999999999999999E-2</v>
      </c>
      <c r="G1798" s="12">
        <f>(C1798*$U$4)/($U$5*$U$3)</f>
        <v>29.387755102040813</v>
      </c>
      <c r="H1798" s="11">
        <f>G1798*COS(RADIANS(D1798))</f>
        <v>29.387755102040813</v>
      </c>
      <c r="I1798" s="11">
        <f>G1798*SIN(RADIANS(D1798))</f>
        <v>0</v>
      </c>
      <c r="J1798" s="11">
        <v>0.19020000000000001</v>
      </c>
      <c r="K1798" s="12">
        <v>46</v>
      </c>
      <c r="L1798" s="12">
        <f>-(F1798*G1798*$U$3)/J1798</f>
        <v>-2.3176463014227768</v>
      </c>
      <c r="M1798" s="11">
        <f>ABS(L1798/$U$6)</f>
        <v>6.7569863015241307E-3</v>
      </c>
      <c r="N1798" s="12">
        <f>L1798*SIN(RADIANS(K1798))</f>
        <v>-1.6671752277210734</v>
      </c>
      <c r="O1798" s="12">
        <f>L1798*COS(RADIANS(K1798))</f>
        <v>-1.6099724030466682</v>
      </c>
      <c r="P1798" s="5">
        <v>2.0141244080175262</v>
      </c>
      <c r="Q1798" s="5">
        <v>0.2276283994086846</v>
      </c>
      <c r="R1798" s="6">
        <f>P1798/Q1798</f>
        <v>8.8483001824449961</v>
      </c>
    </row>
    <row r="1799" spans="1:18" x14ac:dyDescent="0.35">
      <c r="A1799" s="9">
        <v>1800</v>
      </c>
      <c r="B1799" s="5">
        <v>0.1</v>
      </c>
      <c r="C1799" s="5">
        <v>4000000</v>
      </c>
      <c r="D1799" s="5">
        <v>0</v>
      </c>
      <c r="E1799" s="5">
        <v>0.25</v>
      </c>
      <c r="F1799" s="5">
        <v>3.5000000000000003E-2</v>
      </c>
      <c r="G1799" s="12">
        <f>(C1799*$U$4)/($U$5*$U$3)</f>
        <v>58.775510204081627</v>
      </c>
      <c r="H1799" s="11">
        <f>G1799*COS(RADIANS(D1799))</f>
        <v>58.775510204081627</v>
      </c>
      <c r="I1799" s="11">
        <f>G1799*SIN(RADIANS(D1799))</f>
        <v>0</v>
      </c>
      <c r="J1799" s="11">
        <v>0.1661</v>
      </c>
      <c r="K1799" s="12">
        <v>80</v>
      </c>
      <c r="L1799" s="12">
        <f>-(F1799*G1799*$U$3)/J1799</f>
        <v>-12.384966027350131</v>
      </c>
      <c r="M1799" s="11">
        <f>ABS(L1799/$U$6)</f>
        <v>3.6107772674490182E-2</v>
      </c>
      <c r="N1799" s="12">
        <f>L1799*SIN(RADIANS(K1799))</f>
        <v>-12.196810564527215</v>
      </c>
      <c r="O1799" s="12">
        <f>L1799*COS(RADIANS(K1799))</f>
        <v>-2.150626781116193</v>
      </c>
      <c r="P1799" s="5">
        <v>1.4050776094505844</v>
      </c>
      <c r="Q1799" s="5">
        <v>0.22666892419977011</v>
      </c>
      <c r="R1799" s="6">
        <f>P1799/Q1799</f>
        <v>6.1988100680808254</v>
      </c>
    </row>
    <row r="1800" spans="1:18" x14ac:dyDescent="0.35">
      <c r="A1800" s="9">
        <v>1801</v>
      </c>
      <c r="B1800" s="5">
        <v>0.1</v>
      </c>
      <c r="C1800" s="5">
        <v>2000000</v>
      </c>
      <c r="D1800" s="5">
        <v>5</v>
      </c>
      <c r="E1800" s="5">
        <v>0.125</v>
      </c>
      <c r="F1800" s="5">
        <v>0</v>
      </c>
      <c r="G1800" s="12">
        <f>(C1800*$U$4)/($U$5*$U$3)</f>
        <v>29.387755102040813</v>
      </c>
      <c r="H1800" s="11">
        <f>G1800*COS(RADIANS(D1800))</f>
        <v>29.275925821471702</v>
      </c>
      <c r="I1800" s="11">
        <f>G1800*SIN(RADIANS(D1800))</f>
        <v>2.5613116236046478</v>
      </c>
      <c r="J1800" s="12">
        <v>0.1658</v>
      </c>
      <c r="K1800" s="12">
        <v>69</v>
      </c>
      <c r="L1800" s="12">
        <f>-(F1800*G1800*$U$3)/J1800</f>
        <v>0</v>
      </c>
      <c r="M1800" s="11">
        <f>ABS(L1800/$U$6)</f>
        <v>0</v>
      </c>
      <c r="N1800" s="12">
        <f>L1800*SIN(RADIANS(K1800))</f>
        <v>0</v>
      </c>
      <c r="O1800" s="12">
        <f>L1800*COS(RADIANS(K1800))</f>
        <v>0</v>
      </c>
      <c r="P1800" s="5">
        <v>1.370019547261303</v>
      </c>
      <c r="Q1800" s="5">
        <v>0.34809316714097949</v>
      </c>
      <c r="R1800" s="6">
        <f>P1800/Q1800</f>
        <v>3.9357840848006025</v>
      </c>
    </row>
    <row r="1801" spans="1:18" x14ac:dyDescent="0.35">
      <c r="A1801" s="9">
        <v>1802</v>
      </c>
      <c r="B1801" s="5">
        <v>1</v>
      </c>
      <c r="C1801" s="5">
        <v>4000000</v>
      </c>
      <c r="D1801" s="5">
        <v>20</v>
      </c>
      <c r="E1801" s="5">
        <v>0.125</v>
      </c>
      <c r="F1801" s="5">
        <v>0.1</v>
      </c>
      <c r="G1801" s="12">
        <f>(C1801*$U$4)/($U$5*$U$3)</f>
        <v>58.775510204081627</v>
      </c>
      <c r="H1801" s="11">
        <f>G1801*COS(RADIANS(D1801))</f>
        <v>55.230913221702366</v>
      </c>
      <c r="I1801" s="11">
        <f>G1801*SIN(RADIANS(D1801))</f>
        <v>20.102408424039304</v>
      </c>
      <c r="J1801" s="11">
        <v>0.33379999999999999</v>
      </c>
      <c r="K1801" s="12">
        <v>14</v>
      </c>
      <c r="L1801" s="12">
        <f>-(F1801*G1801*$U$3)/J1801</f>
        <v>-17.608001858622419</v>
      </c>
      <c r="M1801" s="11">
        <f>ABS(L1801/$U$6)</f>
        <v>5.1335282386654281E-2</v>
      </c>
      <c r="N1801" s="12">
        <f>L1801*SIN(RADIANS(K1801))</f>
        <v>-4.2597611873604082</v>
      </c>
      <c r="O1801" s="12">
        <f>L1801*COS(RADIANS(K1801))</f>
        <v>-17.084968951681137</v>
      </c>
      <c r="P1801" s="5">
        <v>2.9183626533559837</v>
      </c>
      <c r="Q1801" s="5">
        <v>1.1197011165142976</v>
      </c>
      <c r="R1801" s="6">
        <f>P1801/Q1801</f>
        <v>2.6063764787884076</v>
      </c>
    </row>
    <row r="1802" spans="1:18" x14ac:dyDescent="0.35">
      <c r="A1802" s="9">
        <v>1803</v>
      </c>
      <c r="B1802" s="5">
        <v>1</v>
      </c>
      <c r="C1802" s="5">
        <v>2000000</v>
      </c>
      <c r="D1802" s="5">
        <v>20</v>
      </c>
      <c r="E1802" s="5">
        <v>0.125</v>
      </c>
      <c r="F1802" s="5">
        <v>2.5000000000000001E-2</v>
      </c>
      <c r="G1802" s="12">
        <f>(C1802*$U$4)/($U$5*$U$3)</f>
        <v>29.387755102040813</v>
      </c>
      <c r="H1802" s="11">
        <f>G1802*COS(RADIANS(D1802))</f>
        <v>27.615456610851183</v>
      </c>
      <c r="I1802" s="11">
        <f>G1802*SIN(RADIANS(D1802))</f>
        <v>10.051204212019652</v>
      </c>
      <c r="J1802" s="11">
        <v>0.33379999999999999</v>
      </c>
      <c r="K1802" s="12">
        <v>14</v>
      </c>
      <c r="L1802" s="12">
        <f>-(F1802*G1802*$U$3)/J1802</f>
        <v>-2.2010002323278024</v>
      </c>
      <c r="M1802" s="11">
        <f>ABS(L1802/$U$6)</f>
        <v>6.4169102983317851E-3</v>
      </c>
      <c r="N1802" s="12">
        <f>L1802*SIN(RADIANS(K1802))</f>
        <v>-0.53247014842005103</v>
      </c>
      <c r="O1802" s="12">
        <f>L1802*COS(RADIANS(K1802))</f>
        <v>-2.1356211189601422</v>
      </c>
      <c r="P1802" s="5">
        <v>3.5764908492133505</v>
      </c>
      <c r="Q1802" s="5">
        <v>1.1414148849344321</v>
      </c>
      <c r="R1802" s="6">
        <f>P1802/Q1802</f>
        <v>3.1333837471541295</v>
      </c>
    </row>
    <row r="1803" spans="1:18" x14ac:dyDescent="0.35">
      <c r="A1803" s="9">
        <v>1804</v>
      </c>
      <c r="B1803" s="5">
        <v>0.25</v>
      </c>
      <c r="C1803" s="5">
        <v>4000000</v>
      </c>
      <c r="D1803" s="5">
        <v>30</v>
      </c>
      <c r="E1803" s="5">
        <v>0</v>
      </c>
      <c r="F1803" s="5">
        <v>0</v>
      </c>
      <c r="G1803" s="12">
        <f>(C1803*$U$4)/($U$5*$U$3)</f>
        <v>58.775510204081627</v>
      </c>
      <c r="H1803" s="11">
        <f>G1803*COS(RADIANS(D1803))</f>
        <v>50.901084957126187</v>
      </c>
      <c r="I1803" s="11">
        <f>G1803*SIN(RADIANS(D1803))</f>
        <v>29.38775510204081</v>
      </c>
      <c r="J1803" s="12">
        <v>0.18990000000000001</v>
      </c>
      <c r="K1803" s="12">
        <v>0</v>
      </c>
      <c r="L1803" s="12">
        <f>-(F1803*G1803*$U$3)/J1803</f>
        <v>0</v>
      </c>
      <c r="M1803" s="11">
        <f>ABS(L1803/$U$6)</f>
        <v>0</v>
      </c>
      <c r="N1803" s="12">
        <f>L1803*SIN(RADIANS(K1803))</f>
        <v>0</v>
      </c>
      <c r="O1803" s="12">
        <f>L1803*COS(RADIANS(K1803))</f>
        <v>0</v>
      </c>
      <c r="P1803" s="5">
        <v>2.1848349658041291</v>
      </c>
      <c r="Q1803" s="5">
        <v>1.0153640147240892</v>
      </c>
      <c r="R1803" s="6">
        <f>P1803/Q1803</f>
        <v>2.1517750620675944</v>
      </c>
    </row>
    <row r="1804" spans="1:18" x14ac:dyDescent="0.35">
      <c r="A1804" s="9">
        <v>1805</v>
      </c>
      <c r="B1804" s="5">
        <v>0.5</v>
      </c>
      <c r="C1804" s="5">
        <v>2000000</v>
      </c>
      <c r="D1804" s="5">
        <v>5</v>
      </c>
      <c r="E1804" s="5">
        <v>0</v>
      </c>
      <c r="F1804" s="5">
        <v>2.5000000000000001E-2</v>
      </c>
      <c r="G1804" s="12">
        <f>(C1804*$U$4)/($U$5*$U$3)</f>
        <v>29.387755102040813</v>
      </c>
      <c r="H1804" s="11">
        <f>G1804*COS(RADIANS(D1804))</f>
        <v>29.275925821471702</v>
      </c>
      <c r="I1804" s="11">
        <f>G1804*SIN(RADIANS(D1804))</f>
        <v>2.5613116236046478</v>
      </c>
      <c r="J1804" s="12">
        <v>0.23230000000000001</v>
      </c>
      <c r="K1804" s="12">
        <v>0</v>
      </c>
      <c r="L1804" s="12">
        <f>-(F1804*G1804*$U$3)/J1804</f>
        <v>-3.1626942641025413</v>
      </c>
      <c r="M1804" s="11">
        <f>ABS(L1804/$U$6)</f>
        <v>9.2206829857216944E-3</v>
      </c>
      <c r="N1804" s="12">
        <f>L1804*SIN(RADIANS(K1804))</f>
        <v>0</v>
      </c>
      <c r="O1804" s="12">
        <f>L1804*COS(RADIANS(K1804))</f>
        <v>-3.1626942641025413</v>
      </c>
      <c r="P1804" s="5">
        <v>2.4942685118119465</v>
      </c>
      <c r="Q1804" s="5">
        <v>0.58957273391618925</v>
      </c>
      <c r="R1804" s="6">
        <f>P1804/Q1804</f>
        <v>4.230637491058939</v>
      </c>
    </row>
    <row r="1805" spans="1:18" x14ac:dyDescent="0.35">
      <c r="A1805" s="9">
        <v>1308</v>
      </c>
      <c r="B1805" s="5">
        <v>0.5</v>
      </c>
      <c r="C1805" s="5">
        <v>6000000</v>
      </c>
      <c r="D1805" s="5">
        <v>0</v>
      </c>
      <c r="E1805" s="5">
        <v>0.125</v>
      </c>
      <c r="F1805" s="5">
        <v>0.1</v>
      </c>
      <c r="G1805" s="12">
        <f>(C1805*$U$4)/($U$5*$U$3)</f>
        <v>88.16326530612244</v>
      </c>
      <c r="H1805" s="11">
        <f>G1805*COS(RADIANS(D1805))</f>
        <v>88.16326530612244</v>
      </c>
      <c r="I1805" s="11">
        <f>G1805*SIN(RADIANS(D1805))</f>
        <v>0</v>
      </c>
      <c r="J1805" s="19">
        <v>0.23300000000000001</v>
      </c>
      <c r="K1805" s="20">
        <v>27</v>
      </c>
      <c r="L1805" s="12">
        <f>-(F1805*G1805*$U$3)/J1805</f>
        <v>-37.838311290181302</v>
      </c>
      <c r="M1805" s="11">
        <f>ABS(L1805/$U$6)</f>
        <v>0.11031577635621372</v>
      </c>
      <c r="N1805" s="12">
        <f>L1805*SIN(RADIANS(K1805))</f>
        <v>-17.178233851929942</v>
      </c>
      <c r="O1805" s="12">
        <f>L1805*COS(RADIANS(K1805))</f>
        <v>-33.714182223821922</v>
      </c>
      <c r="P1805" s="5">
        <v>4.1850903954918603</v>
      </c>
      <c r="Q1805" s="5">
        <v>-1.7421501887500652E-2</v>
      </c>
      <c r="R1805" s="6">
        <f>P1805/Q1805</f>
        <v>-240.22558000550592</v>
      </c>
    </row>
    <row r="1806" spans="1:18" x14ac:dyDescent="0.35">
      <c r="A1806" s="9">
        <v>1807</v>
      </c>
      <c r="B1806" s="5">
        <v>0.75</v>
      </c>
      <c r="C1806" s="5">
        <v>6000000</v>
      </c>
      <c r="D1806" s="5">
        <v>30</v>
      </c>
      <c r="E1806" s="5">
        <v>0.375</v>
      </c>
      <c r="F1806" s="5">
        <v>2.5000000000000001E-2</v>
      </c>
      <c r="G1806" s="12">
        <f>(C1806*$U$4)/($U$5*$U$3)</f>
        <v>88.16326530612244</v>
      </c>
      <c r="H1806" s="11">
        <f>G1806*COS(RADIANS(D1806))</f>
        <v>76.351627435689281</v>
      </c>
      <c r="I1806" s="11">
        <f>G1806*SIN(RADIANS(D1806))</f>
        <v>44.081632653061213</v>
      </c>
      <c r="J1806" s="11">
        <v>0.29299999999999998</v>
      </c>
      <c r="K1806" s="12">
        <v>57</v>
      </c>
      <c r="L1806" s="12">
        <f>-(F1806*G1806*$U$3)/J1806</f>
        <v>-7.5224629100787066</v>
      </c>
      <c r="M1806" s="11">
        <f>ABS(L1806/$U$6)</f>
        <v>2.1931378746585149E-2</v>
      </c>
      <c r="N1806" s="12">
        <f>L1806*SIN(RADIANS(K1806))</f>
        <v>-6.3088682411440962</v>
      </c>
      <c r="O1806" s="12">
        <f>L1806*COS(RADIANS(K1806))</f>
        <v>-4.0970269402815989</v>
      </c>
      <c r="P1806" s="5">
        <v>4.5330791333909373</v>
      </c>
      <c r="Q1806" s="5">
        <v>1.2841320301044024</v>
      </c>
      <c r="R1806" s="6">
        <f>P1806/Q1806</f>
        <v>3.5300724747301797</v>
      </c>
    </row>
    <row r="1807" spans="1:18" x14ac:dyDescent="0.35">
      <c r="A1807" s="9">
        <v>1808</v>
      </c>
      <c r="B1807" s="5">
        <v>0.25</v>
      </c>
      <c r="C1807" s="5">
        <v>2000000</v>
      </c>
      <c r="D1807" s="5">
        <v>0</v>
      </c>
      <c r="E1807" s="5">
        <v>0.25</v>
      </c>
      <c r="F1807" s="5">
        <v>0.1</v>
      </c>
      <c r="G1807" s="12">
        <f>(C1807*$U$4)/($U$5*$U$3)</f>
        <v>29.387755102040813</v>
      </c>
      <c r="H1807" s="11">
        <f>G1807*COS(RADIANS(D1807))</f>
        <v>29.387755102040813</v>
      </c>
      <c r="I1807" s="11">
        <f>G1807*SIN(RADIANS(D1807))</f>
        <v>0</v>
      </c>
      <c r="J1807" s="12">
        <v>0.1913</v>
      </c>
      <c r="K1807" s="11">
        <v>67</v>
      </c>
      <c r="L1807" s="12">
        <f>-(F1807*G1807*$U$3)/J1807</f>
        <v>-15.362130215389866</v>
      </c>
      <c r="M1807" s="11">
        <f>ABS(L1807/$U$6)</f>
        <v>4.4787551648366959E-2</v>
      </c>
      <c r="N1807" s="12">
        <f>L1807*SIN(RADIANS(K1807))</f>
        <v>-14.140915422634755</v>
      </c>
      <c r="O1807" s="12">
        <f>L1807*COS(RADIANS(K1807))</f>
        <v>-6.0024624750584517</v>
      </c>
      <c r="P1807" s="5">
        <v>2.2659921361458584</v>
      </c>
      <c r="Q1807" s="5">
        <v>9.0381950490740784E-2</v>
      </c>
      <c r="R1807" s="6">
        <f>P1807/Q1807</f>
        <v>25.071290493758472</v>
      </c>
    </row>
    <row r="1808" spans="1:18" x14ac:dyDescent="0.35">
      <c r="A1808" s="9">
        <v>1809</v>
      </c>
      <c r="B1808" s="5">
        <v>0.1</v>
      </c>
      <c r="C1808" s="5">
        <v>4000000</v>
      </c>
      <c r="D1808" s="5">
        <v>15</v>
      </c>
      <c r="E1808" s="5">
        <v>0.125</v>
      </c>
      <c r="F1808" s="5">
        <v>0.05</v>
      </c>
      <c r="G1808" s="12">
        <f>(C1808*$U$4)/($U$5*$U$3)</f>
        <v>58.775510204081627</v>
      </c>
      <c r="H1808" s="11">
        <f>G1808*COS(RADIANS(D1808))</f>
        <v>56.772783259439109</v>
      </c>
      <c r="I1808" s="11">
        <f>G1808*SIN(RADIANS(D1808))</f>
        <v>15.212221426433871</v>
      </c>
      <c r="J1808" s="12">
        <v>0.1658</v>
      </c>
      <c r="K1808" s="12">
        <v>69</v>
      </c>
      <c r="L1808" s="12">
        <f>-(F1808*G1808*$U$3)/J1808</f>
        <v>-17.724822136333422</v>
      </c>
      <c r="M1808" s="11">
        <f>ABS(L1808/$U$6)</f>
        <v>5.1675866286686363E-2</v>
      </c>
      <c r="N1808" s="12">
        <f>L1808*SIN(RADIANS(K1808))</f>
        <v>-16.547547009625198</v>
      </c>
      <c r="O1808" s="12">
        <f>L1808*COS(RADIANS(K1808))</f>
        <v>-6.3520081650529594</v>
      </c>
      <c r="P1808" s="5">
        <v>1.5263095804006959</v>
      </c>
      <c r="Q1808" s="5">
        <v>0.58696712592894762</v>
      </c>
      <c r="R1808" s="6">
        <f>P1808/Q1808</f>
        <v>2.600332306490118</v>
      </c>
    </row>
    <row r="1809" spans="1:18" x14ac:dyDescent="0.35">
      <c r="A1809" s="9">
        <v>1810</v>
      </c>
      <c r="B1809" s="5">
        <v>0.75</v>
      </c>
      <c r="C1809" s="5">
        <v>4000000</v>
      </c>
      <c r="D1809" s="5">
        <v>5</v>
      </c>
      <c r="E1809" s="5">
        <v>0.125</v>
      </c>
      <c r="F1809" s="5">
        <v>0.1</v>
      </c>
      <c r="G1809" s="12">
        <f>(C1809*$U$4)/($U$5*$U$3)</f>
        <v>58.775510204081627</v>
      </c>
      <c r="H1809" s="11">
        <f>G1809*COS(RADIANS(D1809))</f>
        <v>58.551851642943404</v>
      </c>
      <c r="I1809" s="11">
        <f>G1809*SIN(RADIANS(D1809))</f>
        <v>5.1226232472092956</v>
      </c>
      <c r="J1809" s="12">
        <v>0.2802</v>
      </c>
      <c r="K1809" s="12">
        <v>19</v>
      </c>
      <c r="L1809" s="12">
        <f>-(F1809*G1809*$U$3)/J1809</f>
        <v>-20.976270593890657</v>
      </c>
      <c r="M1809" s="11">
        <f>ABS(L1809/$U$6)</f>
        <v>6.1155307853908623E-2</v>
      </c>
      <c r="N1809" s="12">
        <f>L1809*SIN(RADIANS(K1809))</f>
        <v>-6.8292057046469079</v>
      </c>
      <c r="O1809" s="12">
        <f>L1809*COS(RADIANS(K1809))</f>
        <v>-19.833453493321329</v>
      </c>
      <c r="P1809" s="5">
        <v>3.6911071713338348</v>
      </c>
      <c r="Q1809" s="5">
        <v>0.36638090497032394</v>
      </c>
      <c r="R1809" s="6">
        <f>P1809/Q1809</f>
        <v>10.074507490047296</v>
      </c>
    </row>
    <row r="1810" spans="1:18" x14ac:dyDescent="0.35">
      <c r="A1810" s="9">
        <v>1811</v>
      </c>
      <c r="B1810" s="5">
        <v>0.75</v>
      </c>
      <c r="C1810" s="5">
        <v>4000000</v>
      </c>
      <c r="D1810" s="5">
        <v>10</v>
      </c>
      <c r="E1810" s="5">
        <v>0.25</v>
      </c>
      <c r="F1810" s="5">
        <v>0.05</v>
      </c>
      <c r="G1810" s="12">
        <f>(C1810*$U$4)/($U$5*$U$3)</f>
        <v>58.775510204081627</v>
      </c>
      <c r="H1810" s="11">
        <f>G1810*COS(RADIANS(D1810))</f>
        <v>57.882578136227728</v>
      </c>
      <c r="I1810" s="11">
        <f>G1810*SIN(RADIANS(D1810))</f>
        <v>10.206260238382843</v>
      </c>
      <c r="J1810" s="12">
        <v>0.28370000000000001</v>
      </c>
      <c r="K1810" s="11">
        <v>38</v>
      </c>
      <c r="L1810" s="12">
        <f>-(F1810*G1810*$U$3)/J1810</f>
        <v>-10.358743426873744</v>
      </c>
      <c r="M1810" s="11">
        <f>ABS(L1810/$U$6)</f>
        <v>3.0200418154150858E-2</v>
      </c>
      <c r="N1810" s="12">
        <f>L1810*SIN(RADIANS(K1810))</f>
        <v>-6.3774792607090545</v>
      </c>
      <c r="O1810" s="12">
        <f>L1810*COS(RADIANS(K1810))</f>
        <v>-8.1628012142294555</v>
      </c>
      <c r="P1810" s="5">
        <v>3.1196308909860924</v>
      </c>
      <c r="Q1810" s="5">
        <v>0.71442892310612627</v>
      </c>
      <c r="R1810" s="6">
        <f>P1810/Q1810</f>
        <v>4.366607775932219</v>
      </c>
    </row>
    <row r="1811" spans="1:18" x14ac:dyDescent="0.35">
      <c r="A1811" s="9">
        <v>1812</v>
      </c>
      <c r="B1811" s="5">
        <v>1</v>
      </c>
      <c r="C1811" s="5">
        <v>2000000</v>
      </c>
      <c r="D1811" s="5">
        <v>10</v>
      </c>
      <c r="E1811" s="5">
        <v>0.25</v>
      </c>
      <c r="F1811" s="5">
        <v>0.1</v>
      </c>
      <c r="G1811" s="12">
        <f>(C1811*$U$4)/($U$5*$U$3)</f>
        <v>29.387755102040813</v>
      </c>
      <c r="H1811" s="11">
        <f>G1811*COS(RADIANS(D1811))</f>
        <v>28.941289068113864</v>
      </c>
      <c r="I1811" s="11">
        <f>G1811*SIN(RADIANS(D1811))</f>
        <v>5.1031301191914213</v>
      </c>
      <c r="J1811" s="13">
        <v>0.33379999999999999</v>
      </c>
      <c r="K1811" s="12">
        <v>30</v>
      </c>
      <c r="L1811" s="12">
        <f>-(F1811*G1811*$U$3)/J1811</f>
        <v>-8.8040009293112096</v>
      </c>
      <c r="M1811" s="11">
        <f>ABS(L1811/$U$6)</f>
        <v>2.566764119332714E-2</v>
      </c>
      <c r="N1811" s="12">
        <f>L1811*SIN(RADIANS(K1811))</f>
        <v>-4.4020004646556039</v>
      </c>
      <c r="O1811" s="12">
        <f>L1811*COS(RADIANS(K1811))</f>
        <v>-7.6244884597253142</v>
      </c>
      <c r="P1811" s="5">
        <v>9.5180003705487568</v>
      </c>
      <c r="Q1811" s="5">
        <v>-0.68197988258547648</v>
      </c>
      <c r="R1811" s="6">
        <f>P1811/Q1811</f>
        <v>-13.956423955593456</v>
      </c>
    </row>
    <row r="1812" spans="1:18" x14ac:dyDescent="0.35">
      <c r="A1812" s="9">
        <v>1813</v>
      </c>
      <c r="B1812" s="5">
        <v>0.75</v>
      </c>
      <c r="C1812" s="5">
        <v>4000000</v>
      </c>
      <c r="D1812" s="5">
        <v>20</v>
      </c>
      <c r="E1812" s="5">
        <v>0.125</v>
      </c>
      <c r="F1812" s="5">
        <v>0.1</v>
      </c>
      <c r="G1812" s="12">
        <f>(C1812*$U$4)/($U$5*$U$3)</f>
        <v>58.775510204081627</v>
      </c>
      <c r="H1812" s="11">
        <f>G1812*COS(RADIANS(D1812))</f>
        <v>55.230913221702366</v>
      </c>
      <c r="I1812" s="11">
        <f>G1812*SIN(RADIANS(D1812))</f>
        <v>20.102408424039304</v>
      </c>
      <c r="J1812" s="12">
        <v>0.2802</v>
      </c>
      <c r="K1812" s="12">
        <v>19</v>
      </c>
      <c r="L1812" s="12">
        <f>-(F1812*G1812*$U$3)/J1812</f>
        <v>-20.976270593890657</v>
      </c>
      <c r="M1812" s="11">
        <f>ABS(L1812/$U$6)</f>
        <v>6.1155307853908623E-2</v>
      </c>
      <c r="N1812" s="12">
        <f>L1812*SIN(RADIANS(K1812))</f>
        <v>-6.8292057046469079</v>
      </c>
      <c r="O1812" s="12">
        <f>L1812*COS(RADIANS(K1812))</f>
        <v>-19.833453493321329</v>
      </c>
      <c r="P1812" s="5">
        <v>3.4948082845656505</v>
      </c>
      <c r="Q1812" s="5">
        <v>0.89958658056119578</v>
      </c>
      <c r="R1812" s="6">
        <f>P1812/Q1812</f>
        <v>3.8849048663948036</v>
      </c>
    </row>
    <row r="1813" spans="1:18" x14ac:dyDescent="0.35">
      <c r="A1813" s="9">
        <v>1814</v>
      </c>
      <c r="B1813" s="5">
        <v>1</v>
      </c>
      <c r="C1813" s="5">
        <v>6000000</v>
      </c>
      <c r="D1813" s="5">
        <v>15</v>
      </c>
      <c r="E1813" s="5">
        <v>0</v>
      </c>
      <c r="F1813" s="5">
        <v>1.4999999999999999E-2</v>
      </c>
      <c r="G1813" s="12">
        <f>(C1813*$U$4)/($U$5*$U$3)</f>
        <v>88.16326530612244</v>
      </c>
      <c r="H1813" s="11">
        <f>G1813*COS(RADIANS(D1813))</f>
        <v>85.159174889158663</v>
      </c>
      <c r="I1813" s="11">
        <f>G1813*SIN(RADIANS(D1813))</f>
        <v>22.818332139650806</v>
      </c>
      <c r="J1813" s="11">
        <v>0.33379999999999999</v>
      </c>
      <c r="K1813" s="12">
        <v>0</v>
      </c>
      <c r="L1813" s="12">
        <f>-(F1813*G1813*$U$3)/J1813</f>
        <v>-3.9618004181900441</v>
      </c>
      <c r="M1813" s="11">
        <f>ABS(L1813/$U$6)</f>
        <v>1.1550438536997214E-2</v>
      </c>
      <c r="N1813" s="12">
        <f>L1813*SIN(RADIANS(K1813))</f>
        <v>0</v>
      </c>
      <c r="O1813" s="12">
        <f>L1813*COS(RADIANS(K1813))</f>
        <v>-3.9618004181900441</v>
      </c>
      <c r="P1813" s="5">
        <v>0.4856412087237586</v>
      </c>
      <c r="Q1813" s="5">
        <v>2.241284455498127</v>
      </c>
      <c r="R1813" s="6">
        <f>P1813/Q1813</f>
        <v>0.21667986298322159</v>
      </c>
    </row>
    <row r="1814" spans="1:18" x14ac:dyDescent="0.35">
      <c r="A1814" s="9">
        <v>1815</v>
      </c>
      <c r="B1814" s="5">
        <v>0.75</v>
      </c>
      <c r="C1814" s="5">
        <v>4000000</v>
      </c>
      <c r="D1814" s="5">
        <v>30</v>
      </c>
      <c r="E1814" s="5">
        <v>0.375</v>
      </c>
      <c r="F1814" s="5">
        <v>1.4999999999999999E-2</v>
      </c>
      <c r="G1814" s="12">
        <f>(C1814*$U$4)/($U$5*$U$3)</f>
        <v>58.775510204081627</v>
      </c>
      <c r="H1814" s="11">
        <f>G1814*COS(RADIANS(D1814))</f>
        <v>50.901084957126187</v>
      </c>
      <c r="I1814" s="11">
        <f>G1814*SIN(RADIANS(D1814))</f>
        <v>29.38775510204081</v>
      </c>
      <c r="J1814" s="11">
        <v>0.29299999999999998</v>
      </c>
      <c r="K1814" s="12">
        <v>57</v>
      </c>
      <c r="L1814" s="12">
        <f>-(F1814*G1814*$U$3)/J1814</f>
        <v>-3.0089851640314826</v>
      </c>
      <c r="M1814" s="11">
        <f>ABS(L1814/$U$6)</f>
        <v>8.7725514986340593E-3</v>
      </c>
      <c r="N1814" s="12">
        <f>L1814*SIN(RADIANS(K1814))</f>
        <v>-2.5235472964576386</v>
      </c>
      <c r="O1814" s="12">
        <f>L1814*COS(RADIANS(K1814))</f>
        <v>-1.6388107761126396</v>
      </c>
      <c r="P1814" s="5">
        <v>4.7626641810363433</v>
      </c>
      <c r="Q1814" s="5">
        <v>1.3096490650289152</v>
      </c>
      <c r="R1814" s="6">
        <f>P1814/Q1814</f>
        <v>3.6365957172894943</v>
      </c>
    </row>
    <row r="1815" spans="1:18" x14ac:dyDescent="0.35">
      <c r="A1815" s="9">
        <v>1816</v>
      </c>
      <c r="B1815" s="5">
        <v>0.5</v>
      </c>
      <c r="C1815" s="5">
        <v>6000000</v>
      </c>
      <c r="D1815" s="5">
        <v>5</v>
      </c>
      <c r="E1815" s="5">
        <v>0</v>
      </c>
      <c r="F1815" s="5">
        <v>7.4999999999999997E-2</v>
      </c>
      <c r="G1815" s="12">
        <f>(C1815*$U$4)/($U$5*$U$3)</f>
        <v>88.16326530612244</v>
      </c>
      <c r="H1815" s="11">
        <f>G1815*COS(RADIANS(D1815))</f>
        <v>87.827777464415107</v>
      </c>
      <c r="I1815" s="11">
        <f>G1815*SIN(RADIANS(D1815))</f>
        <v>7.6839348708139434</v>
      </c>
      <c r="J1815" s="12">
        <v>0.23230000000000001</v>
      </c>
      <c r="K1815" s="12">
        <v>0</v>
      </c>
      <c r="L1815" s="12">
        <f>-(F1815*G1815*$U$3)/J1815</f>
        <v>-28.464248376922871</v>
      </c>
      <c r="M1815" s="11">
        <f>ABS(L1815/$U$6)</f>
        <v>8.2986146871495248E-2</v>
      </c>
      <c r="N1815" s="12">
        <f>L1815*SIN(RADIANS(K1815))</f>
        <v>0</v>
      </c>
      <c r="O1815" s="12">
        <f>L1815*COS(RADIANS(K1815))</f>
        <v>-28.464248376922871</v>
      </c>
      <c r="P1815" s="5">
        <v>4.7210792619359268</v>
      </c>
      <c r="Q1815" s="5">
        <v>0.35677321890191227</v>
      </c>
      <c r="R1815" s="6">
        <f>P1815/Q1815</f>
        <v>13.232717625125035</v>
      </c>
    </row>
    <row r="1816" spans="1:18" x14ac:dyDescent="0.35">
      <c r="A1816" s="9">
        <v>1394</v>
      </c>
      <c r="B1816" s="5">
        <v>0.5</v>
      </c>
      <c r="C1816" s="5">
        <v>4000000</v>
      </c>
      <c r="D1816" s="5">
        <v>10</v>
      </c>
      <c r="E1816" s="5">
        <v>0.125</v>
      </c>
      <c r="F1816" s="5">
        <v>0.15</v>
      </c>
      <c r="G1816" s="12">
        <f>(C1816*$U$4)/($U$5*$U$3)</f>
        <v>58.775510204081627</v>
      </c>
      <c r="H1816" s="11">
        <f>G1816*COS(RADIANS(D1816))</f>
        <v>57.882578136227728</v>
      </c>
      <c r="I1816" s="11">
        <f>G1816*SIN(RADIANS(D1816))</f>
        <v>10.206260238382843</v>
      </c>
      <c r="J1816" s="12">
        <v>0.23300000000000001</v>
      </c>
      <c r="K1816" s="11">
        <v>27</v>
      </c>
      <c r="L1816" s="12">
        <f>-(F1816*G1816*$U$3)/J1816</f>
        <v>-37.838311290181302</v>
      </c>
      <c r="M1816" s="11">
        <f>ABS(L1816/$U$6)</f>
        <v>0.11031577635621372</v>
      </c>
      <c r="N1816" s="12">
        <f>L1816*SIN(RADIANS(K1816))</f>
        <v>-17.178233851929942</v>
      </c>
      <c r="O1816" s="12">
        <f>L1816*COS(RADIANS(K1816))</f>
        <v>-33.714182223821922</v>
      </c>
      <c r="P1816" s="5">
        <v>5.3055463027453618</v>
      </c>
      <c r="Q1816" s="5">
        <v>0.33006480575027386</v>
      </c>
      <c r="R1816" s="6">
        <f>P1816/Q1816</f>
        <v>16.074256359096715</v>
      </c>
    </row>
    <row r="1817" spans="1:18" x14ac:dyDescent="0.35">
      <c r="A1817" s="9">
        <v>1818</v>
      </c>
      <c r="B1817" s="5">
        <v>1</v>
      </c>
      <c r="C1817" s="5">
        <v>6000000</v>
      </c>
      <c r="D1817" s="5">
        <v>0</v>
      </c>
      <c r="E1817" s="5">
        <v>0.125</v>
      </c>
      <c r="F1817" s="5">
        <v>0.1</v>
      </c>
      <c r="G1817" s="12">
        <f>(C1817*$U$4)/($U$5*$U$3)</f>
        <v>88.16326530612244</v>
      </c>
      <c r="H1817" s="11">
        <f>G1817*COS(RADIANS(D1817))</f>
        <v>88.16326530612244</v>
      </c>
      <c r="I1817" s="11">
        <f>G1817*SIN(RADIANS(D1817))</f>
        <v>0</v>
      </c>
      <c r="J1817" s="11">
        <v>0.33379999999999999</v>
      </c>
      <c r="K1817" s="12">
        <v>14</v>
      </c>
      <c r="L1817" s="12">
        <f>-(F1817*G1817*$U$3)/J1817</f>
        <v>-26.412002787933627</v>
      </c>
      <c r="M1817" s="11">
        <f>ABS(L1817/$U$6)</f>
        <v>7.7002923579981425E-2</v>
      </c>
      <c r="N1817" s="12">
        <f>L1817*SIN(RADIANS(K1817))</f>
        <v>-6.3896417810406119</v>
      </c>
      <c r="O1817" s="12">
        <f>L1817*COS(RADIANS(K1817))</f>
        <v>-25.627453427521701</v>
      </c>
      <c r="P1817" s="5">
        <v>3.0205458859365044</v>
      </c>
      <c r="Q1817" s="5">
        <v>0.62934031344179409</v>
      </c>
      <c r="R1817" s="6">
        <f>P1817/Q1817</f>
        <v>4.7995429840136348</v>
      </c>
    </row>
    <row r="1818" spans="1:18" x14ac:dyDescent="0.35">
      <c r="A1818" s="9">
        <v>1819</v>
      </c>
      <c r="B1818" s="5">
        <v>0.75</v>
      </c>
      <c r="C1818" s="5">
        <v>6000000</v>
      </c>
      <c r="D1818" s="5">
        <v>10</v>
      </c>
      <c r="E1818" s="5">
        <v>0.375</v>
      </c>
      <c r="F1818" s="5">
        <v>0.05</v>
      </c>
      <c r="G1818" s="12">
        <f>(C1818*$U$4)/($U$5*$U$3)</f>
        <v>88.16326530612244</v>
      </c>
      <c r="H1818" s="11">
        <f>G1818*COS(RADIANS(D1818))</f>
        <v>86.823867204341596</v>
      </c>
      <c r="I1818" s="11">
        <f>G1818*SIN(RADIANS(D1818))</f>
        <v>15.309390357574264</v>
      </c>
      <c r="J1818" s="11">
        <v>0.29299999999999998</v>
      </c>
      <c r="K1818" s="12">
        <v>57</v>
      </c>
      <c r="L1818" s="12">
        <f>-(F1818*G1818*$U$3)/J1818</f>
        <v>-15.044925820157413</v>
      </c>
      <c r="M1818" s="11">
        <f>ABS(L1818/$U$6)</f>
        <v>4.3862757493170298E-2</v>
      </c>
      <c r="N1818" s="12">
        <f>L1818*SIN(RADIANS(K1818))</f>
        <v>-12.617736482288192</v>
      </c>
      <c r="O1818" s="12">
        <f>L1818*COS(RADIANS(K1818))</f>
        <v>-8.1940538805631977</v>
      </c>
      <c r="P1818" s="5">
        <v>5.0318668604832126</v>
      </c>
      <c r="Q1818" s="5">
        <v>-9.1825617341343892E-3</v>
      </c>
      <c r="R1818" s="6">
        <f>P1818/Q1818</f>
        <v>-547.98072761963851</v>
      </c>
    </row>
    <row r="1819" spans="1:18" x14ac:dyDescent="0.35">
      <c r="A1819" s="9">
        <v>1820</v>
      </c>
      <c r="B1819" s="5">
        <v>0.5</v>
      </c>
      <c r="C1819" s="5">
        <v>2000000</v>
      </c>
      <c r="D1819" s="5">
        <v>30</v>
      </c>
      <c r="E1819" s="5">
        <v>0.25</v>
      </c>
      <c r="F1819" s="5">
        <v>0</v>
      </c>
      <c r="G1819" s="12">
        <f>(C1819*$U$4)/($U$5*$U$3)</f>
        <v>29.387755102040813</v>
      </c>
      <c r="H1819" s="11">
        <f>G1819*COS(RADIANS(D1819))</f>
        <v>25.450542478563094</v>
      </c>
      <c r="I1819" s="11">
        <f>G1819*SIN(RADIANS(D1819))</f>
        <v>14.693877551020405</v>
      </c>
      <c r="J1819" s="11">
        <v>0.23580000000000001</v>
      </c>
      <c r="K1819" s="11">
        <v>49</v>
      </c>
      <c r="L1819" s="12">
        <f>-(F1819*G1819*$U$3)/J1819</f>
        <v>0</v>
      </c>
      <c r="M1819" s="11">
        <f>ABS(L1819/$U$6)</f>
        <v>0</v>
      </c>
      <c r="N1819" s="12">
        <f>L1819*SIN(RADIANS(K1819))</f>
        <v>0</v>
      </c>
      <c r="O1819" s="12">
        <f>L1819*COS(RADIANS(K1819))</f>
        <v>0</v>
      </c>
      <c r="P1819" s="5">
        <v>3.4312720754491792</v>
      </c>
      <c r="Q1819" s="5">
        <v>1.699961878207275</v>
      </c>
      <c r="R1819" s="6">
        <f>P1819/Q1819</f>
        <v>2.0184406011902385</v>
      </c>
    </row>
    <row r="1820" spans="1:18" x14ac:dyDescent="0.35">
      <c r="A1820" s="9">
        <v>1821</v>
      </c>
      <c r="B1820" s="5">
        <v>0.25</v>
      </c>
      <c r="C1820" s="5">
        <v>2000000</v>
      </c>
      <c r="D1820" s="5">
        <v>10</v>
      </c>
      <c r="E1820" s="5">
        <v>0.125</v>
      </c>
      <c r="F1820" s="5">
        <v>3.5000000000000003E-2</v>
      </c>
      <c r="G1820" s="12">
        <f>(C1820*$U$4)/($U$5*$U$3)</f>
        <v>29.387755102040813</v>
      </c>
      <c r="H1820" s="11">
        <f>G1820*COS(RADIANS(D1820))</f>
        <v>28.941289068113864</v>
      </c>
      <c r="I1820" s="11">
        <f>G1820*SIN(RADIANS(D1820))</f>
        <v>5.1031301191914213</v>
      </c>
      <c r="J1820" s="11">
        <v>0.19020000000000001</v>
      </c>
      <c r="K1820" s="12">
        <v>46</v>
      </c>
      <c r="L1820" s="12">
        <f>-(F1820*G1820*$U$3)/J1820</f>
        <v>-5.40784136998648</v>
      </c>
      <c r="M1820" s="11">
        <f>ABS(L1820/$U$6)</f>
        <v>1.5766301370222974E-2</v>
      </c>
      <c r="N1820" s="12">
        <f>L1820*SIN(RADIANS(K1820))</f>
        <v>-3.8900755313491717</v>
      </c>
      <c r="O1820" s="12">
        <f>L1820*COS(RADIANS(K1820))</f>
        <v>-3.7566022737755596</v>
      </c>
      <c r="P1820" s="5">
        <v>2.1501963568557025</v>
      </c>
      <c r="Q1820" s="5">
        <v>0.44025625115144212</v>
      </c>
      <c r="R1820" s="6">
        <f>P1820/Q1820</f>
        <v>4.8839655342362516</v>
      </c>
    </row>
    <row r="1821" spans="1:18" x14ac:dyDescent="0.35">
      <c r="A1821" s="9">
        <v>1822</v>
      </c>
      <c r="B1821" s="5">
        <v>0.1</v>
      </c>
      <c r="C1821" s="5">
        <v>4000000</v>
      </c>
      <c r="D1821" s="5">
        <v>10</v>
      </c>
      <c r="E1821" s="5">
        <v>0.125</v>
      </c>
      <c r="F1821" s="5">
        <v>1.4999999999999999E-2</v>
      </c>
      <c r="G1821" s="12">
        <f>(C1821*$U$4)/($U$5*$U$3)</f>
        <v>58.775510204081627</v>
      </c>
      <c r="H1821" s="11">
        <f>G1821*COS(RADIANS(D1821))</f>
        <v>57.882578136227728</v>
      </c>
      <c r="I1821" s="11">
        <f>G1821*SIN(RADIANS(D1821))</f>
        <v>10.206260238382843</v>
      </c>
      <c r="J1821" s="12">
        <v>0.1658</v>
      </c>
      <c r="K1821" s="12">
        <v>69</v>
      </c>
      <c r="L1821" s="12">
        <f>-(F1821*G1821*$U$3)/J1821</f>
        <v>-5.3174466409000267</v>
      </c>
      <c r="M1821" s="11">
        <f>ABS(L1821/$U$6)</f>
        <v>1.5502759886005909E-2</v>
      </c>
      <c r="N1821" s="12">
        <f>L1821*SIN(RADIANS(K1821))</f>
        <v>-4.9642641028875598</v>
      </c>
      <c r="O1821" s="12">
        <f>L1821*COS(RADIANS(K1821))</f>
        <v>-1.9056024495158879</v>
      </c>
      <c r="P1821" s="5">
        <v>1.3263612255326147</v>
      </c>
      <c r="Q1821" s="5">
        <v>0.43847872875445537</v>
      </c>
      <c r="R1821" s="6">
        <f>P1821/Q1821</f>
        <v>3.0249157793817782</v>
      </c>
    </row>
    <row r="1822" spans="1:18" x14ac:dyDescent="0.35">
      <c r="A1822" s="9">
        <v>1823</v>
      </c>
      <c r="B1822" s="5">
        <v>0.75</v>
      </c>
      <c r="C1822" s="5">
        <v>2000000</v>
      </c>
      <c r="D1822" s="5">
        <v>15</v>
      </c>
      <c r="E1822" s="5">
        <v>0.125</v>
      </c>
      <c r="F1822" s="5">
        <v>0.15</v>
      </c>
      <c r="G1822" s="12">
        <f>(C1822*$U$4)/($U$5*$U$3)</f>
        <v>29.387755102040813</v>
      </c>
      <c r="H1822" s="11">
        <f>G1822*COS(RADIANS(D1822))</f>
        <v>28.386391629719554</v>
      </c>
      <c r="I1822" s="11">
        <f>G1822*SIN(RADIANS(D1822))</f>
        <v>7.6061107132169354</v>
      </c>
      <c r="J1822" s="12">
        <v>0.2802</v>
      </c>
      <c r="K1822" s="12">
        <v>19</v>
      </c>
      <c r="L1822" s="12">
        <f>-(F1822*G1822*$U$3)/J1822</f>
        <v>-15.732202945417994</v>
      </c>
      <c r="M1822" s="11">
        <f>ABS(L1822/$U$6)</f>
        <v>4.5866480890431466E-2</v>
      </c>
      <c r="N1822" s="12">
        <f>L1822*SIN(RADIANS(K1822))</f>
        <v>-5.1219042784851814</v>
      </c>
      <c r="O1822" s="12">
        <f>L1822*COS(RADIANS(K1822))</f>
        <v>-14.875090119990999</v>
      </c>
      <c r="P1822" s="5">
        <v>3.881942637320404</v>
      </c>
      <c r="Q1822" s="5">
        <v>0.57317572537717965</v>
      </c>
      <c r="R1822" s="6">
        <f>P1822/Q1822</f>
        <v>6.7726919781291901</v>
      </c>
    </row>
    <row r="1823" spans="1:18" x14ac:dyDescent="0.35">
      <c r="A1823" s="9">
        <v>1824</v>
      </c>
      <c r="B1823" s="5">
        <v>0.75</v>
      </c>
      <c r="C1823" s="5">
        <v>2000000</v>
      </c>
      <c r="D1823" s="5">
        <v>5</v>
      </c>
      <c r="E1823" s="5">
        <v>0</v>
      </c>
      <c r="F1823" s="5">
        <v>0.05</v>
      </c>
      <c r="G1823" s="12">
        <f>(C1823*$U$4)/($U$5*$U$3)</f>
        <v>29.387755102040813</v>
      </c>
      <c r="H1823" s="11">
        <f>G1823*COS(RADIANS(D1823))</f>
        <v>29.275925821471702</v>
      </c>
      <c r="I1823" s="11">
        <f>G1823*SIN(RADIANS(D1823))</f>
        <v>2.5613116236046478</v>
      </c>
      <c r="J1823" s="11">
        <v>0.27929999999999999</v>
      </c>
      <c r="K1823" s="12">
        <v>0</v>
      </c>
      <c r="L1823" s="12">
        <f>-(F1823*G1823*$U$3)/J1823</f>
        <v>-5.260965825642824</v>
      </c>
      <c r="M1823" s="11">
        <f>ABS(L1823/$U$6)</f>
        <v>1.5338092786130682E-2</v>
      </c>
      <c r="N1823" s="12">
        <f>L1823*SIN(RADIANS(K1823))</f>
        <v>0</v>
      </c>
      <c r="O1823" s="12">
        <f>L1823*COS(RADIANS(K1823))</f>
        <v>-5.260965825642824</v>
      </c>
      <c r="P1823" s="5">
        <v>4.1822805028122056</v>
      </c>
      <c r="Q1823" s="5">
        <v>0.66943062259030239</v>
      </c>
      <c r="R1823" s="6">
        <f>P1823/Q1823</f>
        <v>6.247518953688199</v>
      </c>
    </row>
    <row r="1824" spans="1:18" x14ac:dyDescent="0.35">
      <c r="A1824" s="9">
        <v>1825</v>
      </c>
      <c r="B1824" s="5">
        <v>0.1</v>
      </c>
      <c r="C1824" s="5">
        <v>2000000</v>
      </c>
      <c r="D1824" s="5">
        <v>0</v>
      </c>
      <c r="E1824" s="5">
        <v>0.25</v>
      </c>
      <c r="F1824" s="5">
        <v>0</v>
      </c>
      <c r="G1824" s="12">
        <f>(C1824*$U$4)/($U$5*$U$3)</f>
        <v>29.387755102040813</v>
      </c>
      <c r="H1824" s="11">
        <f>G1824*COS(RADIANS(D1824))</f>
        <v>29.387755102040813</v>
      </c>
      <c r="I1824" s="11">
        <f>G1824*SIN(RADIANS(D1824))</f>
        <v>0</v>
      </c>
      <c r="J1824" s="11">
        <v>0.1661</v>
      </c>
      <c r="K1824" s="12">
        <v>80</v>
      </c>
      <c r="L1824" s="12">
        <f>-(F1824*G1824*$U$3)/J1824</f>
        <v>0</v>
      </c>
      <c r="M1824" s="11">
        <f>ABS(L1824/$U$6)</f>
        <v>0</v>
      </c>
      <c r="N1824" s="12">
        <f>L1824*SIN(RADIANS(K1824))</f>
        <v>0</v>
      </c>
      <c r="O1824" s="12">
        <f>L1824*COS(RADIANS(K1824))</f>
        <v>0</v>
      </c>
      <c r="P1824" s="5">
        <v>1.4306078847430574</v>
      </c>
      <c r="Q1824" s="5">
        <v>0.23549753526773412</v>
      </c>
      <c r="R1824" s="6">
        <f>P1824/Q1824</f>
        <v>6.0748316669922584</v>
      </c>
    </row>
    <row r="1825" spans="1:18" x14ac:dyDescent="0.35">
      <c r="A1825" s="9">
        <v>1826</v>
      </c>
      <c r="B1825" s="5">
        <v>0.1</v>
      </c>
      <c r="C1825" s="5">
        <v>6000000</v>
      </c>
      <c r="D1825" s="5">
        <v>30</v>
      </c>
      <c r="E1825" s="5">
        <v>0</v>
      </c>
      <c r="F1825" s="5">
        <v>0.05</v>
      </c>
      <c r="G1825" s="12">
        <f>(C1825*$U$4)/($U$5*$U$3)</f>
        <v>88.16326530612244</v>
      </c>
      <c r="H1825" s="11">
        <f>G1825*COS(RADIANS(D1825))</f>
        <v>76.351627435689281</v>
      </c>
      <c r="I1825" s="11">
        <f>G1825*SIN(RADIANS(D1825))</f>
        <v>44.081632653061213</v>
      </c>
      <c r="J1825" s="11">
        <v>0.16569999999999999</v>
      </c>
      <c r="K1825" s="12">
        <v>0</v>
      </c>
      <c r="L1825" s="12">
        <f>-(F1825*G1825*$U$3)/J1825</f>
        <v>-26.603278607761752</v>
      </c>
      <c r="M1825" s="11">
        <f>ABS(L1825/$U$6)</f>
        <v>7.7560579031375365E-2</v>
      </c>
      <c r="N1825" s="12">
        <f>L1825*SIN(RADIANS(K1825))</f>
        <v>0</v>
      </c>
      <c r="O1825" s="12">
        <f>L1825*COS(RADIANS(K1825))</f>
        <v>-26.603278607761752</v>
      </c>
      <c r="P1825" s="5">
        <v>1.5199433226325703</v>
      </c>
      <c r="Q1825" s="5">
        <v>0.95572855620746955</v>
      </c>
      <c r="R1825" s="6">
        <f>P1825/Q1825</f>
        <v>1.5903504324115025</v>
      </c>
    </row>
    <row r="1826" spans="1:18" x14ac:dyDescent="0.35">
      <c r="A1826" s="9">
        <v>1827</v>
      </c>
      <c r="B1826" s="5">
        <v>0.5</v>
      </c>
      <c r="C1826" s="5">
        <v>6000000</v>
      </c>
      <c r="D1826" s="5">
        <v>0</v>
      </c>
      <c r="E1826" s="5">
        <v>0.25</v>
      </c>
      <c r="F1826" s="5">
        <v>2.5000000000000001E-2</v>
      </c>
      <c r="G1826" s="12">
        <f>(C1826*$U$4)/($U$5*$U$3)</f>
        <v>88.16326530612244</v>
      </c>
      <c r="H1826" s="11">
        <f>G1826*COS(RADIANS(D1826))</f>
        <v>88.16326530612244</v>
      </c>
      <c r="I1826" s="11">
        <f>G1826*SIN(RADIANS(D1826))</f>
        <v>0</v>
      </c>
      <c r="J1826" s="11">
        <v>0.23580000000000001</v>
      </c>
      <c r="K1826" s="11">
        <v>49</v>
      </c>
      <c r="L1826" s="12">
        <f>-(F1826*G1826*$U$3)/J1826</f>
        <v>-9.347250350521886</v>
      </c>
      <c r="M1826" s="11">
        <f>ABS(L1826/$U$6)</f>
        <v>2.7251458747877218E-2</v>
      </c>
      <c r="N1826" s="12">
        <f>L1826*SIN(RADIANS(K1826))</f>
        <v>-7.0544593882795308</v>
      </c>
      <c r="O1826" s="12">
        <f>L1826*COS(RADIANS(K1826))</f>
        <v>-6.1323479886945673</v>
      </c>
      <c r="P1826" s="5">
        <v>2.5116200369689765</v>
      </c>
      <c r="Q1826" s="5">
        <v>0.20397821318908607</v>
      </c>
      <c r="R1826" s="6">
        <f>P1826/Q1826</f>
        <v>12.313177950238863</v>
      </c>
    </row>
    <row r="1827" spans="1:18" x14ac:dyDescent="0.35">
      <c r="A1827" s="9">
        <v>1828</v>
      </c>
      <c r="B1827" s="5">
        <v>0.75</v>
      </c>
      <c r="C1827" s="5">
        <v>4000000</v>
      </c>
      <c r="D1827" s="5">
        <v>15</v>
      </c>
      <c r="E1827" s="5">
        <v>0.25</v>
      </c>
      <c r="F1827" s="5">
        <v>0.05</v>
      </c>
      <c r="G1827" s="12">
        <f>(C1827*$U$4)/($U$5*$U$3)</f>
        <v>58.775510204081627</v>
      </c>
      <c r="H1827" s="11">
        <f>G1827*COS(RADIANS(D1827))</f>
        <v>56.772783259439109</v>
      </c>
      <c r="I1827" s="11">
        <f>G1827*SIN(RADIANS(D1827))</f>
        <v>15.212221426433871</v>
      </c>
      <c r="J1827" s="12">
        <v>0.28370000000000001</v>
      </c>
      <c r="K1827" s="11">
        <v>38</v>
      </c>
      <c r="L1827" s="12">
        <f>-(F1827*G1827*$U$3)/J1827</f>
        <v>-10.358743426873744</v>
      </c>
      <c r="M1827" s="11">
        <f>ABS(L1827/$U$6)</f>
        <v>3.0200418154150858E-2</v>
      </c>
      <c r="N1827" s="12">
        <f>L1827*SIN(RADIANS(K1827))</f>
        <v>-6.3774792607090545</v>
      </c>
      <c r="O1827" s="12">
        <f>L1827*COS(RADIANS(K1827))</f>
        <v>-8.1628012142294555</v>
      </c>
      <c r="P1827" s="5">
        <v>3.1308023832900274</v>
      </c>
      <c r="Q1827" s="5">
        <v>0.86570934840680824</v>
      </c>
      <c r="R1827" s="6">
        <f>P1827/Q1827</f>
        <v>3.6164590217857069</v>
      </c>
    </row>
    <row r="1828" spans="1:18" x14ac:dyDescent="0.35">
      <c r="A1828" s="9">
        <v>1829</v>
      </c>
      <c r="B1828" s="5">
        <v>0.75</v>
      </c>
      <c r="C1828" s="5">
        <v>2000000</v>
      </c>
      <c r="D1828" s="5">
        <v>5</v>
      </c>
      <c r="E1828" s="5">
        <v>0.125</v>
      </c>
      <c r="F1828" s="5">
        <v>2.5000000000000001E-2</v>
      </c>
      <c r="G1828" s="12">
        <f>(C1828*$U$4)/($U$5*$U$3)</f>
        <v>29.387755102040813</v>
      </c>
      <c r="H1828" s="11">
        <f>G1828*COS(RADIANS(D1828))</f>
        <v>29.275925821471702</v>
      </c>
      <c r="I1828" s="11">
        <f>G1828*SIN(RADIANS(D1828))</f>
        <v>2.5613116236046478</v>
      </c>
      <c r="J1828" s="12">
        <v>0.2802</v>
      </c>
      <c r="K1828" s="12">
        <v>19</v>
      </c>
      <c r="L1828" s="12">
        <f>-(F1828*G1828*$U$3)/J1828</f>
        <v>-2.6220338242363321</v>
      </c>
      <c r="M1828" s="11">
        <f>ABS(L1828/$U$6)</f>
        <v>7.6444134817385779E-3</v>
      </c>
      <c r="N1828" s="12">
        <f>L1828*SIN(RADIANS(K1828))</f>
        <v>-0.85365071308086349</v>
      </c>
      <c r="O1828" s="12">
        <f>L1828*COS(RADIANS(K1828))</f>
        <v>-2.4791816866651661</v>
      </c>
      <c r="P1828" s="5">
        <v>4.1069484646001042</v>
      </c>
      <c r="Q1828" s="5">
        <v>0.42767286439990926</v>
      </c>
      <c r="R1828" s="6">
        <f>P1828/Q1828</f>
        <v>9.6030139072835112</v>
      </c>
    </row>
    <row r="1829" spans="1:18" x14ac:dyDescent="0.35">
      <c r="A1829" s="9">
        <v>2130</v>
      </c>
      <c r="B1829" s="5">
        <v>0.5</v>
      </c>
      <c r="C1829" s="5">
        <v>6000000</v>
      </c>
      <c r="D1829" s="5">
        <v>15</v>
      </c>
      <c r="E1829" s="5">
        <v>0.125</v>
      </c>
      <c r="F1829" s="5">
        <v>0.1</v>
      </c>
      <c r="G1829" s="12">
        <f>(C1829*$U$4)/($U$5*$U$3)</f>
        <v>88.16326530612244</v>
      </c>
      <c r="H1829" s="11">
        <f>G1829*COS(RADIANS(D1829))</f>
        <v>85.159174889158663</v>
      </c>
      <c r="I1829" s="11">
        <f>G1829*SIN(RADIANS(D1829))</f>
        <v>22.818332139650806</v>
      </c>
      <c r="J1829" s="12">
        <v>0.23300000000000001</v>
      </c>
      <c r="K1829" s="11">
        <v>27</v>
      </c>
      <c r="L1829" s="12">
        <f>-(F1829*G1829*$U$3)/J1829</f>
        <v>-37.838311290181302</v>
      </c>
      <c r="M1829" s="11">
        <f>ABS(L1829/$U$6)</f>
        <v>0.11031577635621372</v>
      </c>
      <c r="N1829" s="12">
        <f>L1829*SIN(RADIANS(K1829))</f>
        <v>-17.178233851929942</v>
      </c>
      <c r="O1829" s="12">
        <f>L1829*COS(RADIANS(K1829))</f>
        <v>-33.714182223821922</v>
      </c>
      <c r="P1829" s="5">
        <v>3.9144188097598915</v>
      </c>
      <c r="Q1829" s="5">
        <v>0.63421327573474529</v>
      </c>
      <c r="R1829" s="6">
        <f>P1829/Q1829</f>
        <v>6.1720858889700478</v>
      </c>
    </row>
    <row r="1830" spans="1:18" x14ac:dyDescent="0.35">
      <c r="A1830" s="9">
        <v>1831</v>
      </c>
      <c r="B1830" s="5">
        <v>0.25</v>
      </c>
      <c r="C1830" s="5">
        <v>4000000</v>
      </c>
      <c r="D1830" s="5">
        <v>0</v>
      </c>
      <c r="E1830" s="5">
        <v>0</v>
      </c>
      <c r="F1830" s="5">
        <v>0.05</v>
      </c>
      <c r="G1830" s="12">
        <f>(C1830*$U$4)/($U$5*$U$3)</f>
        <v>58.775510204081627</v>
      </c>
      <c r="H1830" s="11">
        <f>G1830*COS(RADIANS(D1830))</f>
        <v>58.775510204081627</v>
      </c>
      <c r="I1830" s="11">
        <f>G1830*SIN(RADIANS(D1830))</f>
        <v>0</v>
      </c>
      <c r="J1830" s="12">
        <v>0.18990000000000001</v>
      </c>
      <c r="K1830" s="12">
        <v>0</v>
      </c>
      <c r="L1830" s="12">
        <f>-(F1830*G1830*$U$3)/J1830</f>
        <v>-15.47538446658284</v>
      </c>
      <c r="M1830" s="11">
        <f>ABS(L1830/$U$6)</f>
        <v>4.511773896962927E-2</v>
      </c>
      <c r="N1830" s="12">
        <f>L1830*SIN(RADIANS(K1830))</f>
        <v>0</v>
      </c>
      <c r="O1830" s="12">
        <f>L1830*COS(RADIANS(K1830))</f>
        <v>-15.47538446658284</v>
      </c>
      <c r="P1830" s="5">
        <v>2.1158512905889242</v>
      </c>
      <c r="Q1830" s="5">
        <v>0.16575575022457439</v>
      </c>
      <c r="R1830" s="6">
        <f>P1830/Q1830</f>
        <v>12.764874145978407</v>
      </c>
    </row>
    <row r="1831" spans="1:18" x14ac:dyDescent="0.35">
      <c r="A1831" s="9">
        <v>1832</v>
      </c>
      <c r="B1831" s="5">
        <v>1</v>
      </c>
      <c r="C1831" s="5">
        <v>4000000</v>
      </c>
      <c r="D1831" s="5">
        <v>30</v>
      </c>
      <c r="E1831" s="5">
        <v>0.375</v>
      </c>
      <c r="F1831" s="5">
        <v>0</v>
      </c>
      <c r="G1831" s="12">
        <f>(C1831*$U$4)/($U$5*$U$3)</f>
        <v>58.775510204081627</v>
      </c>
      <c r="H1831" s="11">
        <f>G1831*COS(RADIANS(D1831))</f>
        <v>50.901084957126187</v>
      </c>
      <c r="I1831" s="11">
        <f>G1831*SIN(RADIANS(D1831))</f>
        <v>29.38775510204081</v>
      </c>
      <c r="J1831" s="12">
        <v>0.33379999999999999</v>
      </c>
      <c r="K1831" s="11">
        <v>49</v>
      </c>
      <c r="L1831" s="12">
        <f>-(F1831*G1831*$U$3)/J1831</f>
        <v>0</v>
      </c>
      <c r="M1831" s="11">
        <f>ABS(L1831/$U$6)</f>
        <v>0</v>
      </c>
      <c r="N1831" s="12">
        <f>L1831*SIN(RADIANS(K1831))</f>
        <v>0</v>
      </c>
      <c r="O1831" s="12">
        <f>L1831*COS(RADIANS(K1831))</f>
        <v>0</v>
      </c>
      <c r="P1831" s="5">
        <v>5.635773177624376</v>
      </c>
      <c r="Q1831" s="5">
        <v>2.6625216154155806</v>
      </c>
      <c r="R1831" s="6">
        <f>P1831/Q1831</f>
        <v>2.1167051358359448</v>
      </c>
    </row>
    <row r="1832" spans="1:18" x14ac:dyDescent="0.35">
      <c r="A1832" s="9">
        <v>1833</v>
      </c>
      <c r="B1832" s="5">
        <v>0.25</v>
      </c>
      <c r="C1832" s="5">
        <v>2000000</v>
      </c>
      <c r="D1832" s="5">
        <v>20</v>
      </c>
      <c r="E1832" s="5">
        <v>0</v>
      </c>
      <c r="F1832" s="5">
        <v>0.05</v>
      </c>
      <c r="G1832" s="12">
        <f>(C1832*$U$4)/($U$5*$U$3)</f>
        <v>29.387755102040813</v>
      </c>
      <c r="H1832" s="11">
        <f>G1832*COS(RADIANS(D1832))</f>
        <v>27.615456610851183</v>
      </c>
      <c r="I1832" s="11">
        <f>G1832*SIN(RADIANS(D1832))</f>
        <v>10.051204212019652</v>
      </c>
      <c r="J1832" s="12">
        <v>0.18990000000000001</v>
      </c>
      <c r="K1832" s="12">
        <v>0</v>
      </c>
      <c r="L1832" s="12">
        <f>-(F1832*G1832*$U$3)/J1832</f>
        <v>-7.73769223329142</v>
      </c>
      <c r="M1832" s="11">
        <f>ABS(L1832/$U$6)</f>
        <v>2.2558869484814635E-2</v>
      </c>
      <c r="N1832" s="12">
        <f>L1832*SIN(RADIANS(K1832))</f>
        <v>0</v>
      </c>
      <c r="O1832" s="12">
        <f>L1832*COS(RADIANS(K1832))</f>
        <v>-7.73769223329142</v>
      </c>
      <c r="P1832" s="5">
        <v>2.31646031566759</v>
      </c>
      <c r="Q1832" s="5">
        <v>0.65295204631576975</v>
      </c>
      <c r="R1832" s="6">
        <f>P1832/Q1832</f>
        <v>3.5476729550631383</v>
      </c>
    </row>
    <row r="1833" spans="1:18" x14ac:dyDescent="0.35">
      <c r="A1833" s="9">
        <v>1834</v>
      </c>
      <c r="B1833" s="5">
        <v>0.1</v>
      </c>
      <c r="C1833" s="5">
        <v>6000000</v>
      </c>
      <c r="D1833" s="5">
        <v>30</v>
      </c>
      <c r="E1833" s="5">
        <v>0.125</v>
      </c>
      <c r="F1833" s="5">
        <v>1.4999999999999999E-2</v>
      </c>
      <c r="G1833" s="12">
        <f>(C1833*$U$4)/($U$5*$U$3)</f>
        <v>88.16326530612244</v>
      </c>
      <c r="H1833" s="11">
        <f>G1833*COS(RADIANS(D1833))</f>
        <v>76.351627435689281</v>
      </c>
      <c r="I1833" s="11">
        <f>G1833*SIN(RADIANS(D1833))</f>
        <v>44.081632653061213</v>
      </c>
      <c r="J1833" s="12">
        <v>0.1658</v>
      </c>
      <c r="K1833" s="12">
        <v>69</v>
      </c>
      <c r="L1833" s="12">
        <f>-(F1833*G1833*$U$3)/J1833</f>
        <v>-7.9761699613500401</v>
      </c>
      <c r="M1833" s="11">
        <f>ABS(L1833/$U$6)</f>
        <v>2.3254139829008862E-2</v>
      </c>
      <c r="N1833" s="12">
        <f>L1833*SIN(RADIANS(K1833))</f>
        <v>-7.4463961543313397</v>
      </c>
      <c r="O1833" s="12">
        <f>L1833*COS(RADIANS(K1833))</f>
        <v>-2.8584036742738315</v>
      </c>
      <c r="P1833" s="5">
        <v>1.0441687070669012</v>
      </c>
      <c r="Q1833" s="5">
        <v>0.88582719941379651</v>
      </c>
      <c r="R1833" s="6">
        <f>P1833/Q1833</f>
        <v>1.1787498823222955</v>
      </c>
    </row>
    <row r="1834" spans="1:18" x14ac:dyDescent="0.35">
      <c r="A1834" s="9">
        <v>1835</v>
      </c>
      <c r="B1834" s="5">
        <v>0.75</v>
      </c>
      <c r="C1834" s="5">
        <v>4000000</v>
      </c>
      <c r="D1834" s="5">
        <v>10</v>
      </c>
      <c r="E1834" s="5">
        <v>0</v>
      </c>
      <c r="F1834" s="5">
        <v>0.05</v>
      </c>
      <c r="G1834" s="12">
        <f>(C1834*$U$4)/($U$5*$U$3)</f>
        <v>58.775510204081627</v>
      </c>
      <c r="H1834" s="11">
        <f>G1834*COS(RADIANS(D1834))</f>
        <v>57.882578136227728</v>
      </c>
      <c r="I1834" s="11">
        <f>G1834*SIN(RADIANS(D1834))</f>
        <v>10.206260238382843</v>
      </c>
      <c r="J1834" s="11">
        <v>0.27929999999999999</v>
      </c>
      <c r="K1834" s="12">
        <v>0</v>
      </c>
      <c r="L1834" s="12">
        <f>-(F1834*G1834*$U$3)/J1834</f>
        <v>-10.521931651285648</v>
      </c>
      <c r="M1834" s="11">
        <f>ABS(L1834/$U$6)</f>
        <v>3.0676185572261365E-2</v>
      </c>
      <c r="N1834" s="12">
        <f>L1834*SIN(RADIANS(K1834))</f>
        <v>0</v>
      </c>
      <c r="O1834" s="12">
        <f>L1834*COS(RADIANS(K1834))</f>
        <v>-10.521931651285648</v>
      </c>
      <c r="P1834" s="5">
        <v>4.1120138678191163</v>
      </c>
      <c r="Q1834" s="5">
        <v>0.86369370846535209</v>
      </c>
      <c r="R1834" s="6">
        <f>P1834/Q1834</f>
        <v>4.7609630908687741</v>
      </c>
    </row>
    <row r="1835" spans="1:18" x14ac:dyDescent="0.35">
      <c r="A1835" s="9">
        <v>1836</v>
      </c>
      <c r="B1835" s="5">
        <v>0.5</v>
      </c>
      <c r="C1835" s="5">
        <v>6000000</v>
      </c>
      <c r="D1835" s="5">
        <v>10</v>
      </c>
      <c r="E1835" s="5">
        <v>0.375</v>
      </c>
      <c r="F1835" s="5">
        <v>7.4999999999999997E-2</v>
      </c>
      <c r="G1835" s="12">
        <f>(C1835*$U$4)/($U$5*$U$3)</f>
        <v>88.16326530612244</v>
      </c>
      <c r="H1835" s="11">
        <f>G1835*COS(RADIANS(D1835))</f>
        <v>86.823867204341596</v>
      </c>
      <c r="I1835" s="11">
        <f>G1835*SIN(RADIANS(D1835))</f>
        <v>15.309390357574264</v>
      </c>
      <c r="J1835" s="12">
        <v>0.24809999999999999</v>
      </c>
      <c r="K1835" s="12">
        <v>67</v>
      </c>
      <c r="L1835" s="12">
        <f>-(F1835*G1835*$U$3)/J1835</f>
        <v>-26.651531229178492</v>
      </c>
      <c r="M1835" s="11">
        <f>ABS(L1835/$U$6)</f>
        <v>7.7701257227925632E-2</v>
      </c>
      <c r="N1835" s="12">
        <f>L1835*SIN(RADIANS(K1835))</f>
        <v>-24.532863848398087</v>
      </c>
      <c r="O1835" s="12">
        <f>L1835*COS(RADIANS(K1835))</f>
        <v>-10.413582873144032</v>
      </c>
      <c r="P1835" s="5">
        <v>3.9073044047291035</v>
      </c>
      <c r="Q1835" s="5">
        <v>0.11994466888043676</v>
      </c>
      <c r="R1835" s="6">
        <f>P1835/Q1835</f>
        <v>32.575890543530392</v>
      </c>
    </row>
    <row r="1836" spans="1:18" x14ac:dyDescent="0.35">
      <c r="A1836" s="9">
        <v>1837</v>
      </c>
      <c r="B1836" s="5">
        <v>0.5</v>
      </c>
      <c r="C1836" s="5">
        <v>6000000</v>
      </c>
      <c r="D1836" s="5">
        <v>10</v>
      </c>
      <c r="E1836" s="5">
        <v>0.125</v>
      </c>
      <c r="F1836" s="5">
        <v>2.5000000000000001E-2</v>
      </c>
      <c r="G1836" s="12">
        <f>(C1836*$U$4)/($U$5*$U$3)</f>
        <v>88.16326530612244</v>
      </c>
      <c r="H1836" s="11">
        <f>G1836*COS(RADIANS(D1836))</f>
        <v>86.823867204341596</v>
      </c>
      <c r="I1836" s="11">
        <f>G1836*SIN(RADIANS(D1836))</f>
        <v>15.309390357574264</v>
      </c>
      <c r="J1836" s="12">
        <v>0.23300000000000001</v>
      </c>
      <c r="K1836" s="11">
        <v>27</v>
      </c>
      <c r="L1836" s="12">
        <f>-(F1836*G1836*$U$3)/J1836</f>
        <v>-9.4595778225453255</v>
      </c>
      <c r="M1836" s="11">
        <f>ABS(L1836/$U$6)</f>
        <v>2.7578944089053429E-2</v>
      </c>
      <c r="N1836" s="12">
        <f>L1836*SIN(RADIANS(K1836))</f>
        <v>-4.2945584629824856</v>
      </c>
      <c r="O1836" s="12">
        <f>L1836*COS(RADIANS(K1836))</f>
        <v>-8.4285455559554805</v>
      </c>
      <c r="P1836" s="5">
        <v>3.7428019173884737</v>
      </c>
      <c r="Q1836" s="5">
        <v>0.57613316609110321</v>
      </c>
      <c r="R1836" s="6">
        <f>P1836/Q1836</f>
        <v>6.4964180812264312</v>
      </c>
    </row>
    <row r="1837" spans="1:18" x14ac:dyDescent="0.35">
      <c r="A1837" s="9">
        <v>1838</v>
      </c>
      <c r="B1837" s="5">
        <v>0.25</v>
      </c>
      <c r="C1837" s="5">
        <v>4000000</v>
      </c>
      <c r="D1837" s="5">
        <v>15</v>
      </c>
      <c r="E1837" s="5">
        <v>0</v>
      </c>
      <c r="F1837" s="5">
        <v>1.4999999999999999E-2</v>
      </c>
      <c r="G1837" s="12">
        <f>(C1837*$U$4)/($U$5*$U$3)</f>
        <v>58.775510204081627</v>
      </c>
      <c r="H1837" s="11">
        <f>G1837*COS(RADIANS(D1837))</f>
        <v>56.772783259439109</v>
      </c>
      <c r="I1837" s="11">
        <f>G1837*SIN(RADIANS(D1837))</f>
        <v>15.212221426433871</v>
      </c>
      <c r="J1837" s="12">
        <v>0.18990000000000001</v>
      </c>
      <c r="K1837" s="12">
        <v>0</v>
      </c>
      <c r="L1837" s="12">
        <f>-(F1837*G1837*$U$3)/J1837</f>
        <v>-4.642615339974852</v>
      </c>
      <c r="M1837" s="11">
        <f>ABS(L1837/$U$6)</f>
        <v>1.3535321690888781E-2</v>
      </c>
      <c r="N1837" s="12">
        <f>L1837*SIN(RADIANS(K1837))</f>
        <v>0</v>
      </c>
      <c r="O1837" s="12">
        <f>L1837*COS(RADIANS(K1837))</f>
        <v>-4.642615339974852</v>
      </c>
      <c r="P1837" s="5">
        <v>2.0626559165154443</v>
      </c>
      <c r="Q1837" s="5">
        <v>0.5601681051696884</v>
      </c>
      <c r="R1837" s="6">
        <f>P1837/Q1837</f>
        <v>3.6822087824700698</v>
      </c>
    </row>
    <row r="1838" spans="1:18" x14ac:dyDescent="0.35">
      <c r="A1838" s="9">
        <v>2138</v>
      </c>
      <c r="B1838" s="5">
        <v>0.5</v>
      </c>
      <c r="C1838" s="5">
        <v>6000000</v>
      </c>
      <c r="D1838" s="5">
        <v>20</v>
      </c>
      <c r="E1838" s="5">
        <v>0.125</v>
      </c>
      <c r="F1838" s="5">
        <v>0.1</v>
      </c>
      <c r="G1838" s="12">
        <f>(C1838*$U$4)/($U$5*$U$3)</f>
        <v>88.16326530612244</v>
      </c>
      <c r="H1838" s="11">
        <f>G1838*COS(RADIANS(D1838))</f>
        <v>82.846369832553549</v>
      </c>
      <c r="I1838" s="11">
        <f>G1838*SIN(RADIANS(D1838))</f>
        <v>30.153612636058952</v>
      </c>
      <c r="J1838" s="12">
        <v>0.23300000000000001</v>
      </c>
      <c r="K1838" s="20">
        <v>27</v>
      </c>
      <c r="L1838" s="12">
        <f>-(F1838*G1838*$U$3)/J1838</f>
        <v>-37.838311290181302</v>
      </c>
      <c r="M1838" s="11">
        <f>ABS(L1838/$U$6)</f>
        <v>0.11031577635621372</v>
      </c>
      <c r="N1838" s="12">
        <f>L1838*SIN(RADIANS(K1838))</f>
        <v>-17.178233851929942</v>
      </c>
      <c r="O1838" s="12">
        <f>L1838*COS(RADIANS(K1838))</f>
        <v>-33.714182223821922</v>
      </c>
      <c r="P1838" s="5">
        <v>3.7020722713154486</v>
      </c>
      <c r="Q1838" s="5">
        <v>0.81328074789563631</v>
      </c>
      <c r="R1838" s="6">
        <f>P1838/Q1838</f>
        <v>4.5520225099322218</v>
      </c>
    </row>
    <row r="1839" spans="1:18" x14ac:dyDescent="0.35">
      <c r="A1839" s="9">
        <v>1840</v>
      </c>
      <c r="B1839" s="5">
        <v>0.1</v>
      </c>
      <c r="C1839" s="5">
        <v>2000000</v>
      </c>
      <c r="D1839" s="5">
        <v>15</v>
      </c>
      <c r="E1839" s="5">
        <v>0.125</v>
      </c>
      <c r="F1839" s="5">
        <v>3.5000000000000003E-2</v>
      </c>
      <c r="G1839" s="12">
        <f>(C1839*$U$4)/($U$5*$U$3)</f>
        <v>29.387755102040813</v>
      </c>
      <c r="H1839" s="11">
        <f>G1839*COS(RADIANS(D1839))</f>
        <v>28.386391629719554</v>
      </c>
      <c r="I1839" s="11">
        <f>G1839*SIN(RADIANS(D1839))</f>
        <v>7.6061107132169354</v>
      </c>
      <c r="J1839" s="12">
        <v>0.1658</v>
      </c>
      <c r="K1839" s="12">
        <v>69</v>
      </c>
      <c r="L1839" s="12">
        <f>-(F1839*G1839*$U$3)/J1839</f>
        <v>-6.2036877477166978</v>
      </c>
      <c r="M1839" s="11">
        <f>ABS(L1839/$U$6)</f>
        <v>1.8086553200340225E-2</v>
      </c>
      <c r="N1839" s="12">
        <f>L1839*SIN(RADIANS(K1839))</f>
        <v>-5.7916414533688201</v>
      </c>
      <c r="O1839" s="12">
        <f>L1839*COS(RADIANS(K1839))</f>
        <v>-2.2232028577685359</v>
      </c>
      <c r="P1839" s="5">
        <v>1.449985897360885</v>
      </c>
      <c r="Q1839" s="5">
        <v>0.57782954819968957</v>
      </c>
      <c r="R1839" s="6">
        <f>P1839/Q1839</f>
        <v>2.5093661303381301</v>
      </c>
    </row>
    <row r="1840" spans="1:18" x14ac:dyDescent="0.35">
      <c r="A1840" s="9">
        <v>2178</v>
      </c>
      <c r="B1840" s="5">
        <v>0.5</v>
      </c>
      <c r="C1840" s="5">
        <v>6000000</v>
      </c>
      <c r="D1840" s="5">
        <v>5</v>
      </c>
      <c r="E1840" s="5">
        <v>0.125</v>
      </c>
      <c r="F1840" s="5">
        <v>0.1</v>
      </c>
      <c r="G1840" s="12">
        <f>(C1840*$U$4)/($U$5*$U$3)</f>
        <v>88.16326530612244</v>
      </c>
      <c r="H1840" s="11">
        <f>G1840*COS(RADIANS(D1840))</f>
        <v>87.827777464415107</v>
      </c>
      <c r="I1840" s="11">
        <f>G1840*SIN(RADIANS(D1840))</f>
        <v>7.6839348708139434</v>
      </c>
      <c r="J1840" s="12">
        <v>0.23300000000000001</v>
      </c>
      <c r="K1840" s="20">
        <v>27</v>
      </c>
      <c r="L1840" s="12">
        <f>-(F1840*G1840*$U$3)/J1840</f>
        <v>-37.838311290181302</v>
      </c>
      <c r="M1840" s="11">
        <f>ABS(L1840/$U$6)</f>
        <v>0.11031577635621372</v>
      </c>
      <c r="N1840" s="12">
        <f>L1840*SIN(RADIANS(K1840))</f>
        <v>-17.178233851929942</v>
      </c>
      <c r="O1840" s="12">
        <f>L1840*COS(RADIANS(K1840))</f>
        <v>-33.714182223821922</v>
      </c>
      <c r="P1840" s="5">
        <v>4.2126771752179399</v>
      </c>
      <c r="Q1840" s="5">
        <v>0.17430571848336193</v>
      </c>
      <c r="R1840" s="6">
        <f>P1840/Q1840</f>
        <v>24.168324549949027</v>
      </c>
    </row>
    <row r="1841" spans="1:18" x14ac:dyDescent="0.35">
      <c r="A1841" s="9">
        <v>1842</v>
      </c>
      <c r="B1841" s="5">
        <v>0.75</v>
      </c>
      <c r="C1841" s="5">
        <v>6000000</v>
      </c>
      <c r="D1841" s="5">
        <v>5</v>
      </c>
      <c r="E1841" s="5">
        <v>0.125</v>
      </c>
      <c r="F1841" s="5">
        <v>3.5000000000000003E-2</v>
      </c>
      <c r="G1841" s="12">
        <f>(C1841*$U$4)/($U$5*$U$3)</f>
        <v>88.16326530612244</v>
      </c>
      <c r="H1841" s="11">
        <f>G1841*COS(RADIANS(D1841))</f>
        <v>87.827777464415107</v>
      </c>
      <c r="I1841" s="11">
        <f>G1841*SIN(RADIANS(D1841))</f>
        <v>7.6839348708139434</v>
      </c>
      <c r="J1841" s="12">
        <v>0.2802</v>
      </c>
      <c r="K1841" s="12">
        <v>19</v>
      </c>
      <c r="L1841" s="12">
        <f>-(F1841*G1841*$U$3)/J1841</f>
        <v>-11.012542061792598</v>
      </c>
      <c r="M1841" s="11">
        <f>ABS(L1841/$U$6)</f>
        <v>3.2106536623302033E-2</v>
      </c>
      <c r="N1841" s="12">
        <f>L1841*SIN(RADIANS(K1841))</f>
        <v>-3.5853329949396273</v>
      </c>
      <c r="O1841" s="12">
        <f>L1841*COS(RADIANS(K1841))</f>
        <v>-10.412563083993701</v>
      </c>
      <c r="P1841" s="5">
        <v>2.8114931351621038</v>
      </c>
      <c r="Q1841" s="5">
        <v>0.73440052468776884</v>
      </c>
      <c r="R1841" s="6">
        <f>P1841/Q1841</f>
        <v>3.8282831243311177</v>
      </c>
    </row>
    <row r="1842" spans="1:18" x14ac:dyDescent="0.35">
      <c r="A1842" s="9">
        <v>1843</v>
      </c>
      <c r="B1842" s="5">
        <v>1</v>
      </c>
      <c r="C1842" s="5">
        <v>2000000</v>
      </c>
      <c r="D1842" s="5">
        <v>20</v>
      </c>
      <c r="E1842" s="5">
        <v>0</v>
      </c>
      <c r="F1842" s="5">
        <v>2.5000000000000001E-2</v>
      </c>
      <c r="G1842" s="12">
        <f>(C1842*$U$4)/($U$5*$U$3)</f>
        <v>29.387755102040813</v>
      </c>
      <c r="H1842" s="11">
        <f>G1842*COS(RADIANS(D1842))</f>
        <v>27.615456610851183</v>
      </c>
      <c r="I1842" s="11">
        <f>G1842*SIN(RADIANS(D1842))</f>
        <v>10.051204212019652</v>
      </c>
      <c r="J1842" s="11">
        <v>0.33379999999999999</v>
      </c>
      <c r="K1842" s="12">
        <v>0</v>
      </c>
      <c r="L1842" s="12">
        <f>-(F1842*G1842*$U$3)/J1842</f>
        <v>-2.2010002323278024</v>
      </c>
      <c r="M1842" s="11">
        <f>ABS(L1842/$U$6)</f>
        <v>6.4169102983317851E-3</v>
      </c>
      <c r="N1842" s="12">
        <f>L1842*SIN(RADIANS(K1842))</f>
        <v>0</v>
      </c>
      <c r="O1842" s="12">
        <f>L1842*COS(RADIANS(K1842))</f>
        <v>-2.2010002323278024</v>
      </c>
      <c r="P1842" s="5">
        <v>2.9688435732031362</v>
      </c>
      <c r="Q1842" s="5">
        <v>1.4763489481691217</v>
      </c>
      <c r="R1842" s="6">
        <f>P1842/Q1842</f>
        <v>2.0109362199803207</v>
      </c>
    </row>
    <row r="1843" spans="1:18" x14ac:dyDescent="0.35">
      <c r="A1843" s="9">
        <v>1844</v>
      </c>
      <c r="B1843" s="5">
        <v>0.1</v>
      </c>
      <c r="C1843" s="5">
        <v>4000000</v>
      </c>
      <c r="D1843" s="5">
        <v>0</v>
      </c>
      <c r="E1843" s="5">
        <v>0</v>
      </c>
      <c r="F1843" s="5">
        <v>1.4999999999999999E-2</v>
      </c>
      <c r="G1843" s="12">
        <f>(C1843*$U$4)/($U$5*$U$3)</f>
        <v>58.775510204081627</v>
      </c>
      <c r="H1843" s="11">
        <f>G1843*COS(RADIANS(D1843))</f>
        <v>58.775510204081627</v>
      </c>
      <c r="I1843" s="11">
        <f>G1843*SIN(RADIANS(D1843))</f>
        <v>0</v>
      </c>
      <c r="J1843" s="11">
        <v>0.16569999999999999</v>
      </c>
      <c r="K1843" s="12">
        <v>0</v>
      </c>
      <c r="L1843" s="12">
        <f>-(F1843*G1843*$U$3)/J1843</f>
        <v>-5.3206557215523507</v>
      </c>
      <c r="M1843" s="11">
        <f>ABS(L1843/$U$6)</f>
        <v>1.5512115806275074E-2</v>
      </c>
      <c r="N1843" s="12">
        <f>L1843*SIN(RADIANS(K1843))</f>
        <v>0</v>
      </c>
      <c r="O1843" s="12">
        <f>L1843*COS(RADIANS(K1843))</f>
        <v>-5.3206557215523507</v>
      </c>
      <c r="P1843" s="5">
        <v>1.0655968378806491</v>
      </c>
      <c r="Q1843" s="5">
        <v>0.23310859369008152</v>
      </c>
      <c r="R1843" s="6">
        <f>P1843/Q1843</f>
        <v>4.5712464779284918</v>
      </c>
    </row>
    <row r="1844" spans="1:18" x14ac:dyDescent="0.35">
      <c r="A1844" s="9">
        <v>1845</v>
      </c>
      <c r="B1844" s="5">
        <v>0.75</v>
      </c>
      <c r="C1844" s="5">
        <v>6000000</v>
      </c>
      <c r="D1844" s="5">
        <v>30</v>
      </c>
      <c r="E1844" s="5">
        <v>0.25</v>
      </c>
      <c r="F1844" s="5">
        <v>1.4999999999999999E-2</v>
      </c>
      <c r="G1844" s="12">
        <f>(C1844*$U$4)/($U$5*$U$3)</f>
        <v>88.16326530612244</v>
      </c>
      <c r="H1844" s="11">
        <f>G1844*COS(RADIANS(D1844))</f>
        <v>76.351627435689281</v>
      </c>
      <c r="I1844" s="11">
        <f>G1844*SIN(RADIANS(D1844))</f>
        <v>44.081632653061213</v>
      </c>
      <c r="J1844" s="12">
        <v>0.28370000000000001</v>
      </c>
      <c r="K1844" s="11">
        <v>38</v>
      </c>
      <c r="L1844" s="12">
        <f>-(F1844*G1844*$U$3)/J1844</f>
        <v>-4.6614345420931853</v>
      </c>
      <c r="M1844" s="11">
        <f>ABS(L1844/$U$6)</f>
        <v>1.3590188169367887E-2</v>
      </c>
      <c r="N1844" s="12">
        <f>L1844*SIN(RADIANS(K1844))</f>
        <v>-2.869865667319075</v>
      </c>
      <c r="O1844" s="12">
        <f>L1844*COS(RADIANS(K1844))</f>
        <v>-3.6732605464032555</v>
      </c>
      <c r="P1844" s="5">
        <v>4.2641728910517385</v>
      </c>
      <c r="Q1844" s="5">
        <v>1.339567392494021</v>
      </c>
      <c r="R1844" s="6">
        <f>P1844/Q1844</f>
        <v>3.1832462591618147</v>
      </c>
    </row>
    <row r="1845" spans="1:18" x14ac:dyDescent="0.35">
      <c r="A1845" s="9">
        <v>1846</v>
      </c>
      <c r="B1845" s="5">
        <v>0.75</v>
      </c>
      <c r="C1845" s="5">
        <v>6000000</v>
      </c>
      <c r="D1845" s="5">
        <v>30</v>
      </c>
      <c r="E1845" s="5">
        <v>0.25</v>
      </c>
      <c r="F1845" s="5">
        <v>0.1</v>
      </c>
      <c r="G1845" s="12">
        <f>(C1845*$U$4)/($U$5*$U$3)</f>
        <v>88.16326530612244</v>
      </c>
      <c r="H1845" s="11">
        <f>G1845*COS(RADIANS(D1845))</f>
        <v>76.351627435689281</v>
      </c>
      <c r="I1845" s="11">
        <f>G1845*SIN(RADIANS(D1845))</f>
        <v>44.081632653061213</v>
      </c>
      <c r="J1845" s="12">
        <v>0.28370000000000001</v>
      </c>
      <c r="K1845" s="11">
        <v>38</v>
      </c>
      <c r="L1845" s="12">
        <f>-(F1845*G1845*$U$3)/J1845</f>
        <v>-31.076230280621232</v>
      </c>
      <c r="M1845" s="11">
        <f>ABS(L1845/$U$6)</f>
        <v>9.0601254462452568E-2</v>
      </c>
      <c r="N1845" s="12">
        <f>L1845*SIN(RADIANS(K1845))</f>
        <v>-19.132437782127163</v>
      </c>
      <c r="O1845" s="12">
        <f>L1845*COS(RADIANS(K1845))</f>
        <v>-24.488403642688368</v>
      </c>
      <c r="P1845" s="5">
        <v>4.8214308224503393</v>
      </c>
      <c r="Q1845" s="5">
        <v>1.257826886438254</v>
      </c>
      <c r="R1845" s="6">
        <f>P1845/Q1845</f>
        <v>3.8331433955136882</v>
      </c>
    </row>
    <row r="1846" spans="1:18" x14ac:dyDescent="0.35">
      <c r="A1846" s="9">
        <v>1847</v>
      </c>
      <c r="B1846" s="5">
        <v>1</v>
      </c>
      <c r="C1846" s="5">
        <v>2000000</v>
      </c>
      <c r="D1846" s="5">
        <v>5</v>
      </c>
      <c r="E1846" s="5">
        <v>0</v>
      </c>
      <c r="F1846" s="5">
        <v>0.1</v>
      </c>
      <c r="G1846" s="12">
        <f>(C1846*$U$4)/($U$5*$U$3)</f>
        <v>29.387755102040813</v>
      </c>
      <c r="H1846" s="11">
        <f>G1846*COS(RADIANS(D1846))</f>
        <v>29.275925821471702</v>
      </c>
      <c r="I1846" s="11">
        <f>G1846*SIN(RADIANS(D1846))</f>
        <v>2.5613116236046478</v>
      </c>
      <c r="J1846" s="11">
        <v>0.33379999999999999</v>
      </c>
      <c r="K1846" s="12">
        <v>0</v>
      </c>
      <c r="L1846" s="12">
        <f>-(F1846*G1846*$U$3)/J1846</f>
        <v>-8.8040009293112096</v>
      </c>
      <c r="M1846" s="11">
        <f>ABS(L1846/$U$6)</f>
        <v>2.566764119332714E-2</v>
      </c>
      <c r="N1846" s="12">
        <f>L1846*SIN(RADIANS(K1846))</f>
        <v>0</v>
      </c>
      <c r="O1846" s="12">
        <f>L1846*COS(RADIANS(K1846))</f>
        <v>-8.8040009293112096</v>
      </c>
      <c r="P1846" s="5">
        <v>3.5094585253671773</v>
      </c>
      <c r="Q1846" s="5">
        <v>1.272288023546281</v>
      </c>
      <c r="R1846" s="6">
        <f>P1846/Q1846</f>
        <v>2.7583836838966493</v>
      </c>
    </row>
    <row r="1847" spans="1:18" x14ac:dyDescent="0.35">
      <c r="A1847" s="9">
        <v>1848</v>
      </c>
      <c r="B1847" s="5">
        <v>0.25</v>
      </c>
      <c r="C1847" s="5">
        <v>4000000</v>
      </c>
      <c r="D1847" s="5">
        <v>0</v>
      </c>
      <c r="E1847" s="5">
        <v>0.25</v>
      </c>
      <c r="F1847" s="5">
        <v>3.5000000000000003E-2</v>
      </c>
      <c r="G1847" s="12">
        <f>(C1847*$U$4)/($U$5*$U$3)</f>
        <v>58.775510204081627</v>
      </c>
      <c r="H1847" s="11">
        <f>G1847*COS(RADIANS(D1847))</f>
        <v>58.775510204081627</v>
      </c>
      <c r="I1847" s="11">
        <f>G1847*SIN(RADIANS(D1847))</f>
        <v>0</v>
      </c>
      <c r="J1847" s="12">
        <v>0.1913</v>
      </c>
      <c r="K1847" s="11">
        <v>67</v>
      </c>
      <c r="L1847" s="12">
        <f>-(F1847*G1847*$U$3)/J1847</f>
        <v>-10.753491150772906</v>
      </c>
      <c r="M1847" s="11">
        <f>ABS(L1847/$U$6)</f>
        <v>3.1351286153856871E-2</v>
      </c>
      <c r="N1847" s="12">
        <f>L1847*SIN(RADIANS(K1847))</f>
        <v>-9.8986407958443277</v>
      </c>
      <c r="O1847" s="12">
        <f>L1847*COS(RADIANS(K1847))</f>
        <v>-4.2017237325409162</v>
      </c>
      <c r="P1847" s="5">
        <v>1.9655193614918802</v>
      </c>
      <c r="Q1847" s="5">
        <v>0.13531945628724656</v>
      </c>
      <c r="R1847" s="6">
        <f>P1847/Q1847</f>
        <v>14.525031473076679</v>
      </c>
    </row>
    <row r="1848" spans="1:18" x14ac:dyDescent="0.35">
      <c r="A1848" s="9">
        <v>1849</v>
      </c>
      <c r="B1848" s="5">
        <v>0.1</v>
      </c>
      <c r="C1848" s="5">
        <v>2000000</v>
      </c>
      <c r="D1848" s="5">
        <v>15</v>
      </c>
      <c r="E1848" s="5">
        <v>0.125</v>
      </c>
      <c r="F1848" s="5">
        <v>0.15</v>
      </c>
      <c r="G1848" s="12">
        <f>(C1848*$U$4)/($U$5*$U$3)</f>
        <v>29.387755102040813</v>
      </c>
      <c r="H1848" s="11">
        <f>G1848*COS(RADIANS(D1848))</f>
        <v>28.386391629719554</v>
      </c>
      <c r="I1848" s="11">
        <f>G1848*SIN(RADIANS(D1848))</f>
        <v>7.6061107132169354</v>
      </c>
      <c r="J1848" s="12">
        <v>0.1658</v>
      </c>
      <c r="K1848" s="12">
        <v>69</v>
      </c>
      <c r="L1848" s="12">
        <f>-(F1848*G1848*$U$3)/J1848</f>
        <v>-26.587233204500134</v>
      </c>
      <c r="M1848" s="11">
        <f>ABS(L1848/$U$6)</f>
        <v>7.7513799430029548E-2</v>
      </c>
      <c r="N1848" s="12">
        <f>L1848*SIN(RADIANS(K1848))</f>
        <v>-24.821320514437797</v>
      </c>
      <c r="O1848" s="12">
        <f>L1848*COS(RADIANS(K1848))</f>
        <v>-9.5280122475794382</v>
      </c>
      <c r="P1848" s="5">
        <v>1.8603747212289423</v>
      </c>
      <c r="Q1848" s="5">
        <v>0.6335154209454753</v>
      </c>
      <c r="R1848" s="6">
        <f>P1848/Q1848</f>
        <v>2.9365894810460484</v>
      </c>
    </row>
    <row r="1849" spans="1:18" x14ac:dyDescent="0.35">
      <c r="A1849" s="9">
        <v>1850</v>
      </c>
      <c r="B1849" s="5">
        <v>1</v>
      </c>
      <c r="C1849" s="5">
        <v>2000000</v>
      </c>
      <c r="D1849" s="5">
        <v>15</v>
      </c>
      <c r="E1849" s="5">
        <v>0.125</v>
      </c>
      <c r="F1849" s="5">
        <v>2.5000000000000001E-2</v>
      </c>
      <c r="G1849" s="12">
        <f>(C1849*$U$4)/($U$5*$U$3)</f>
        <v>29.387755102040813</v>
      </c>
      <c r="H1849" s="11">
        <f>G1849*COS(RADIANS(D1849))</f>
        <v>28.386391629719554</v>
      </c>
      <c r="I1849" s="11">
        <f>G1849*SIN(RADIANS(D1849))</f>
        <v>7.6061107132169354</v>
      </c>
      <c r="J1849" s="11">
        <v>0.33379999999999999</v>
      </c>
      <c r="K1849" s="12">
        <v>14</v>
      </c>
      <c r="L1849" s="12">
        <f>-(F1849*G1849*$U$3)/J1849</f>
        <v>-2.2010002323278024</v>
      </c>
      <c r="M1849" s="11">
        <f>ABS(L1849/$U$6)</f>
        <v>6.4169102983317851E-3</v>
      </c>
      <c r="N1849" s="12">
        <f>L1849*SIN(RADIANS(K1849))</f>
        <v>-0.53247014842005103</v>
      </c>
      <c r="O1849" s="12">
        <f>L1849*COS(RADIANS(K1849))</f>
        <v>-2.1356211189601422</v>
      </c>
      <c r="P1849" s="5">
        <v>3.5690037449695007</v>
      </c>
      <c r="Q1849" s="5">
        <v>1.0208035493058658</v>
      </c>
      <c r="R1849" s="6">
        <f>P1849/Q1849</f>
        <v>3.4962689416552091</v>
      </c>
    </row>
    <row r="1850" spans="1:18" x14ac:dyDescent="0.35">
      <c r="A1850" s="9">
        <v>1851</v>
      </c>
      <c r="B1850" s="5">
        <v>0.25</v>
      </c>
      <c r="C1850" s="5">
        <v>2000000</v>
      </c>
      <c r="D1850" s="5">
        <v>30</v>
      </c>
      <c r="E1850" s="5">
        <v>0.375</v>
      </c>
      <c r="F1850" s="5">
        <v>0.05</v>
      </c>
      <c r="G1850" s="12">
        <f>(C1850*$U$4)/($U$5*$U$3)</f>
        <v>29.387755102040813</v>
      </c>
      <c r="H1850" s="11">
        <f>G1850*COS(RADIANS(D1850))</f>
        <v>25.450542478563094</v>
      </c>
      <c r="I1850" s="11">
        <f>G1850*SIN(RADIANS(D1850))</f>
        <v>14.693877551020405</v>
      </c>
      <c r="J1850" s="11">
        <v>0.1976</v>
      </c>
      <c r="K1850" s="12">
        <v>78</v>
      </c>
      <c r="L1850" s="12">
        <f>-(F1850*G1850*$U$3)/J1850</f>
        <v>-7.4361728497066837</v>
      </c>
      <c r="M1850" s="11">
        <f>ABS(L1850/$U$6)</f>
        <v>2.1679804226550099E-2</v>
      </c>
      <c r="N1850" s="12">
        <f>L1850*SIN(RADIANS(K1850))</f>
        <v>-7.2736746315824581</v>
      </c>
      <c r="O1850" s="12">
        <f>L1850*COS(RADIANS(K1850))</f>
        <v>-1.5460672703956333</v>
      </c>
      <c r="P1850" s="5">
        <v>2.6851910941227017</v>
      </c>
      <c r="Q1850" s="5">
        <v>0.96078553711464643</v>
      </c>
      <c r="R1850" s="6">
        <f>P1850/Q1850</f>
        <v>2.7947871719495807</v>
      </c>
    </row>
    <row r="1851" spans="1:18" x14ac:dyDescent="0.35">
      <c r="A1851" s="9">
        <v>1852</v>
      </c>
      <c r="B1851" s="5">
        <v>0.5</v>
      </c>
      <c r="C1851" s="5">
        <v>4000000</v>
      </c>
      <c r="D1851" s="5">
        <v>0</v>
      </c>
      <c r="E1851" s="5">
        <v>0.25</v>
      </c>
      <c r="F1851" s="5">
        <v>0</v>
      </c>
      <c r="G1851" s="12">
        <f>(C1851*$U$4)/($U$5*$U$3)</f>
        <v>58.775510204081627</v>
      </c>
      <c r="H1851" s="11">
        <f>G1851*COS(RADIANS(D1851))</f>
        <v>58.775510204081627</v>
      </c>
      <c r="I1851" s="11">
        <f>G1851*SIN(RADIANS(D1851))</f>
        <v>0</v>
      </c>
      <c r="J1851" s="11">
        <v>0.23580000000000001</v>
      </c>
      <c r="K1851" s="11">
        <v>49</v>
      </c>
      <c r="L1851" s="12">
        <f>-(F1851*G1851*$U$3)/J1851</f>
        <v>0</v>
      </c>
      <c r="M1851" s="11">
        <f>ABS(L1851/$U$6)</f>
        <v>0</v>
      </c>
      <c r="N1851" s="12">
        <f>L1851*SIN(RADIANS(K1851))</f>
        <v>0</v>
      </c>
      <c r="O1851" s="12">
        <f>L1851*COS(RADIANS(K1851))</f>
        <v>0</v>
      </c>
      <c r="P1851" s="5">
        <v>4.3253791015294665</v>
      </c>
      <c r="Q1851" s="5">
        <v>0.33187030365086706</v>
      </c>
      <c r="R1851" s="6">
        <f>P1851/Q1851</f>
        <v>13.033341802344072</v>
      </c>
    </row>
    <row r="1852" spans="1:18" x14ac:dyDescent="0.35">
      <c r="A1852" s="9">
        <v>1853</v>
      </c>
      <c r="B1852" s="5">
        <v>0.25</v>
      </c>
      <c r="C1852" s="5">
        <v>2000000</v>
      </c>
      <c r="D1852" s="5">
        <v>10</v>
      </c>
      <c r="E1852" s="5">
        <v>0</v>
      </c>
      <c r="F1852" s="5">
        <v>0.05</v>
      </c>
      <c r="G1852" s="12">
        <f>(C1852*$U$4)/($U$5*$U$3)</f>
        <v>29.387755102040813</v>
      </c>
      <c r="H1852" s="11">
        <f>G1852*COS(RADIANS(D1852))</f>
        <v>28.941289068113864</v>
      </c>
      <c r="I1852" s="11">
        <f>G1852*SIN(RADIANS(D1852))</f>
        <v>5.1031301191914213</v>
      </c>
      <c r="J1852" s="12">
        <v>0.18990000000000001</v>
      </c>
      <c r="K1852" s="12">
        <v>0</v>
      </c>
      <c r="L1852" s="12">
        <f>-(F1852*G1852*$U$3)/J1852</f>
        <v>-7.73769223329142</v>
      </c>
      <c r="M1852" s="11">
        <f>ABS(L1852/$U$6)</f>
        <v>2.2558869484814635E-2</v>
      </c>
      <c r="N1852" s="12">
        <f>L1852*SIN(RADIANS(K1852))</f>
        <v>0</v>
      </c>
      <c r="O1852" s="12">
        <f>L1852*COS(RADIANS(K1852))</f>
        <v>-7.73769223329142</v>
      </c>
      <c r="P1852" s="5">
        <v>2.2336916960293141</v>
      </c>
      <c r="Q1852" s="5">
        <v>0.40130707857209175</v>
      </c>
      <c r="R1852" s="6">
        <f>P1852/Q1852</f>
        <v>5.5660411074160718</v>
      </c>
    </row>
    <row r="1853" spans="1:18" x14ac:dyDescent="0.35">
      <c r="A1853" s="9">
        <v>1854</v>
      </c>
      <c r="B1853" s="5">
        <v>0.5</v>
      </c>
      <c r="C1853" s="5">
        <v>4000000</v>
      </c>
      <c r="D1853" s="5">
        <v>15</v>
      </c>
      <c r="E1853" s="5">
        <v>0.25</v>
      </c>
      <c r="F1853" s="5">
        <v>7.4999999999999997E-2</v>
      </c>
      <c r="G1853" s="12">
        <f>(C1853*$U$4)/($U$5*$U$3)</f>
        <v>58.775510204081627</v>
      </c>
      <c r="H1853" s="11">
        <f>G1853*COS(RADIANS(D1853))</f>
        <v>56.772783259439109</v>
      </c>
      <c r="I1853" s="11">
        <f>G1853*SIN(RADIANS(D1853))</f>
        <v>15.212221426433871</v>
      </c>
      <c r="J1853" s="11">
        <v>0.23580000000000001</v>
      </c>
      <c r="K1853" s="11">
        <v>49</v>
      </c>
      <c r="L1853" s="12">
        <f>-(F1853*G1853*$U$3)/J1853</f>
        <v>-18.694500701043772</v>
      </c>
      <c r="M1853" s="11">
        <f>ABS(L1853/$U$6)</f>
        <v>5.4502917495754435E-2</v>
      </c>
      <c r="N1853" s="12">
        <f>L1853*SIN(RADIANS(K1853))</f>
        <v>-14.108918776559062</v>
      </c>
      <c r="O1853" s="12">
        <f>L1853*COS(RADIANS(K1853))</f>
        <v>-12.264695977389135</v>
      </c>
      <c r="P1853" s="5">
        <v>4.4901215508637673</v>
      </c>
      <c r="Q1853" s="5">
        <v>0.5858800939466775</v>
      </c>
      <c r="R1853" s="6">
        <f>P1853/Q1853</f>
        <v>7.6638916345780901</v>
      </c>
    </row>
    <row r="1854" spans="1:18" x14ac:dyDescent="0.35">
      <c r="A1854" s="9">
        <v>1855</v>
      </c>
      <c r="B1854" s="5">
        <v>0.75</v>
      </c>
      <c r="C1854" s="5">
        <v>2000000</v>
      </c>
      <c r="D1854" s="5">
        <v>10</v>
      </c>
      <c r="E1854" s="5">
        <v>0.375</v>
      </c>
      <c r="F1854" s="5">
        <v>0.05</v>
      </c>
      <c r="G1854" s="12">
        <f>(C1854*$U$4)/($U$5*$U$3)</f>
        <v>29.387755102040813</v>
      </c>
      <c r="H1854" s="11">
        <f>G1854*COS(RADIANS(D1854))</f>
        <v>28.941289068113864</v>
      </c>
      <c r="I1854" s="11">
        <f>G1854*SIN(RADIANS(D1854))</f>
        <v>5.1031301191914213</v>
      </c>
      <c r="J1854" s="11">
        <v>0.29299999999999998</v>
      </c>
      <c r="K1854" s="12">
        <v>57</v>
      </c>
      <c r="L1854" s="12">
        <f>-(F1854*G1854*$U$3)/J1854</f>
        <v>-5.0149752733858044</v>
      </c>
      <c r="M1854" s="11">
        <f>ABS(L1854/$U$6)</f>
        <v>1.46209191643901E-2</v>
      </c>
      <c r="N1854" s="12">
        <f>L1854*SIN(RADIANS(K1854))</f>
        <v>-4.2059121607627308</v>
      </c>
      <c r="O1854" s="12">
        <f>L1854*COS(RADIANS(K1854))</f>
        <v>-2.7313512935210662</v>
      </c>
      <c r="P1854" s="5">
        <v>4.9892198930578209</v>
      </c>
      <c r="Q1854" s="5">
        <v>-1.6133307907441184E-2</v>
      </c>
      <c r="R1854" s="6">
        <f>P1854/Q1854</f>
        <v>-309.24965429790359</v>
      </c>
    </row>
    <row r="1855" spans="1:18" x14ac:dyDescent="0.35">
      <c r="A1855" s="9">
        <v>1856</v>
      </c>
      <c r="B1855" s="5">
        <v>0.75</v>
      </c>
      <c r="C1855" s="5">
        <v>4000000</v>
      </c>
      <c r="D1855" s="5">
        <v>5</v>
      </c>
      <c r="E1855" s="5">
        <v>0.25</v>
      </c>
      <c r="F1855" s="5">
        <v>0</v>
      </c>
      <c r="G1855" s="12">
        <f>(C1855*$U$4)/($U$5*$U$3)</f>
        <v>58.775510204081627</v>
      </c>
      <c r="H1855" s="11">
        <f>G1855*COS(RADIANS(D1855))</f>
        <v>58.551851642943404</v>
      </c>
      <c r="I1855" s="11">
        <f>G1855*SIN(RADIANS(D1855))</f>
        <v>5.1226232472092956</v>
      </c>
      <c r="J1855" s="12">
        <v>0.28370000000000001</v>
      </c>
      <c r="K1855" s="11">
        <v>38</v>
      </c>
      <c r="L1855" s="12">
        <f>-(F1855*G1855*$U$3)/J1855</f>
        <v>0</v>
      </c>
      <c r="M1855" s="11">
        <f>ABS(L1855/$U$6)</f>
        <v>0</v>
      </c>
      <c r="N1855" s="12">
        <f>L1855*SIN(RADIANS(K1855))</f>
        <v>0</v>
      </c>
      <c r="O1855" s="12">
        <f>L1855*COS(RADIANS(K1855))</f>
        <v>0</v>
      </c>
      <c r="P1855" s="5">
        <v>5.9557833121400421</v>
      </c>
      <c r="Q1855" s="5">
        <v>0.90595421240307616</v>
      </c>
      <c r="R1855" s="6">
        <f>P1855/Q1855</f>
        <v>6.5740445053421768</v>
      </c>
    </row>
    <row r="1856" spans="1:18" x14ac:dyDescent="0.35">
      <c r="A1856" s="9">
        <v>1857</v>
      </c>
      <c r="B1856" s="5">
        <v>0.75</v>
      </c>
      <c r="C1856" s="5">
        <v>2000000</v>
      </c>
      <c r="D1856" s="5">
        <v>15</v>
      </c>
      <c r="E1856" s="5">
        <v>0.125</v>
      </c>
      <c r="F1856" s="5">
        <v>0.1</v>
      </c>
      <c r="G1856" s="12">
        <f>(C1856*$U$4)/($U$5*$U$3)</f>
        <v>29.387755102040813</v>
      </c>
      <c r="H1856" s="11">
        <f>G1856*COS(RADIANS(D1856))</f>
        <v>28.386391629719554</v>
      </c>
      <c r="I1856" s="11">
        <f>G1856*SIN(RADIANS(D1856))</f>
        <v>7.6061107132169354</v>
      </c>
      <c r="J1856" s="12">
        <v>0.2802</v>
      </c>
      <c r="K1856" s="12">
        <v>19</v>
      </c>
      <c r="L1856" s="12">
        <f>-(F1856*G1856*$U$3)/J1856</f>
        <v>-10.488135296945329</v>
      </c>
      <c r="M1856" s="11">
        <f>ABS(L1856/$U$6)</f>
        <v>3.0577653926954312E-2</v>
      </c>
      <c r="N1856" s="12">
        <f>L1856*SIN(RADIANS(K1856))</f>
        <v>-3.414602852323454</v>
      </c>
      <c r="O1856" s="12">
        <f>L1856*COS(RADIANS(K1856))</f>
        <v>-9.9167267466606646</v>
      </c>
      <c r="P1856" s="5">
        <v>3.5899585861669983</v>
      </c>
      <c r="Q1856" s="5">
        <v>0.80530205219244566</v>
      </c>
      <c r="R1856" s="6">
        <f>P1856/Q1856</f>
        <v>4.4579031884909366</v>
      </c>
    </row>
    <row r="1857" spans="1:18" x14ac:dyDescent="0.35">
      <c r="A1857" s="9">
        <v>2210</v>
      </c>
      <c r="B1857" s="5">
        <v>0.5</v>
      </c>
      <c r="C1857" s="5">
        <v>6000000</v>
      </c>
      <c r="D1857" s="5">
        <v>30</v>
      </c>
      <c r="E1857" s="5">
        <v>0.125</v>
      </c>
      <c r="F1857" s="5">
        <v>0.1</v>
      </c>
      <c r="G1857" s="12">
        <f>(C1857*$U$4)/($U$5*$U$3)</f>
        <v>88.16326530612244</v>
      </c>
      <c r="H1857" s="11">
        <f>G1857*COS(RADIANS(D1857))</f>
        <v>76.351627435689281</v>
      </c>
      <c r="I1857" s="11">
        <f>G1857*SIN(RADIANS(D1857))</f>
        <v>44.081632653061213</v>
      </c>
      <c r="J1857" s="19">
        <v>0.23300000000000001</v>
      </c>
      <c r="K1857" s="20">
        <v>27</v>
      </c>
      <c r="L1857" s="12">
        <f>-(F1857*G1857*$U$3)/J1857</f>
        <v>-37.838311290181302</v>
      </c>
      <c r="M1857" s="11">
        <f>ABS(L1857/$U$6)</f>
        <v>0.11031577635621372</v>
      </c>
      <c r="N1857" s="12">
        <f>L1857*SIN(RADIANS(K1857))</f>
        <v>-17.178233851929942</v>
      </c>
      <c r="O1857" s="12">
        <f>L1857*COS(RADIANS(K1857))</f>
        <v>-33.714182223821922</v>
      </c>
      <c r="P1857" s="5">
        <v>3.6459248749962927</v>
      </c>
      <c r="Q1857" s="5">
        <v>1.169477161152767</v>
      </c>
      <c r="R1857" s="6">
        <f>P1857/Q1857</f>
        <v>3.1175682570854679</v>
      </c>
    </row>
    <row r="1858" spans="1:18" x14ac:dyDescent="0.35">
      <c r="A1858" s="9">
        <v>1859</v>
      </c>
      <c r="B1858" s="5">
        <v>1</v>
      </c>
      <c r="C1858" s="5">
        <v>2000000</v>
      </c>
      <c r="D1858" s="5">
        <v>30</v>
      </c>
      <c r="E1858" s="5">
        <v>0.375</v>
      </c>
      <c r="F1858" s="5">
        <v>3.5000000000000003E-2</v>
      </c>
      <c r="G1858" s="12">
        <f>(C1858*$U$4)/($U$5*$U$3)</f>
        <v>29.387755102040813</v>
      </c>
      <c r="H1858" s="11">
        <f>G1858*COS(RADIANS(D1858))</f>
        <v>25.450542478563094</v>
      </c>
      <c r="I1858" s="11">
        <f>G1858*SIN(RADIANS(D1858))</f>
        <v>14.693877551020405</v>
      </c>
      <c r="J1858" s="12">
        <v>0.33379999999999999</v>
      </c>
      <c r="K1858" s="11">
        <v>49</v>
      </c>
      <c r="L1858" s="12">
        <f>-(F1858*G1858*$U$3)/J1858</f>
        <v>-3.0814003252589233</v>
      </c>
      <c r="M1858" s="11">
        <f>ABS(L1858/$U$6)</f>
        <v>8.983674417664499E-3</v>
      </c>
      <c r="N1858" s="12">
        <f>L1858*SIN(RADIANS(K1858))</f>
        <v>-2.325562345974475</v>
      </c>
      <c r="O1858" s="12">
        <f>L1858*COS(RADIANS(K1858))</f>
        <v>-2.0215805053204026</v>
      </c>
      <c r="P1858" s="5">
        <v>5.3088583442418145</v>
      </c>
      <c r="Q1858" s="5">
        <v>1.4981156541566127</v>
      </c>
      <c r="R1858" s="6">
        <f>P1858/Q1858</f>
        <v>3.5436905885817729</v>
      </c>
    </row>
    <row r="1859" spans="1:18" x14ac:dyDescent="0.35">
      <c r="A1859" s="9">
        <v>1860</v>
      </c>
      <c r="B1859" s="5">
        <v>0.1</v>
      </c>
      <c r="C1859" s="5">
        <v>4000000</v>
      </c>
      <c r="D1859" s="5">
        <v>15</v>
      </c>
      <c r="E1859" s="5">
        <v>0.125</v>
      </c>
      <c r="F1859" s="5">
        <v>7.4999999999999997E-2</v>
      </c>
      <c r="G1859" s="12">
        <f>(C1859*$U$4)/($U$5*$U$3)</f>
        <v>58.775510204081627</v>
      </c>
      <c r="H1859" s="11">
        <f>G1859*COS(RADIANS(D1859))</f>
        <v>56.772783259439109</v>
      </c>
      <c r="I1859" s="11">
        <f>G1859*SIN(RADIANS(D1859))</f>
        <v>15.212221426433871</v>
      </c>
      <c r="J1859" s="12">
        <v>0.1658</v>
      </c>
      <c r="K1859" s="12">
        <v>69</v>
      </c>
      <c r="L1859" s="12">
        <f>-(F1859*G1859*$U$3)/J1859</f>
        <v>-26.587233204500134</v>
      </c>
      <c r="M1859" s="11">
        <f>ABS(L1859/$U$6)</f>
        <v>7.7513799430029548E-2</v>
      </c>
      <c r="N1859" s="12">
        <f>L1859*SIN(RADIANS(K1859))</f>
        <v>-24.821320514437797</v>
      </c>
      <c r="O1859" s="12">
        <f>L1859*COS(RADIANS(K1859))</f>
        <v>-9.5280122475794382</v>
      </c>
      <c r="P1859" s="5">
        <v>1.6730182827974482</v>
      </c>
      <c r="Q1859" s="5">
        <v>0.60563286874231903</v>
      </c>
      <c r="R1859" s="6">
        <f>P1859/Q1859</f>
        <v>2.7624297972329401</v>
      </c>
    </row>
    <row r="1860" spans="1:18" x14ac:dyDescent="0.35">
      <c r="A1860" s="9">
        <v>1861</v>
      </c>
      <c r="B1860" s="5">
        <v>0.75</v>
      </c>
      <c r="C1860" s="5">
        <v>4000000</v>
      </c>
      <c r="D1860" s="5">
        <v>30</v>
      </c>
      <c r="E1860" s="5">
        <v>0.25</v>
      </c>
      <c r="F1860" s="5">
        <v>1.4999999999999999E-2</v>
      </c>
      <c r="G1860" s="12">
        <f>(C1860*$U$4)/($U$5*$U$3)</f>
        <v>58.775510204081627</v>
      </c>
      <c r="H1860" s="11">
        <f>G1860*COS(RADIANS(D1860))</f>
        <v>50.901084957126187</v>
      </c>
      <c r="I1860" s="11">
        <f>G1860*SIN(RADIANS(D1860))</f>
        <v>29.38775510204081</v>
      </c>
      <c r="J1860" s="12">
        <v>0.28370000000000001</v>
      </c>
      <c r="K1860" s="11">
        <v>38</v>
      </c>
      <c r="L1860" s="12">
        <f>-(F1860*G1860*$U$3)/J1860</f>
        <v>-3.1076230280621231</v>
      </c>
      <c r="M1860" s="11">
        <f>ABS(L1860/$U$6)</f>
        <v>9.0601254462452565E-3</v>
      </c>
      <c r="N1860" s="12">
        <f>L1860*SIN(RADIANS(K1860))</f>
        <v>-1.9132437782127163</v>
      </c>
      <c r="O1860" s="12">
        <f>L1860*COS(RADIANS(K1860))</f>
        <v>-2.4488403642688366</v>
      </c>
      <c r="P1860" s="5">
        <v>4.0739830292241885</v>
      </c>
      <c r="Q1860" s="5">
        <v>1.3400312428602867</v>
      </c>
      <c r="R1860" s="6">
        <f>P1860/Q1860</f>
        <v>3.0402149583679123</v>
      </c>
    </row>
    <row r="1861" spans="1:18" x14ac:dyDescent="0.35">
      <c r="A1861" s="9">
        <v>1862</v>
      </c>
      <c r="B1861" s="5">
        <v>0.75</v>
      </c>
      <c r="C1861" s="5">
        <v>2000000</v>
      </c>
      <c r="D1861" s="5">
        <v>30</v>
      </c>
      <c r="E1861" s="5">
        <v>0.125</v>
      </c>
      <c r="F1861" s="5">
        <v>2.5000000000000001E-2</v>
      </c>
      <c r="G1861" s="12">
        <f>(C1861*$U$4)/($U$5*$U$3)</f>
        <v>29.387755102040813</v>
      </c>
      <c r="H1861" s="11">
        <f>G1861*COS(RADIANS(D1861))</f>
        <v>25.450542478563094</v>
      </c>
      <c r="I1861" s="11">
        <f>G1861*SIN(RADIANS(D1861))</f>
        <v>14.693877551020405</v>
      </c>
      <c r="J1861" s="12">
        <v>0.2802</v>
      </c>
      <c r="K1861" s="12">
        <v>19</v>
      </c>
      <c r="L1861" s="12">
        <f>-(F1861*G1861*$U$3)/J1861</f>
        <v>-2.6220338242363321</v>
      </c>
      <c r="M1861" s="11">
        <f>ABS(L1861/$U$6)</f>
        <v>7.6444134817385779E-3</v>
      </c>
      <c r="N1861" s="12">
        <f>L1861*SIN(RADIANS(K1861))</f>
        <v>-0.85365071308086349</v>
      </c>
      <c r="O1861" s="12">
        <f>L1861*COS(RADIANS(K1861))</f>
        <v>-2.4791816866651661</v>
      </c>
      <c r="P1861" s="5">
        <v>3.7742365332678882</v>
      </c>
      <c r="Q1861" s="5">
        <v>1.3075732024399487</v>
      </c>
      <c r="R1861" s="6">
        <f>P1861/Q1861</f>
        <v>2.8864437770865243</v>
      </c>
    </row>
    <row r="1862" spans="1:18" x14ac:dyDescent="0.35">
      <c r="A1862" s="9">
        <v>1863</v>
      </c>
      <c r="B1862" s="5">
        <v>0.75</v>
      </c>
      <c r="C1862" s="5">
        <v>6000000</v>
      </c>
      <c r="D1862" s="5">
        <v>5</v>
      </c>
      <c r="E1862" s="5">
        <v>0.25</v>
      </c>
      <c r="F1862" s="5">
        <v>1.4999999999999999E-2</v>
      </c>
      <c r="G1862" s="12">
        <f>(C1862*$U$4)/($U$5*$U$3)</f>
        <v>88.16326530612244</v>
      </c>
      <c r="H1862" s="11">
        <f>G1862*COS(RADIANS(D1862))</f>
        <v>87.827777464415107</v>
      </c>
      <c r="I1862" s="11">
        <f>G1862*SIN(RADIANS(D1862))</f>
        <v>7.6839348708139434</v>
      </c>
      <c r="J1862" s="12">
        <v>0.28370000000000001</v>
      </c>
      <c r="K1862" s="11">
        <v>38</v>
      </c>
      <c r="L1862" s="12">
        <f>-(F1862*G1862*$U$3)/J1862</f>
        <v>-4.6614345420931853</v>
      </c>
      <c r="M1862" s="11">
        <f>ABS(L1862/$U$6)</f>
        <v>1.3590188169367887E-2</v>
      </c>
      <c r="N1862" s="12">
        <f>L1862*SIN(RADIANS(K1862))</f>
        <v>-2.869865667319075</v>
      </c>
      <c r="O1862" s="12">
        <f>L1862*COS(RADIANS(K1862))</f>
        <v>-3.6732605464032555</v>
      </c>
      <c r="P1862" s="5">
        <v>4.6748009599122931</v>
      </c>
      <c r="Q1862" s="5">
        <v>4.1434484690921959E-2</v>
      </c>
      <c r="R1862" s="6">
        <f>P1862/Q1862</f>
        <v>112.82391937014998</v>
      </c>
    </row>
    <row r="1863" spans="1:18" x14ac:dyDescent="0.35">
      <c r="A1863" s="9">
        <v>1864</v>
      </c>
      <c r="B1863" s="5">
        <v>0.5</v>
      </c>
      <c r="C1863" s="5">
        <v>6000000</v>
      </c>
      <c r="D1863" s="5">
        <v>15</v>
      </c>
      <c r="E1863" s="5">
        <v>0</v>
      </c>
      <c r="F1863" s="5">
        <v>0.05</v>
      </c>
      <c r="G1863" s="12">
        <f>(C1863*$U$4)/($U$5*$U$3)</f>
        <v>88.16326530612244</v>
      </c>
      <c r="H1863" s="11">
        <f>G1863*COS(RADIANS(D1863))</f>
        <v>85.159174889158663</v>
      </c>
      <c r="I1863" s="11">
        <f>G1863*SIN(RADIANS(D1863))</f>
        <v>22.818332139650806</v>
      </c>
      <c r="J1863" s="12">
        <v>0.23230000000000001</v>
      </c>
      <c r="K1863" s="12">
        <v>0</v>
      </c>
      <c r="L1863" s="12">
        <f>-(F1863*G1863*$U$3)/J1863</f>
        <v>-18.976165584615249</v>
      </c>
      <c r="M1863" s="11">
        <f>ABS(L1863/$U$6)</f>
        <v>5.532409791433017E-2</v>
      </c>
      <c r="N1863" s="12">
        <f>L1863*SIN(RADIANS(K1863))</f>
        <v>0</v>
      </c>
      <c r="O1863" s="12">
        <f>L1863*COS(RADIANS(K1863))</f>
        <v>-18.976165584615249</v>
      </c>
      <c r="P1863" s="5">
        <v>4.0557245821982493</v>
      </c>
      <c r="Q1863" s="5">
        <v>0.82834950170310495</v>
      </c>
      <c r="R1863" s="6">
        <f>P1863/Q1863</f>
        <v>4.8961514117647074</v>
      </c>
    </row>
    <row r="1864" spans="1:18" x14ac:dyDescent="0.35">
      <c r="A1864" s="9">
        <v>1865</v>
      </c>
      <c r="B1864" s="5">
        <v>0.5</v>
      </c>
      <c r="C1864" s="5">
        <v>2000000</v>
      </c>
      <c r="D1864" s="5">
        <v>15</v>
      </c>
      <c r="E1864" s="5">
        <v>0.25</v>
      </c>
      <c r="F1864" s="5">
        <v>3.5000000000000003E-2</v>
      </c>
      <c r="G1864" s="12">
        <f>(C1864*$U$4)/($U$5*$U$3)</f>
        <v>29.387755102040813</v>
      </c>
      <c r="H1864" s="11">
        <f>G1864*COS(RADIANS(D1864))</f>
        <v>28.386391629719554</v>
      </c>
      <c r="I1864" s="11">
        <f>G1864*SIN(RADIANS(D1864))</f>
        <v>7.6061107132169354</v>
      </c>
      <c r="J1864" s="11">
        <v>0.23580000000000001</v>
      </c>
      <c r="K1864" s="11">
        <v>49</v>
      </c>
      <c r="L1864" s="12">
        <f>-(F1864*G1864*$U$3)/J1864</f>
        <v>-4.3620501635768809</v>
      </c>
      <c r="M1864" s="11">
        <f>ABS(L1864/$U$6)</f>
        <v>1.2717347415676037E-2</v>
      </c>
      <c r="N1864" s="12">
        <f>L1864*SIN(RADIANS(K1864))</f>
        <v>-3.2920810478637819</v>
      </c>
      <c r="O1864" s="12">
        <f>L1864*COS(RADIANS(K1864))</f>
        <v>-2.8617623947241317</v>
      </c>
      <c r="P1864" s="5">
        <v>2.8357132271322012</v>
      </c>
      <c r="Q1864" s="5">
        <v>0.55930186046815156</v>
      </c>
      <c r="R1864" s="6">
        <f>P1864/Q1864</f>
        <v>5.0700943936761247</v>
      </c>
    </row>
    <row r="1865" spans="1:18" x14ac:dyDescent="0.35">
      <c r="A1865" s="9">
        <v>1866</v>
      </c>
      <c r="B1865" s="5">
        <v>0.5</v>
      </c>
      <c r="C1865" s="5">
        <v>2000000</v>
      </c>
      <c r="D1865" s="5">
        <v>15</v>
      </c>
      <c r="E1865" s="5">
        <v>0.125</v>
      </c>
      <c r="F1865" s="5">
        <v>2.5000000000000001E-2</v>
      </c>
      <c r="G1865" s="12">
        <f>(C1865*$U$4)/($U$5*$U$3)</f>
        <v>29.387755102040813</v>
      </c>
      <c r="H1865" s="11">
        <f>G1865*COS(RADIANS(D1865))</f>
        <v>28.386391629719554</v>
      </c>
      <c r="I1865" s="11">
        <f>G1865*SIN(RADIANS(D1865))</f>
        <v>7.6061107132169354</v>
      </c>
      <c r="J1865" s="12">
        <v>0.23300000000000001</v>
      </c>
      <c r="K1865" s="11">
        <v>27</v>
      </c>
      <c r="L1865" s="12">
        <f>-(F1865*G1865*$U$3)/J1865</f>
        <v>-3.1531926075151087</v>
      </c>
      <c r="M1865" s="11">
        <f>ABS(L1865/$U$6)</f>
        <v>9.1929813630178096E-3</v>
      </c>
      <c r="N1865" s="12">
        <f>L1865*SIN(RADIANS(K1865))</f>
        <v>-1.4315194876608286</v>
      </c>
      <c r="O1865" s="12">
        <f>L1865*COS(RADIANS(K1865))</f>
        <v>-2.8095151853184936</v>
      </c>
      <c r="P1865" s="5">
        <v>3.6950312440373336</v>
      </c>
      <c r="Q1865" s="5">
        <v>0.77799306259769652</v>
      </c>
      <c r="R1865" s="6">
        <f>P1865/Q1865</f>
        <v>4.7494398365195316</v>
      </c>
    </row>
    <row r="1866" spans="1:18" x14ac:dyDescent="0.35">
      <c r="A1866" s="9">
        <v>1867</v>
      </c>
      <c r="B1866" s="5">
        <v>0.25</v>
      </c>
      <c r="C1866" s="5">
        <v>2000000</v>
      </c>
      <c r="D1866" s="5">
        <v>0</v>
      </c>
      <c r="E1866" s="5">
        <v>0.375</v>
      </c>
      <c r="F1866" s="5">
        <v>0.1</v>
      </c>
      <c r="G1866" s="12">
        <f>(C1866*$U$4)/($U$5*$U$3)</f>
        <v>29.387755102040813</v>
      </c>
      <c r="H1866" s="11">
        <f>G1866*COS(RADIANS(D1866))</f>
        <v>29.387755102040813</v>
      </c>
      <c r="I1866" s="11">
        <f>G1866*SIN(RADIANS(D1866))</f>
        <v>0</v>
      </c>
      <c r="J1866" s="11">
        <v>0.1976</v>
      </c>
      <c r="K1866" s="12">
        <v>78</v>
      </c>
      <c r="L1866" s="12">
        <f>-(F1866*G1866*$U$3)/J1866</f>
        <v>-14.872345699413367</v>
      </c>
      <c r="M1866" s="11">
        <f>ABS(L1866/$U$6)</f>
        <v>4.3359608453100197E-2</v>
      </c>
      <c r="N1866" s="12">
        <f>L1866*SIN(RADIANS(K1866))</f>
        <v>-14.547349263164916</v>
      </c>
      <c r="O1866" s="12">
        <f>L1866*COS(RADIANS(K1866))</f>
        <v>-3.0921345407912666</v>
      </c>
      <c r="P1866" s="5">
        <v>2.4222648766833741</v>
      </c>
      <c r="Q1866" s="5">
        <v>-4.668925748544802E-2</v>
      </c>
      <c r="R1866" s="6">
        <f>P1866/Q1866</f>
        <v>-51.880561121331581</v>
      </c>
    </row>
    <row r="1867" spans="1:18" x14ac:dyDescent="0.35">
      <c r="A1867" s="9">
        <v>1868</v>
      </c>
      <c r="B1867" s="5">
        <v>0.75</v>
      </c>
      <c r="C1867" s="5">
        <v>2000000</v>
      </c>
      <c r="D1867" s="5">
        <v>20</v>
      </c>
      <c r="E1867" s="5">
        <v>0.125</v>
      </c>
      <c r="F1867" s="5">
        <v>7.4999999999999997E-2</v>
      </c>
      <c r="G1867" s="12">
        <f>(C1867*$U$4)/($U$5*$U$3)</f>
        <v>29.387755102040813</v>
      </c>
      <c r="H1867" s="11">
        <f>G1867*COS(RADIANS(D1867))</f>
        <v>27.615456610851183</v>
      </c>
      <c r="I1867" s="11">
        <f>G1867*SIN(RADIANS(D1867))</f>
        <v>10.051204212019652</v>
      </c>
      <c r="J1867" s="12">
        <v>0.2802</v>
      </c>
      <c r="K1867" s="12">
        <v>19</v>
      </c>
      <c r="L1867" s="12">
        <f>-(F1867*G1867*$U$3)/J1867</f>
        <v>-7.8661014727089968</v>
      </c>
      <c r="M1867" s="11">
        <f>ABS(L1867/$U$6)</f>
        <v>2.2933240445215733E-2</v>
      </c>
      <c r="N1867" s="12">
        <f>L1867*SIN(RADIANS(K1867))</f>
        <v>-2.5609521392425907</v>
      </c>
      <c r="O1867" s="12">
        <f>L1867*COS(RADIANS(K1867))</f>
        <v>-7.4375450599954993</v>
      </c>
      <c r="P1867" s="5">
        <v>5.9467556236737842</v>
      </c>
      <c r="Q1867" s="5">
        <v>0.9972996661468142</v>
      </c>
      <c r="R1867" s="6">
        <f>P1867/Q1867</f>
        <v>5.9628573291814897</v>
      </c>
    </row>
    <row r="1868" spans="1:18" x14ac:dyDescent="0.35">
      <c r="A1868" s="9">
        <v>1869</v>
      </c>
      <c r="B1868" s="5">
        <v>1</v>
      </c>
      <c r="C1868" s="5">
        <v>6000000</v>
      </c>
      <c r="D1868" s="5">
        <v>20</v>
      </c>
      <c r="E1868" s="5">
        <v>0.375</v>
      </c>
      <c r="F1868" s="5">
        <v>0.1</v>
      </c>
      <c r="G1868" s="12">
        <f>(C1868*$U$4)/($U$5*$U$3)</f>
        <v>88.16326530612244</v>
      </c>
      <c r="H1868" s="11">
        <f>G1868*COS(RADIANS(D1868))</f>
        <v>82.846369832553549</v>
      </c>
      <c r="I1868" s="11">
        <f>G1868*SIN(RADIANS(D1868))</f>
        <v>30.153612636058952</v>
      </c>
      <c r="J1868" s="12">
        <v>0.33379999999999999</v>
      </c>
      <c r="K1868" s="11">
        <v>49</v>
      </c>
      <c r="L1868" s="12">
        <f>-(F1868*G1868*$U$3)/J1868</f>
        <v>-26.412002787933627</v>
      </c>
      <c r="M1868" s="11">
        <f>ABS(L1868/$U$6)</f>
        <v>7.7002923579981425E-2</v>
      </c>
      <c r="N1868" s="12">
        <f>L1868*SIN(RADIANS(K1868))</f>
        <v>-19.933391536924074</v>
      </c>
      <c r="O1868" s="12">
        <f>L1868*COS(RADIANS(K1868))</f>
        <v>-17.327832902746305</v>
      </c>
      <c r="P1868" s="5">
        <v>6.9574147897196221</v>
      </c>
      <c r="Q1868" s="5">
        <v>0.67758444368297543</v>
      </c>
      <c r="R1868" s="6">
        <f>P1868/Q1868</f>
        <v>10.267967121415822</v>
      </c>
    </row>
    <row r="1869" spans="1:18" x14ac:dyDescent="0.35">
      <c r="A1869" s="9">
        <v>1870</v>
      </c>
      <c r="B1869" s="5">
        <v>0.75</v>
      </c>
      <c r="C1869" s="5">
        <v>4000000</v>
      </c>
      <c r="D1869" s="5">
        <v>15</v>
      </c>
      <c r="E1869" s="5">
        <v>0.375</v>
      </c>
      <c r="F1869" s="5">
        <v>0.05</v>
      </c>
      <c r="G1869" s="12">
        <f>(C1869*$U$4)/($U$5*$U$3)</f>
        <v>58.775510204081627</v>
      </c>
      <c r="H1869" s="11">
        <f>G1869*COS(RADIANS(D1869))</f>
        <v>56.772783259439109</v>
      </c>
      <c r="I1869" s="11">
        <f>G1869*SIN(RADIANS(D1869))</f>
        <v>15.212221426433871</v>
      </c>
      <c r="J1869" s="11">
        <v>0.29299999999999998</v>
      </c>
      <c r="K1869" s="12">
        <v>57</v>
      </c>
      <c r="L1869" s="12">
        <f>-(F1869*G1869*$U$3)/J1869</f>
        <v>-10.029950546771609</v>
      </c>
      <c r="M1869" s="11">
        <f>ABS(L1869/$U$6)</f>
        <v>2.92418383287802E-2</v>
      </c>
      <c r="N1869" s="12">
        <f>L1869*SIN(RADIANS(K1869))</f>
        <v>-8.4118243215254616</v>
      </c>
      <c r="O1869" s="12">
        <f>L1869*COS(RADIANS(K1869))</f>
        <v>-5.4627025870421324</v>
      </c>
      <c r="P1869" s="5">
        <v>4.8773085430535517</v>
      </c>
      <c r="Q1869" s="5">
        <v>0.35415428534072452</v>
      </c>
      <c r="R1869" s="6">
        <f>P1869/Q1869</f>
        <v>13.771705567140586</v>
      </c>
    </row>
    <row r="1870" spans="1:18" x14ac:dyDescent="0.35">
      <c r="A1870" s="9">
        <v>1871</v>
      </c>
      <c r="B1870" s="5">
        <v>1</v>
      </c>
      <c r="C1870" s="5">
        <v>4000000</v>
      </c>
      <c r="D1870" s="5">
        <v>15</v>
      </c>
      <c r="E1870" s="5">
        <v>0</v>
      </c>
      <c r="F1870" s="5">
        <v>2.5000000000000001E-2</v>
      </c>
      <c r="G1870" s="12">
        <f>(C1870*$U$4)/($U$5*$U$3)</f>
        <v>58.775510204081627</v>
      </c>
      <c r="H1870" s="11">
        <f>G1870*COS(RADIANS(D1870))</f>
        <v>56.772783259439109</v>
      </c>
      <c r="I1870" s="11">
        <f>G1870*SIN(RADIANS(D1870))</f>
        <v>15.212221426433871</v>
      </c>
      <c r="J1870" s="11">
        <v>0.33379999999999999</v>
      </c>
      <c r="K1870" s="12">
        <v>0</v>
      </c>
      <c r="L1870" s="12">
        <f>-(F1870*G1870*$U$3)/J1870</f>
        <v>-4.4020004646556048</v>
      </c>
      <c r="M1870" s="11">
        <f>ABS(L1870/$U$6)</f>
        <v>1.283382059666357E-2</v>
      </c>
      <c r="N1870" s="12">
        <f>L1870*SIN(RADIANS(K1870))</f>
        <v>0</v>
      </c>
      <c r="O1870" s="12">
        <f>L1870*COS(RADIANS(K1870))</f>
        <v>-4.4020004646556048</v>
      </c>
      <c r="P1870" s="5">
        <v>3.0888505990254478</v>
      </c>
      <c r="Q1870" s="5">
        <v>1.4256041185936839</v>
      </c>
      <c r="R1870" s="6">
        <f>P1870/Q1870</f>
        <v>2.1666959001721371</v>
      </c>
    </row>
    <row r="1871" spans="1:18" x14ac:dyDescent="0.35">
      <c r="A1871" s="9">
        <v>1872</v>
      </c>
      <c r="B1871" s="5">
        <v>0.25</v>
      </c>
      <c r="C1871" s="5">
        <v>4000000</v>
      </c>
      <c r="D1871" s="5">
        <v>5</v>
      </c>
      <c r="E1871" s="5">
        <v>0.125</v>
      </c>
      <c r="F1871" s="5">
        <v>2.5000000000000001E-2</v>
      </c>
      <c r="G1871" s="12">
        <f>(C1871*$U$4)/($U$5*$U$3)</f>
        <v>58.775510204081627</v>
      </c>
      <c r="H1871" s="11">
        <f>G1871*COS(RADIANS(D1871))</f>
        <v>58.551851642943404</v>
      </c>
      <c r="I1871" s="11">
        <f>G1871*SIN(RADIANS(D1871))</f>
        <v>5.1226232472092956</v>
      </c>
      <c r="J1871" s="11">
        <v>0.19020000000000001</v>
      </c>
      <c r="K1871" s="12">
        <v>46</v>
      </c>
      <c r="L1871" s="12">
        <f>-(F1871*G1871*$U$3)/J1871</f>
        <v>-7.7254876714092564</v>
      </c>
      <c r="M1871" s="11">
        <f>ABS(L1871/$U$6)</f>
        <v>2.2523287671747102E-2</v>
      </c>
      <c r="N1871" s="12">
        <f>L1871*SIN(RADIANS(K1871))</f>
        <v>-5.5572507590702447</v>
      </c>
      <c r="O1871" s="12">
        <f>L1871*COS(RADIANS(K1871))</f>
        <v>-5.3665746768222276</v>
      </c>
      <c r="P1871" s="5">
        <v>2.0531994386735306</v>
      </c>
      <c r="Q1871" s="5">
        <v>0.33143083016794828</v>
      </c>
      <c r="R1871" s="6">
        <f>P1871/Q1871</f>
        <v>6.1949560867137752</v>
      </c>
    </row>
    <row r="1872" spans="1:18" x14ac:dyDescent="0.35">
      <c r="A1872" s="9">
        <v>1873</v>
      </c>
      <c r="B1872" s="5">
        <v>0.5</v>
      </c>
      <c r="C1872" s="5">
        <v>4000000</v>
      </c>
      <c r="D1872" s="5">
        <v>15</v>
      </c>
      <c r="E1872" s="5">
        <v>0.375</v>
      </c>
      <c r="F1872" s="5">
        <v>7.4999999999999997E-2</v>
      </c>
      <c r="G1872" s="12">
        <f>(C1872*$U$4)/($U$5*$U$3)</f>
        <v>58.775510204081627</v>
      </c>
      <c r="H1872" s="11">
        <f>G1872*COS(RADIANS(D1872))</f>
        <v>56.772783259439109</v>
      </c>
      <c r="I1872" s="11">
        <f>G1872*SIN(RADIANS(D1872))</f>
        <v>15.212221426433871</v>
      </c>
      <c r="J1872" s="12">
        <v>0.24809999999999999</v>
      </c>
      <c r="K1872" s="12">
        <v>67</v>
      </c>
      <c r="L1872" s="12">
        <f>-(F1872*G1872*$U$3)/J1872</f>
        <v>-17.767687486118994</v>
      </c>
      <c r="M1872" s="11">
        <f>ABS(L1872/$U$6)</f>
        <v>5.1800838151950419E-2</v>
      </c>
      <c r="N1872" s="12">
        <f>L1872*SIN(RADIANS(K1872))</f>
        <v>-16.355242565598722</v>
      </c>
      <c r="O1872" s="12">
        <f>L1872*COS(RADIANS(K1872))</f>
        <v>-6.9423885820960214</v>
      </c>
      <c r="P1872" s="5">
        <v>3.9597194713747474</v>
      </c>
      <c r="Q1872" s="5">
        <v>0.37477216560002785</v>
      </c>
      <c r="R1872" s="6">
        <f>P1872/Q1872</f>
        <v>10.565671185945869</v>
      </c>
    </row>
    <row r="1873" spans="1:18" x14ac:dyDescent="0.35">
      <c r="A1873" s="9">
        <v>1874</v>
      </c>
      <c r="B1873" s="5">
        <v>0.75</v>
      </c>
      <c r="C1873" s="5">
        <v>2000000</v>
      </c>
      <c r="D1873" s="5">
        <v>10</v>
      </c>
      <c r="E1873" s="5">
        <v>0.25</v>
      </c>
      <c r="F1873" s="5">
        <v>1.4999999999999999E-2</v>
      </c>
      <c r="G1873" s="12">
        <f>(C1873*$U$4)/($U$5*$U$3)</f>
        <v>29.387755102040813</v>
      </c>
      <c r="H1873" s="11">
        <f>G1873*COS(RADIANS(D1873))</f>
        <v>28.941289068113864</v>
      </c>
      <c r="I1873" s="11">
        <f>G1873*SIN(RADIANS(D1873))</f>
        <v>5.1031301191914213</v>
      </c>
      <c r="J1873" s="12">
        <v>0.28370000000000001</v>
      </c>
      <c r="K1873" s="11">
        <v>38</v>
      </c>
      <c r="L1873" s="12">
        <f>-(F1873*G1873*$U$3)/J1873</f>
        <v>-1.5538115140310615</v>
      </c>
      <c r="M1873" s="11">
        <f>ABS(L1873/$U$6)</f>
        <v>4.5300627231226282E-3</v>
      </c>
      <c r="N1873" s="12">
        <f>L1873*SIN(RADIANS(K1873))</f>
        <v>-0.95662188910635815</v>
      </c>
      <c r="O1873" s="12">
        <f>L1873*COS(RADIANS(K1873))</f>
        <v>-1.2244201821344183</v>
      </c>
      <c r="P1873" s="5">
        <v>4.5424387870041727</v>
      </c>
      <c r="Q1873" s="5">
        <v>0.34563730733681092</v>
      </c>
      <c r="R1873" s="6">
        <f>P1873/Q1873</f>
        <v>13.142212054608249</v>
      </c>
    </row>
    <row r="1874" spans="1:18" x14ac:dyDescent="0.35">
      <c r="A1874" s="9">
        <v>1875</v>
      </c>
      <c r="B1874" s="5">
        <v>0.75</v>
      </c>
      <c r="C1874" s="5">
        <v>4000000</v>
      </c>
      <c r="D1874" s="5">
        <v>10</v>
      </c>
      <c r="E1874" s="5">
        <v>0</v>
      </c>
      <c r="F1874" s="5">
        <v>7.4999999999999997E-2</v>
      </c>
      <c r="G1874" s="12">
        <f>(C1874*$U$4)/($U$5*$U$3)</f>
        <v>58.775510204081627</v>
      </c>
      <c r="H1874" s="11">
        <f>G1874*COS(RADIANS(D1874))</f>
        <v>57.882578136227728</v>
      </c>
      <c r="I1874" s="11">
        <f>G1874*SIN(RADIANS(D1874))</f>
        <v>10.206260238382843</v>
      </c>
      <c r="J1874" s="11">
        <v>0.27929999999999999</v>
      </c>
      <c r="K1874" s="12">
        <v>0</v>
      </c>
      <c r="L1874" s="12">
        <f>-(F1874*G1874*$U$3)/J1874</f>
        <v>-15.782897476928472</v>
      </c>
      <c r="M1874" s="11">
        <f>ABS(L1874/$U$6)</f>
        <v>4.6014278358392044E-2</v>
      </c>
      <c r="N1874" s="12">
        <f>L1874*SIN(RADIANS(K1874))</f>
        <v>0</v>
      </c>
      <c r="O1874" s="12">
        <f>L1874*COS(RADIANS(K1874))</f>
        <v>-15.782897476928472</v>
      </c>
      <c r="P1874" s="5">
        <v>2.6370866716915651</v>
      </c>
      <c r="Q1874" s="5">
        <v>1.0417147807576397</v>
      </c>
      <c r="R1874" s="6">
        <f>P1874/Q1874</f>
        <v>2.5314862766693302</v>
      </c>
    </row>
    <row r="1875" spans="1:18" x14ac:dyDescent="0.35">
      <c r="A1875" s="9">
        <v>1876</v>
      </c>
      <c r="B1875" s="5">
        <v>0.1</v>
      </c>
      <c r="C1875" s="5">
        <v>6000000</v>
      </c>
      <c r="D1875" s="5">
        <v>0</v>
      </c>
      <c r="E1875" s="5">
        <v>0.375</v>
      </c>
      <c r="F1875" s="5">
        <v>3.5000000000000003E-2</v>
      </c>
      <c r="G1875" s="12">
        <f>(C1875*$U$4)/($U$5*$U$3)</f>
        <v>88.16326530612244</v>
      </c>
      <c r="H1875" s="11">
        <f>G1875*COS(RADIANS(D1875))</f>
        <v>88.16326530612244</v>
      </c>
      <c r="I1875" s="11">
        <f>G1875*SIN(RADIANS(D1875))</f>
        <v>0</v>
      </c>
      <c r="J1875" s="12">
        <v>0.16789999999999999</v>
      </c>
      <c r="K1875" s="11">
        <v>85</v>
      </c>
      <c r="L1875" s="12">
        <f>-(F1875*G1875*$U$3)/J1875</f>
        <v>-18.378286394962991</v>
      </c>
      <c r="M1875" s="11">
        <f>ABS(L1875/$U$6)</f>
        <v>5.3581009897851285E-2</v>
      </c>
      <c r="N1875" s="12">
        <f>L1875*SIN(RADIANS(K1875))</f>
        <v>-18.308351466673791</v>
      </c>
      <c r="O1875" s="12">
        <f>L1875*COS(RADIANS(K1875))</f>
        <v>-1.6017732011821799</v>
      </c>
      <c r="P1875" s="5">
        <v>1.5358821237110345</v>
      </c>
      <c r="Q1875" s="5">
        <v>0.1970440530197024</v>
      </c>
      <c r="R1875" s="6">
        <f>P1875/Q1875</f>
        <v>7.7946129313400894</v>
      </c>
    </row>
    <row r="1876" spans="1:18" x14ac:dyDescent="0.35">
      <c r="A1876" s="9">
        <v>1877</v>
      </c>
      <c r="B1876" s="5">
        <v>1</v>
      </c>
      <c r="C1876" s="5">
        <v>4000000</v>
      </c>
      <c r="D1876" s="5">
        <v>30</v>
      </c>
      <c r="E1876" s="5">
        <v>0.125</v>
      </c>
      <c r="F1876" s="5">
        <v>0.05</v>
      </c>
      <c r="G1876" s="12">
        <f>(C1876*$U$4)/($U$5*$U$3)</f>
        <v>58.775510204081627</v>
      </c>
      <c r="H1876" s="11">
        <f>G1876*COS(RADIANS(D1876))</f>
        <v>50.901084957126187</v>
      </c>
      <c r="I1876" s="11">
        <f>G1876*SIN(RADIANS(D1876))</f>
        <v>29.38775510204081</v>
      </c>
      <c r="J1876" s="11">
        <v>0.33379999999999999</v>
      </c>
      <c r="K1876" s="12">
        <v>14</v>
      </c>
      <c r="L1876" s="12">
        <f>-(F1876*G1876*$U$3)/J1876</f>
        <v>-8.8040009293112096</v>
      </c>
      <c r="M1876" s="11">
        <f>ABS(L1876/$U$6)</f>
        <v>2.566764119332714E-2</v>
      </c>
      <c r="N1876" s="12">
        <f>L1876*SIN(RADIANS(K1876))</f>
        <v>-2.1298805936802041</v>
      </c>
      <c r="O1876" s="12">
        <f>L1876*COS(RADIANS(K1876))</f>
        <v>-8.5424844758405687</v>
      </c>
      <c r="P1876" s="5">
        <v>3.7334902379258246</v>
      </c>
      <c r="Q1876" s="5">
        <v>1.3293150939345721</v>
      </c>
      <c r="R1876" s="6">
        <f>P1876/Q1876</f>
        <v>2.8085818441098542</v>
      </c>
    </row>
    <row r="1877" spans="1:18" x14ac:dyDescent="0.35">
      <c r="A1877" s="9">
        <v>1878</v>
      </c>
      <c r="B1877" s="5">
        <v>0.75</v>
      </c>
      <c r="C1877" s="5">
        <v>6000000</v>
      </c>
      <c r="D1877" s="5">
        <v>5</v>
      </c>
      <c r="E1877" s="5">
        <v>0.25</v>
      </c>
      <c r="F1877" s="5">
        <v>0.05</v>
      </c>
      <c r="G1877" s="12">
        <f>(C1877*$U$4)/($U$5*$U$3)</f>
        <v>88.16326530612244</v>
      </c>
      <c r="H1877" s="11">
        <f>G1877*COS(RADIANS(D1877))</f>
        <v>87.827777464415107</v>
      </c>
      <c r="I1877" s="11">
        <f>G1877*SIN(RADIANS(D1877))</f>
        <v>7.6839348708139434</v>
      </c>
      <c r="J1877" s="12">
        <v>0.28370000000000001</v>
      </c>
      <c r="K1877" s="11">
        <v>38</v>
      </c>
      <c r="L1877" s="12">
        <f>-(F1877*G1877*$U$3)/J1877</f>
        <v>-15.538115140310616</v>
      </c>
      <c r="M1877" s="11">
        <f>ABS(L1877/$U$6)</f>
        <v>4.5300627231226284E-2</v>
      </c>
      <c r="N1877" s="12">
        <f>L1877*SIN(RADIANS(K1877))</f>
        <v>-9.5662188910635813</v>
      </c>
      <c r="O1877" s="12">
        <f>L1877*COS(RADIANS(K1877))</f>
        <v>-12.244201821344184</v>
      </c>
      <c r="P1877" s="5">
        <v>3.284133487664882</v>
      </c>
      <c r="Q1877" s="5">
        <v>0.3651555541485329</v>
      </c>
      <c r="R1877" s="6">
        <f>P1877/Q1877</f>
        <v>8.9937930571063092</v>
      </c>
    </row>
    <row r="1878" spans="1:18" x14ac:dyDescent="0.35">
      <c r="A1878" s="9">
        <v>1879</v>
      </c>
      <c r="B1878" s="5">
        <v>1</v>
      </c>
      <c r="C1878" s="5">
        <v>6000000</v>
      </c>
      <c r="D1878" s="5">
        <v>30</v>
      </c>
      <c r="E1878" s="5">
        <v>0.125</v>
      </c>
      <c r="F1878" s="5">
        <v>0.05</v>
      </c>
      <c r="G1878" s="12">
        <f>(C1878*$U$4)/($U$5*$U$3)</f>
        <v>88.16326530612244</v>
      </c>
      <c r="H1878" s="11">
        <f>G1878*COS(RADIANS(D1878))</f>
        <v>76.351627435689281</v>
      </c>
      <c r="I1878" s="11">
        <f>G1878*SIN(RADIANS(D1878))</f>
        <v>44.081632653061213</v>
      </c>
      <c r="J1878" s="11">
        <v>0.33379999999999999</v>
      </c>
      <c r="K1878" s="12">
        <v>14</v>
      </c>
      <c r="L1878" s="12">
        <f>-(F1878*G1878*$U$3)/J1878</f>
        <v>-13.206001393966813</v>
      </c>
      <c r="M1878" s="11">
        <f>ABS(L1878/$U$6)</f>
        <v>3.8501461789990712E-2</v>
      </c>
      <c r="N1878" s="12">
        <f>L1878*SIN(RADIANS(K1878))</f>
        <v>-3.1948208905203059</v>
      </c>
      <c r="O1878" s="12">
        <f>L1878*COS(RADIANS(K1878))</f>
        <v>-12.81372671376085</v>
      </c>
      <c r="P1878" s="5">
        <v>3.6375995594521289</v>
      </c>
      <c r="Q1878" s="5">
        <v>1.3237413668272722</v>
      </c>
      <c r="R1878" s="6">
        <f>P1878/Q1878</f>
        <v>2.7479684858460569</v>
      </c>
    </row>
    <row r="1879" spans="1:18" x14ac:dyDescent="0.35">
      <c r="A1879" s="9">
        <v>1880</v>
      </c>
      <c r="B1879" s="5">
        <v>0.1</v>
      </c>
      <c r="C1879" s="5">
        <v>6000000</v>
      </c>
      <c r="D1879" s="5">
        <v>10</v>
      </c>
      <c r="E1879" s="5">
        <v>0.25</v>
      </c>
      <c r="F1879" s="5">
        <v>0.05</v>
      </c>
      <c r="G1879" s="12">
        <f>(C1879*$U$4)/($U$5*$U$3)</f>
        <v>88.16326530612244</v>
      </c>
      <c r="H1879" s="11">
        <f>G1879*COS(RADIANS(D1879))</f>
        <v>86.823867204341596</v>
      </c>
      <c r="I1879" s="11">
        <f>G1879*SIN(RADIANS(D1879))</f>
        <v>15.309390357574264</v>
      </c>
      <c r="J1879" s="11">
        <v>0.1661</v>
      </c>
      <c r="K1879" s="12">
        <v>80</v>
      </c>
      <c r="L1879" s="12">
        <f>-(F1879*G1879*$U$3)/J1879</f>
        <v>-26.539212915750284</v>
      </c>
      <c r="M1879" s="11">
        <f>ABS(L1879/$U$6)</f>
        <v>7.7373798588193252E-2</v>
      </c>
      <c r="N1879" s="12">
        <f>L1879*SIN(RADIANS(K1879))</f>
        <v>-26.136022638272607</v>
      </c>
      <c r="O1879" s="12">
        <f>L1879*COS(RADIANS(K1879))</f>
        <v>-4.6084859595346996</v>
      </c>
      <c r="P1879" s="5">
        <v>1.6959904782179054</v>
      </c>
      <c r="Q1879" s="5">
        <v>0.49757071352515075</v>
      </c>
      <c r="R1879" s="6">
        <f>P1879/Q1879</f>
        <v>3.4085416044732262</v>
      </c>
    </row>
    <row r="1880" spans="1:18" x14ac:dyDescent="0.35">
      <c r="A1880" s="9">
        <v>1881</v>
      </c>
      <c r="B1880" s="5">
        <v>0.1</v>
      </c>
      <c r="C1880" s="5">
        <v>2000000</v>
      </c>
      <c r="D1880" s="5">
        <v>30</v>
      </c>
      <c r="E1880" s="5">
        <v>0.375</v>
      </c>
      <c r="F1880" s="5">
        <v>0</v>
      </c>
      <c r="G1880" s="12">
        <f>(C1880*$U$4)/($U$5*$U$3)</f>
        <v>29.387755102040813</v>
      </c>
      <c r="H1880" s="11">
        <f>G1880*COS(RADIANS(D1880))</f>
        <v>25.450542478563094</v>
      </c>
      <c r="I1880" s="11">
        <f>G1880*SIN(RADIANS(D1880))</f>
        <v>14.693877551020405</v>
      </c>
      <c r="J1880" s="12">
        <v>0.16789999999999999</v>
      </c>
      <c r="K1880" s="11">
        <v>85</v>
      </c>
      <c r="L1880" s="12">
        <f>-(F1880*G1880*$U$3)/J1880</f>
        <v>0</v>
      </c>
      <c r="M1880" s="11">
        <f>ABS(L1880/$U$6)</f>
        <v>0</v>
      </c>
      <c r="N1880" s="12">
        <f>L1880*SIN(RADIANS(K1880))</f>
        <v>0</v>
      </c>
      <c r="O1880" s="12">
        <f>L1880*COS(RADIANS(K1880))</f>
        <v>0</v>
      </c>
      <c r="P1880" s="5">
        <v>1.4490002067786729</v>
      </c>
      <c r="Q1880" s="5">
        <v>1.1535108588224765</v>
      </c>
      <c r="R1880" s="6">
        <f>P1880/Q1880</f>
        <v>1.2561652070253044</v>
      </c>
    </row>
    <row r="1881" spans="1:18" x14ac:dyDescent="0.35">
      <c r="A1881" s="9">
        <v>19</v>
      </c>
      <c r="B1881" s="5">
        <v>0.5</v>
      </c>
      <c r="C1881" s="5">
        <v>6000000</v>
      </c>
      <c r="D1881" s="5">
        <v>15</v>
      </c>
      <c r="E1881" s="5">
        <v>0.25</v>
      </c>
      <c r="F1881" s="5">
        <v>0.1</v>
      </c>
      <c r="G1881" s="12">
        <f>(C1881*$U$4)/($U$5*$U$3)</f>
        <v>88.16326530612244</v>
      </c>
      <c r="H1881" s="11">
        <f>G1881*COS(RADIANS(D1881))</f>
        <v>85.159174889158663</v>
      </c>
      <c r="I1881" s="11">
        <f>G1881*SIN(RADIANS(D1881))</f>
        <v>22.818332139650806</v>
      </c>
      <c r="J1881" s="11">
        <v>0.23580000000000001</v>
      </c>
      <c r="K1881" s="20">
        <v>49</v>
      </c>
      <c r="L1881" s="12">
        <f>-(F1881*G1881*$U$3)/J1881</f>
        <v>-37.389001402087544</v>
      </c>
      <c r="M1881" s="11">
        <f>ABS(L1881/$U$6)</f>
        <v>0.10900583499150887</v>
      </c>
      <c r="N1881" s="12">
        <f>L1881*SIN(RADIANS(K1881))</f>
        <v>-28.217837553118123</v>
      </c>
      <c r="O1881" s="12">
        <f>L1881*COS(RADIANS(K1881))</f>
        <v>-24.529391954778269</v>
      </c>
      <c r="P1881" s="5">
        <v>5.0261421467236156</v>
      </c>
      <c r="Q1881" s="5">
        <v>0.53897663140976859</v>
      </c>
      <c r="R1881" s="6">
        <f>P1881/Q1881</f>
        <v>9.3253433522285363</v>
      </c>
    </row>
    <row r="1882" spans="1:18" x14ac:dyDescent="0.35">
      <c r="A1882" s="9">
        <v>1883</v>
      </c>
      <c r="B1882" s="5">
        <v>0.25</v>
      </c>
      <c r="C1882" s="5">
        <v>6000000</v>
      </c>
      <c r="D1882" s="5">
        <v>15</v>
      </c>
      <c r="E1882" s="5">
        <v>0.25</v>
      </c>
      <c r="F1882" s="5">
        <v>2.5000000000000001E-2</v>
      </c>
      <c r="G1882" s="12">
        <f>(C1882*$U$4)/($U$5*$U$3)</f>
        <v>88.16326530612244</v>
      </c>
      <c r="H1882" s="11">
        <f>G1882*COS(RADIANS(D1882))</f>
        <v>85.159174889158663</v>
      </c>
      <c r="I1882" s="11">
        <f>G1882*SIN(RADIANS(D1882))</f>
        <v>22.818332139650806</v>
      </c>
      <c r="J1882" s="12">
        <v>0.1913</v>
      </c>
      <c r="K1882" s="11">
        <v>67</v>
      </c>
      <c r="L1882" s="12">
        <f>-(F1882*G1882*$U$3)/J1882</f>
        <v>-11.521597661542399</v>
      </c>
      <c r="M1882" s="11">
        <f>ABS(L1882/$U$6)</f>
        <v>3.3590663736275214E-2</v>
      </c>
      <c r="N1882" s="12">
        <f>L1882*SIN(RADIANS(K1882))</f>
        <v>-10.605686566976066</v>
      </c>
      <c r="O1882" s="12">
        <f>L1882*COS(RADIANS(K1882))</f>
        <v>-4.501846856293839</v>
      </c>
      <c r="P1882" s="5">
        <v>2.1300014376459191</v>
      </c>
      <c r="Q1882" s="5">
        <v>0.52487217177490031</v>
      </c>
      <c r="R1882" s="6">
        <f>P1882/Q1882</f>
        <v>4.0581336793740395</v>
      </c>
    </row>
    <row r="1883" spans="1:18" x14ac:dyDescent="0.35">
      <c r="A1883" s="9">
        <v>1884</v>
      </c>
      <c r="B1883" s="5">
        <v>0.75</v>
      </c>
      <c r="C1883" s="5">
        <v>2000000</v>
      </c>
      <c r="D1883" s="5">
        <v>30</v>
      </c>
      <c r="E1883" s="5">
        <v>0.375</v>
      </c>
      <c r="F1883" s="5">
        <v>0.15</v>
      </c>
      <c r="G1883" s="12">
        <f>(C1883*$U$4)/($U$5*$U$3)</f>
        <v>29.387755102040813</v>
      </c>
      <c r="H1883" s="11">
        <f>G1883*COS(RADIANS(D1883))</f>
        <v>25.450542478563094</v>
      </c>
      <c r="I1883" s="11">
        <f>G1883*SIN(RADIANS(D1883))</f>
        <v>14.693877551020405</v>
      </c>
      <c r="J1883" s="11">
        <v>0.29299999999999998</v>
      </c>
      <c r="K1883" s="12">
        <v>57</v>
      </c>
      <c r="L1883" s="12">
        <f>-(F1883*G1883*$U$3)/J1883</f>
        <v>-15.044925820157413</v>
      </c>
      <c r="M1883" s="11">
        <f>ABS(L1883/$U$6)</f>
        <v>4.3862757493170298E-2</v>
      </c>
      <c r="N1883" s="12">
        <f>L1883*SIN(RADIANS(K1883))</f>
        <v>-12.617736482288192</v>
      </c>
      <c r="O1883" s="12">
        <f>L1883*COS(RADIANS(K1883))</f>
        <v>-8.1940538805631977</v>
      </c>
      <c r="P1883" s="5">
        <v>6.881339760985572</v>
      </c>
      <c r="Q1883" s="5">
        <v>1.5046522385024317</v>
      </c>
      <c r="R1883" s="6">
        <f>P1883/Q1883</f>
        <v>4.5733755514393906</v>
      </c>
    </row>
    <row r="1884" spans="1:18" x14ac:dyDescent="0.35">
      <c r="A1884" s="9">
        <v>813</v>
      </c>
      <c r="B1884" s="5">
        <v>0.5</v>
      </c>
      <c r="C1884" s="5">
        <v>6000000</v>
      </c>
      <c r="D1884" s="5">
        <v>0</v>
      </c>
      <c r="E1884" s="5">
        <v>0.25</v>
      </c>
      <c r="F1884" s="5">
        <v>0.1</v>
      </c>
      <c r="G1884" s="12">
        <f>(C1884*$U$4)/($U$5*$U$3)</f>
        <v>88.16326530612244</v>
      </c>
      <c r="H1884" s="11">
        <f>G1884*COS(RADIANS(D1884))</f>
        <v>88.16326530612244</v>
      </c>
      <c r="I1884" s="11">
        <f>G1884*SIN(RADIANS(D1884))</f>
        <v>0</v>
      </c>
      <c r="J1884" s="20">
        <v>0.23580000000000001</v>
      </c>
      <c r="K1884" s="20">
        <v>49</v>
      </c>
      <c r="L1884" s="12">
        <f>-(F1884*G1884*$U$3)/J1884</f>
        <v>-37.389001402087544</v>
      </c>
      <c r="M1884" s="11">
        <f>ABS(L1884/$U$6)</f>
        <v>0.10900583499150887</v>
      </c>
      <c r="N1884" s="12">
        <f>L1884*SIN(RADIANS(K1884))</f>
        <v>-28.217837553118123</v>
      </c>
      <c r="O1884" s="12">
        <f>L1884*COS(RADIANS(K1884))</f>
        <v>-24.529391954778269</v>
      </c>
      <c r="P1884" s="5">
        <v>4.8369954425768205</v>
      </c>
      <c r="Q1884" s="5">
        <v>-0.33709444666593802</v>
      </c>
      <c r="R1884" s="6">
        <f>P1884/Q1884</f>
        <v>-14.349080770738126</v>
      </c>
    </row>
    <row r="1885" spans="1:18" x14ac:dyDescent="0.35">
      <c r="A1885" s="9">
        <v>1886</v>
      </c>
      <c r="B1885" s="5">
        <v>0.1</v>
      </c>
      <c r="C1885" s="5">
        <v>2000000</v>
      </c>
      <c r="D1885" s="5">
        <v>5</v>
      </c>
      <c r="E1885" s="5">
        <v>0.375</v>
      </c>
      <c r="F1885" s="5">
        <v>0.1</v>
      </c>
      <c r="G1885" s="12">
        <f>(C1885*$U$4)/($U$5*$U$3)</f>
        <v>29.387755102040813</v>
      </c>
      <c r="H1885" s="11">
        <f>G1885*COS(RADIANS(D1885))</f>
        <v>29.275925821471702</v>
      </c>
      <c r="I1885" s="11">
        <f>G1885*SIN(RADIANS(D1885))</f>
        <v>2.5613116236046478</v>
      </c>
      <c r="J1885" s="12">
        <v>0.16789999999999999</v>
      </c>
      <c r="K1885" s="11">
        <v>85</v>
      </c>
      <c r="L1885" s="12">
        <f>-(F1885*G1885*$U$3)/J1885</f>
        <v>-17.503129899964751</v>
      </c>
      <c r="M1885" s="11">
        <f>ABS(L1885/$U$6)</f>
        <v>5.1029533236048835E-2</v>
      </c>
      <c r="N1885" s="12">
        <f>L1885*SIN(RADIANS(K1885))</f>
        <v>-17.436525206355988</v>
      </c>
      <c r="O1885" s="12">
        <f>L1885*COS(RADIANS(K1885))</f>
        <v>-1.5254982868401712</v>
      </c>
      <c r="P1885" s="5">
        <v>1.995229050963151</v>
      </c>
      <c r="Q1885" s="5">
        <v>0.32328812096549725</v>
      </c>
      <c r="R1885" s="6">
        <f>P1885/Q1885</f>
        <v>6.1716744958163519</v>
      </c>
    </row>
    <row r="1886" spans="1:18" x14ac:dyDescent="0.35">
      <c r="A1886" s="9">
        <v>1887</v>
      </c>
      <c r="B1886" s="5">
        <v>1</v>
      </c>
      <c r="C1886" s="5">
        <v>4000000</v>
      </c>
      <c r="D1886" s="5">
        <v>30</v>
      </c>
      <c r="E1886" s="5">
        <v>0.375</v>
      </c>
      <c r="F1886" s="5">
        <v>7.4999999999999997E-2</v>
      </c>
      <c r="G1886" s="12">
        <f>(C1886*$U$4)/($U$5*$U$3)</f>
        <v>58.775510204081627</v>
      </c>
      <c r="H1886" s="11">
        <f>G1886*COS(RADIANS(D1886))</f>
        <v>50.901084957126187</v>
      </c>
      <c r="I1886" s="11">
        <f>G1886*SIN(RADIANS(D1886))</f>
        <v>29.38775510204081</v>
      </c>
      <c r="J1886" s="12">
        <v>0.33379999999999999</v>
      </c>
      <c r="K1886" s="11">
        <v>49</v>
      </c>
      <c r="L1886" s="12">
        <f>-(F1886*G1886*$U$3)/J1886</f>
        <v>-13.206001393966813</v>
      </c>
      <c r="M1886" s="11">
        <f>ABS(L1886/$U$6)</f>
        <v>3.8501461789990712E-2</v>
      </c>
      <c r="N1886" s="12">
        <f>L1886*SIN(RADIANS(K1886))</f>
        <v>-9.9666957684620368</v>
      </c>
      <c r="O1886" s="12">
        <f>L1886*COS(RADIANS(K1886))</f>
        <v>-8.6639164513731526</v>
      </c>
      <c r="P1886" s="5">
        <v>6.4274608996886018</v>
      </c>
      <c r="Q1886" s="5">
        <v>1.5533265420497657</v>
      </c>
      <c r="R1886" s="6">
        <f>P1886/Q1886</f>
        <v>4.1378684556609331</v>
      </c>
    </row>
    <row r="1887" spans="1:18" x14ac:dyDescent="0.35">
      <c r="A1887" s="9">
        <v>1888</v>
      </c>
      <c r="B1887" s="5">
        <v>1</v>
      </c>
      <c r="C1887" s="5">
        <v>6000000</v>
      </c>
      <c r="D1887" s="5">
        <v>15</v>
      </c>
      <c r="E1887" s="5">
        <v>0.125</v>
      </c>
      <c r="F1887" s="5">
        <v>0.1</v>
      </c>
      <c r="G1887" s="12">
        <f>(C1887*$U$4)/($U$5*$U$3)</f>
        <v>88.16326530612244</v>
      </c>
      <c r="H1887" s="11">
        <f>G1887*COS(RADIANS(D1887))</f>
        <v>85.159174889158663</v>
      </c>
      <c r="I1887" s="11">
        <f>G1887*SIN(RADIANS(D1887))</f>
        <v>22.818332139650806</v>
      </c>
      <c r="J1887" s="11">
        <v>0.33379999999999999</v>
      </c>
      <c r="K1887" s="12">
        <v>14</v>
      </c>
      <c r="L1887" s="12">
        <f>-(F1887*G1887*$U$3)/J1887</f>
        <v>-26.412002787933627</v>
      </c>
      <c r="M1887" s="11">
        <f>ABS(L1887/$U$6)</f>
        <v>7.7002923579981425E-2</v>
      </c>
      <c r="N1887" s="12">
        <f>L1887*SIN(RADIANS(K1887))</f>
        <v>-6.3896417810406119</v>
      </c>
      <c r="O1887" s="12">
        <f>L1887*COS(RADIANS(K1887))</f>
        <v>-25.627453427521701</v>
      </c>
      <c r="P1887" s="5">
        <v>2.9881930277856901</v>
      </c>
      <c r="Q1887" s="5">
        <v>1.0084546176768372</v>
      </c>
      <c r="R1887" s="6">
        <f>P1887/Q1887</f>
        <v>2.9631408051554651</v>
      </c>
    </row>
    <row r="1888" spans="1:18" x14ac:dyDescent="0.35">
      <c r="A1888" s="9">
        <v>1889</v>
      </c>
      <c r="B1888" s="5">
        <v>0.1</v>
      </c>
      <c r="C1888" s="5">
        <v>2000000</v>
      </c>
      <c r="D1888" s="5">
        <v>20</v>
      </c>
      <c r="E1888" s="5">
        <v>0.375</v>
      </c>
      <c r="F1888" s="5">
        <v>0.05</v>
      </c>
      <c r="G1888" s="12">
        <f>(C1888*$U$4)/($U$5*$U$3)</f>
        <v>29.387755102040813</v>
      </c>
      <c r="H1888" s="11">
        <f>G1888*COS(RADIANS(D1888))</f>
        <v>27.615456610851183</v>
      </c>
      <c r="I1888" s="11">
        <f>G1888*SIN(RADIANS(D1888))</f>
        <v>10.051204212019652</v>
      </c>
      <c r="J1888" s="12">
        <v>0.16789999999999999</v>
      </c>
      <c r="K1888" s="11">
        <v>85</v>
      </c>
      <c r="L1888" s="12">
        <f>-(F1888*G1888*$U$3)/J1888</f>
        <v>-8.7515649499823756</v>
      </c>
      <c r="M1888" s="11">
        <f>ABS(L1888/$U$6)</f>
        <v>2.5514766618024418E-2</v>
      </c>
      <c r="N1888" s="12">
        <f>L1888*SIN(RADIANS(K1888))</f>
        <v>-8.718262603177994</v>
      </c>
      <c r="O1888" s="12">
        <f>L1888*COS(RADIANS(K1888))</f>
        <v>-0.7627491434200856</v>
      </c>
      <c r="P1888" s="5">
        <v>1.8037284797668702</v>
      </c>
      <c r="Q1888" s="5">
        <v>0.85534622175531061</v>
      </c>
      <c r="R1888" s="6">
        <f>P1888/Q1888</f>
        <v>2.108770032403164</v>
      </c>
    </row>
    <row r="1889" spans="1:18" x14ac:dyDescent="0.35">
      <c r="A1889" s="9">
        <v>958</v>
      </c>
      <c r="B1889" s="5">
        <v>0.5</v>
      </c>
      <c r="C1889" s="5">
        <v>4000000</v>
      </c>
      <c r="D1889" s="5">
        <v>30</v>
      </c>
      <c r="E1889" s="5">
        <v>0.25</v>
      </c>
      <c r="F1889" s="5">
        <v>0.15</v>
      </c>
      <c r="G1889" s="12">
        <f>(C1889*$U$4)/($U$5*$U$3)</f>
        <v>58.775510204081627</v>
      </c>
      <c r="H1889" s="11">
        <f>G1889*COS(RADIANS(D1889))</f>
        <v>50.901084957126187</v>
      </c>
      <c r="I1889" s="11">
        <f>G1889*SIN(RADIANS(D1889))</f>
        <v>29.38775510204081</v>
      </c>
      <c r="J1889" s="11">
        <v>0.23580000000000001</v>
      </c>
      <c r="K1889" s="20">
        <v>49</v>
      </c>
      <c r="L1889" s="12">
        <f>-(F1889*G1889*$U$3)/J1889</f>
        <v>-37.389001402087544</v>
      </c>
      <c r="M1889" s="11">
        <f>ABS(L1889/$U$6)</f>
        <v>0.10900583499150887</v>
      </c>
      <c r="N1889" s="12">
        <f>L1889*SIN(RADIANS(K1889))</f>
        <v>-28.217837553118123</v>
      </c>
      <c r="O1889" s="12">
        <f>L1889*COS(RADIANS(K1889))</f>
        <v>-24.529391954778269</v>
      </c>
      <c r="P1889" s="5">
        <v>6.1750135037912335</v>
      </c>
      <c r="Q1889" s="5">
        <v>1.6897395532007666</v>
      </c>
      <c r="R1889" s="6">
        <f>P1889/Q1889</f>
        <v>3.6544173284541372</v>
      </c>
    </row>
    <row r="1890" spans="1:18" x14ac:dyDescent="0.35">
      <c r="A1890" s="9">
        <v>1891</v>
      </c>
      <c r="B1890" s="5">
        <v>1</v>
      </c>
      <c r="C1890" s="5">
        <v>6000000</v>
      </c>
      <c r="D1890" s="5">
        <v>15</v>
      </c>
      <c r="E1890" s="5">
        <v>0.375</v>
      </c>
      <c r="F1890" s="5">
        <v>0</v>
      </c>
      <c r="G1890" s="12">
        <f>(C1890*$U$4)/($U$5*$U$3)</f>
        <v>88.16326530612244</v>
      </c>
      <c r="H1890" s="11">
        <f>G1890*COS(RADIANS(D1890))</f>
        <v>85.159174889158663</v>
      </c>
      <c r="I1890" s="11">
        <f>G1890*SIN(RADIANS(D1890))</f>
        <v>22.818332139650806</v>
      </c>
      <c r="J1890" s="12">
        <v>0.33379999999999999</v>
      </c>
      <c r="K1890" s="11">
        <v>49</v>
      </c>
      <c r="L1890" s="12">
        <f>-(F1890*G1890*$U$3)/J1890</f>
        <v>0</v>
      </c>
      <c r="M1890" s="11">
        <f>ABS(L1890/$U$6)</f>
        <v>0</v>
      </c>
      <c r="N1890" s="12">
        <f>L1890*SIN(RADIANS(K1890))</f>
        <v>0</v>
      </c>
      <c r="O1890" s="12">
        <f>L1890*COS(RADIANS(K1890))</f>
        <v>0</v>
      </c>
      <c r="P1890" s="5">
        <v>5.0394078370174151</v>
      </c>
      <c r="Q1890" s="5">
        <v>1.5684504162463475</v>
      </c>
      <c r="R1890" s="6">
        <f>P1890/Q1890</f>
        <v>3.2129851124512081</v>
      </c>
    </row>
    <row r="1891" spans="1:18" x14ac:dyDescent="0.35">
      <c r="A1891" s="9">
        <v>1892</v>
      </c>
      <c r="B1891" s="5">
        <v>0.25</v>
      </c>
      <c r="C1891" s="5">
        <v>2000000</v>
      </c>
      <c r="D1891" s="5">
        <v>5</v>
      </c>
      <c r="E1891" s="5">
        <v>0.125</v>
      </c>
      <c r="F1891" s="5">
        <v>0.15</v>
      </c>
      <c r="G1891" s="12">
        <f>(C1891*$U$4)/($U$5*$U$3)</f>
        <v>29.387755102040813</v>
      </c>
      <c r="H1891" s="11">
        <f>G1891*COS(RADIANS(D1891))</f>
        <v>29.275925821471702</v>
      </c>
      <c r="I1891" s="11">
        <f>G1891*SIN(RADIANS(D1891))</f>
        <v>2.5613116236046478</v>
      </c>
      <c r="J1891" s="11">
        <v>0.19020000000000001</v>
      </c>
      <c r="K1891" s="12">
        <v>46</v>
      </c>
      <c r="L1891" s="12">
        <f>-(F1891*G1891*$U$3)/J1891</f>
        <v>-23.176463014227771</v>
      </c>
      <c r="M1891" s="11">
        <f>ABS(L1891/$U$6)</f>
        <v>6.7569863015241316E-2</v>
      </c>
      <c r="N1891" s="12">
        <f>L1891*SIN(RADIANS(K1891))</f>
        <v>-16.671752277210736</v>
      </c>
      <c r="O1891" s="12">
        <f>L1891*COS(RADIANS(K1891))</f>
        <v>-16.099724030466682</v>
      </c>
      <c r="P1891" s="5">
        <v>2.6153852787796232</v>
      </c>
      <c r="Q1891" s="5">
        <v>0.19533945084644486</v>
      </c>
      <c r="R1891" s="6">
        <f>P1891/Q1891</f>
        <v>13.38892511188414</v>
      </c>
    </row>
    <row r="1892" spans="1:18" x14ac:dyDescent="0.35">
      <c r="A1892" s="9">
        <v>1893</v>
      </c>
      <c r="B1892" s="5">
        <v>0.1</v>
      </c>
      <c r="C1892" s="5">
        <v>2000000</v>
      </c>
      <c r="D1892" s="5">
        <v>10</v>
      </c>
      <c r="E1892" s="5">
        <v>0.125</v>
      </c>
      <c r="F1892" s="5">
        <v>0.1</v>
      </c>
      <c r="G1892" s="12">
        <f>(C1892*$U$4)/($U$5*$U$3)</f>
        <v>29.387755102040813</v>
      </c>
      <c r="H1892" s="11">
        <f>G1892*COS(RADIANS(D1892))</f>
        <v>28.941289068113864</v>
      </c>
      <c r="I1892" s="11">
        <f>G1892*SIN(RADIANS(D1892))</f>
        <v>5.1031301191914213</v>
      </c>
      <c r="J1892" s="12">
        <v>0.1658</v>
      </c>
      <c r="K1892" s="12">
        <v>69</v>
      </c>
      <c r="L1892" s="12">
        <f>-(F1892*G1892*$U$3)/J1892</f>
        <v>-17.724822136333422</v>
      </c>
      <c r="M1892" s="11">
        <f>ABS(L1892/$U$6)</f>
        <v>5.1675866286686363E-2</v>
      </c>
      <c r="N1892" s="12">
        <f>L1892*SIN(RADIANS(K1892))</f>
        <v>-16.547547009625198</v>
      </c>
      <c r="O1892" s="12">
        <f>L1892*COS(RADIANS(K1892))</f>
        <v>-6.3520081650529594</v>
      </c>
      <c r="P1892" s="5">
        <v>1.6752727221052204</v>
      </c>
      <c r="Q1892" s="5">
        <v>0.4711138864273951</v>
      </c>
      <c r="R1892" s="6">
        <f>P1892/Q1892</f>
        <v>3.5559824712647314</v>
      </c>
    </row>
    <row r="1893" spans="1:18" x14ac:dyDescent="0.35">
      <c r="A1893" s="9">
        <v>1894</v>
      </c>
      <c r="B1893" s="5">
        <v>0.75</v>
      </c>
      <c r="C1893" s="5">
        <v>4000000</v>
      </c>
      <c r="D1893" s="5">
        <v>30</v>
      </c>
      <c r="E1893" s="5">
        <v>0.125</v>
      </c>
      <c r="F1893" s="5">
        <v>7.4999999999999997E-2</v>
      </c>
      <c r="G1893" s="12">
        <f>(C1893*$U$4)/($U$5*$U$3)</f>
        <v>58.775510204081627</v>
      </c>
      <c r="H1893" s="11">
        <f>G1893*COS(RADIANS(D1893))</f>
        <v>50.901084957126187</v>
      </c>
      <c r="I1893" s="11">
        <f>G1893*SIN(RADIANS(D1893))</f>
        <v>29.38775510204081</v>
      </c>
      <c r="J1893" s="12">
        <v>0.2802</v>
      </c>
      <c r="K1893" s="12">
        <v>19</v>
      </c>
      <c r="L1893" s="12">
        <f>-(F1893*G1893*$U$3)/J1893</f>
        <v>-15.732202945417994</v>
      </c>
      <c r="M1893" s="11">
        <f>ABS(L1893/$U$6)</f>
        <v>4.5866480890431466E-2</v>
      </c>
      <c r="N1893" s="12">
        <f>L1893*SIN(RADIANS(K1893))</f>
        <v>-5.1219042784851814</v>
      </c>
      <c r="O1893" s="12">
        <f>L1893*COS(RADIANS(K1893))</f>
        <v>-14.875090119990999</v>
      </c>
      <c r="P1893" s="5">
        <v>5.8853415903800208</v>
      </c>
      <c r="Q1893" s="5">
        <v>1.6613045723925293</v>
      </c>
      <c r="R1893" s="6">
        <f>P1893/Q1893</f>
        <v>3.5426024151033553</v>
      </c>
    </row>
    <row r="1894" spans="1:18" x14ac:dyDescent="0.35">
      <c r="A1894" s="9">
        <v>1895</v>
      </c>
      <c r="B1894" s="5">
        <v>0.25</v>
      </c>
      <c r="C1894" s="5">
        <v>4000000</v>
      </c>
      <c r="D1894" s="5">
        <v>5</v>
      </c>
      <c r="E1894" s="5">
        <v>0</v>
      </c>
      <c r="F1894" s="5">
        <v>7.4999999999999997E-2</v>
      </c>
      <c r="G1894" s="12">
        <f>(C1894*$U$4)/($U$5*$U$3)</f>
        <v>58.775510204081627</v>
      </c>
      <c r="H1894" s="11">
        <f>G1894*COS(RADIANS(D1894))</f>
        <v>58.551851642943404</v>
      </c>
      <c r="I1894" s="11">
        <f>G1894*SIN(RADIANS(D1894))</f>
        <v>5.1226232472092956</v>
      </c>
      <c r="J1894" s="12">
        <v>0.18990000000000001</v>
      </c>
      <c r="K1894" s="12">
        <v>0</v>
      </c>
      <c r="L1894" s="12">
        <f>-(F1894*G1894*$U$3)/J1894</f>
        <v>-23.213076699874257</v>
      </c>
      <c r="M1894" s="11">
        <f>ABS(L1894/$U$6)</f>
        <v>6.7676608454443898E-2</v>
      </c>
      <c r="N1894" s="12">
        <f>L1894*SIN(RADIANS(K1894))</f>
        <v>0</v>
      </c>
      <c r="O1894" s="12">
        <f>L1894*COS(RADIANS(K1894))</f>
        <v>-23.213076699874257</v>
      </c>
      <c r="P1894" s="5">
        <v>2.3492583436273815</v>
      </c>
      <c r="Q1894" s="5">
        <v>0.24155892648961141</v>
      </c>
      <c r="R1894" s="6">
        <f>P1894/Q1894</f>
        <v>9.7254048019145127</v>
      </c>
    </row>
    <row r="1895" spans="1:18" x14ac:dyDescent="0.35">
      <c r="A1895" s="9">
        <v>1896</v>
      </c>
      <c r="B1895" s="5">
        <v>0.5</v>
      </c>
      <c r="C1895" s="5">
        <v>4000000</v>
      </c>
      <c r="D1895" s="5">
        <v>10</v>
      </c>
      <c r="E1895" s="5">
        <v>0.375</v>
      </c>
      <c r="F1895" s="5">
        <v>2.5000000000000001E-2</v>
      </c>
      <c r="G1895" s="12">
        <f>(C1895*$U$4)/($U$5*$U$3)</f>
        <v>58.775510204081627</v>
      </c>
      <c r="H1895" s="11">
        <f>G1895*COS(RADIANS(D1895))</f>
        <v>57.882578136227728</v>
      </c>
      <c r="I1895" s="11">
        <f>G1895*SIN(RADIANS(D1895))</f>
        <v>10.206260238382843</v>
      </c>
      <c r="J1895" s="12">
        <v>0.24809999999999999</v>
      </c>
      <c r="K1895" s="12">
        <v>67</v>
      </c>
      <c r="L1895" s="12">
        <f>-(F1895*G1895*$U$3)/J1895</f>
        <v>-5.9225624953729978</v>
      </c>
      <c r="M1895" s="11">
        <f>ABS(L1895/$U$6)</f>
        <v>1.7266946050650139E-2</v>
      </c>
      <c r="N1895" s="12">
        <f>L1895*SIN(RADIANS(K1895))</f>
        <v>-5.451747521866241</v>
      </c>
      <c r="O1895" s="12">
        <f>L1895*COS(RADIANS(K1895))</f>
        <v>-2.3141295273653402</v>
      </c>
      <c r="P1895" s="5">
        <v>3.0985071294942998</v>
      </c>
      <c r="Q1895" s="5">
        <v>0.28187351090629348</v>
      </c>
      <c r="R1895" s="6">
        <f>P1895/Q1895</f>
        <v>10.992544562033617</v>
      </c>
    </row>
    <row r="1896" spans="1:18" x14ac:dyDescent="0.35">
      <c r="A1896" s="9">
        <v>1897</v>
      </c>
      <c r="B1896" s="5">
        <v>0.75</v>
      </c>
      <c r="C1896" s="5">
        <v>6000000</v>
      </c>
      <c r="D1896" s="5">
        <v>30</v>
      </c>
      <c r="E1896" s="5">
        <v>0.375</v>
      </c>
      <c r="F1896" s="5">
        <v>1.4999999999999999E-2</v>
      </c>
      <c r="G1896" s="12">
        <f>(C1896*$U$4)/($U$5*$U$3)</f>
        <v>88.16326530612244</v>
      </c>
      <c r="H1896" s="11">
        <f>G1896*COS(RADIANS(D1896))</f>
        <v>76.351627435689281</v>
      </c>
      <c r="I1896" s="11">
        <f>G1896*SIN(RADIANS(D1896))</f>
        <v>44.081632653061213</v>
      </c>
      <c r="J1896" s="11">
        <v>0.29299999999999998</v>
      </c>
      <c r="K1896" s="12">
        <v>57</v>
      </c>
      <c r="L1896" s="12">
        <f>-(F1896*G1896*$U$3)/J1896</f>
        <v>-4.513477746047224</v>
      </c>
      <c r="M1896" s="11">
        <f>ABS(L1896/$U$6)</f>
        <v>1.315882724795109E-2</v>
      </c>
      <c r="N1896" s="12">
        <f>L1896*SIN(RADIANS(K1896))</f>
        <v>-3.7853209446864575</v>
      </c>
      <c r="O1896" s="12">
        <f>L1896*COS(RADIANS(K1896))</f>
        <v>-2.4582161641689595</v>
      </c>
      <c r="P1896" s="5">
        <v>4.773595314072641</v>
      </c>
      <c r="Q1896" s="5">
        <v>1.3162008838758801</v>
      </c>
      <c r="R1896" s="6">
        <f>P1896/Q1896</f>
        <v>3.6267984412953784</v>
      </c>
    </row>
    <row r="1897" spans="1:18" x14ac:dyDescent="0.35">
      <c r="A1897" s="9">
        <v>1898</v>
      </c>
      <c r="B1897" s="5">
        <v>0.5</v>
      </c>
      <c r="C1897" s="5">
        <v>6000000</v>
      </c>
      <c r="D1897" s="5">
        <v>20</v>
      </c>
      <c r="E1897" s="5">
        <v>0.125</v>
      </c>
      <c r="F1897" s="5">
        <v>0.05</v>
      </c>
      <c r="G1897" s="12">
        <f>(C1897*$U$4)/($U$5*$U$3)</f>
        <v>88.16326530612244</v>
      </c>
      <c r="H1897" s="11">
        <f>G1897*COS(RADIANS(D1897))</f>
        <v>82.846369832553549</v>
      </c>
      <c r="I1897" s="11">
        <f>G1897*SIN(RADIANS(D1897))</f>
        <v>30.153612636058952</v>
      </c>
      <c r="J1897" s="12">
        <v>0.23300000000000001</v>
      </c>
      <c r="K1897" s="11">
        <v>27</v>
      </c>
      <c r="L1897" s="12">
        <f>-(F1897*G1897*$U$3)/J1897</f>
        <v>-18.919155645090651</v>
      </c>
      <c r="M1897" s="11">
        <f>ABS(L1897/$U$6)</f>
        <v>5.5157888178106858E-2</v>
      </c>
      <c r="N1897" s="12">
        <f>L1897*SIN(RADIANS(K1897))</f>
        <v>-8.5891169259649711</v>
      </c>
      <c r="O1897" s="12">
        <f>L1897*COS(RADIANS(K1897))</f>
        <v>-16.857091111910961</v>
      </c>
      <c r="P1897" s="5">
        <v>4.8745778247177833</v>
      </c>
      <c r="Q1897" s="5">
        <v>1.1054507599776706</v>
      </c>
      <c r="R1897" s="6">
        <f>P1897/Q1897</f>
        <v>4.4095838559252032</v>
      </c>
    </row>
    <row r="1898" spans="1:18" x14ac:dyDescent="0.35">
      <c r="A1898" s="9">
        <v>1899</v>
      </c>
      <c r="B1898" s="5">
        <v>0.1</v>
      </c>
      <c r="C1898" s="5">
        <v>6000000</v>
      </c>
      <c r="D1898" s="5">
        <v>0</v>
      </c>
      <c r="E1898" s="5">
        <v>0.125</v>
      </c>
      <c r="F1898" s="5">
        <v>3.5000000000000003E-2</v>
      </c>
      <c r="G1898" s="12">
        <f>(C1898*$U$4)/($U$5*$U$3)</f>
        <v>88.16326530612244</v>
      </c>
      <c r="H1898" s="11">
        <f>G1898*COS(RADIANS(D1898))</f>
        <v>88.16326530612244</v>
      </c>
      <c r="I1898" s="11">
        <f>G1898*SIN(RADIANS(D1898))</f>
        <v>0</v>
      </c>
      <c r="J1898" s="12">
        <v>0.1658</v>
      </c>
      <c r="K1898" s="12">
        <v>69</v>
      </c>
      <c r="L1898" s="12">
        <f>-(F1898*G1898*$U$3)/J1898</f>
        <v>-18.611063243150095</v>
      </c>
      <c r="M1898" s="11">
        <f>ABS(L1898/$U$6)</f>
        <v>5.4259659601020686E-2</v>
      </c>
      <c r="N1898" s="12">
        <f>L1898*SIN(RADIANS(K1898))</f>
        <v>-17.374924360106462</v>
      </c>
      <c r="O1898" s="12">
        <f>L1898*COS(RADIANS(K1898))</f>
        <v>-6.6696085733056076</v>
      </c>
      <c r="P1898" s="5">
        <v>1.2541274563577043</v>
      </c>
      <c r="Q1898" s="5">
        <v>0.237208660942723</v>
      </c>
      <c r="R1898" s="6">
        <f>P1898/Q1898</f>
        <v>5.2870221996680344</v>
      </c>
    </row>
    <row r="1899" spans="1:18" x14ac:dyDescent="0.35">
      <c r="A1899" s="9">
        <v>975</v>
      </c>
      <c r="B1899" s="5">
        <v>0.5</v>
      </c>
      <c r="C1899" s="5">
        <v>6000000</v>
      </c>
      <c r="D1899" s="5">
        <v>20</v>
      </c>
      <c r="E1899" s="5">
        <v>0.25</v>
      </c>
      <c r="F1899" s="5">
        <v>0.1</v>
      </c>
      <c r="G1899" s="12">
        <f>(C1899*$U$4)/($U$5*$U$3)</f>
        <v>88.16326530612244</v>
      </c>
      <c r="H1899" s="11">
        <f>G1899*COS(RADIANS(D1899))</f>
        <v>82.846369832553549</v>
      </c>
      <c r="I1899" s="11">
        <f>G1899*SIN(RADIANS(D1899))</f>
        <v>30.153612636058952</v>
      </c>
      <c r="J1899" s="20">
        <v>0.23580000000000001</v>
      </c>
      <c r="K1899" s="11">
        <v>49</v>
      </c>
      <c r="L1899" s="12">
        <f>-(F1899*G1899*$U$3)/J1899</f>
        <v>-37.389001402087544</v>
      </c>
      <c r="M1899" s="11">
        <f>ABS(L1899/$U$6)</f>
        <v>0.10900583499150887</v>
      </c>
      <c r="N1899" s="12">
        <f>L1899*SIN(RADIANS(K1899))</f>
        <v>-28.217837553118123</v>
      </c>
      <c r="O1899" s="12">
        <f>L1899*COS(RADIANS(K1899))</f>
        <v>-24.529391954778269</v>
      </c>
      <c r="P1899" s="5">
        <v>5.1212721174111548</v>
      </c>
      <c r="Q1899" s="5">
        <v>0.84122424249396477</v>
      </c>
      <c r="R1899" s="6">
        <f>P1899/Q1899</f>
        <v>6.0878798526159885</v>
      </c>
    </row>
    <row r="1900" spans="1:18" x14ac:dyDescent="0.35">
      <c r="A1900" s="9">
        <v>1041</v>
      </c>
      <c r="B1900" s="5">
        <v>0.5</v>
      </c>
      <c r="C1900" s="5">
        <v>6000000</v>
      </c>
      <c r="D1900" s="5">
        <v>30</v>
      </c>
      <c r="E1900" s="5">
        <v>0.25</v>
      </c>
      <c r="F1900" s="5">
        <v>0.1</v>
      </c>
      <c r="G1900" s="12">
        <f>(C1900*$U$4)/($U$5*$U$3)</f>
        <v>88.16326530612244</v>
      </c>
      <c r="H1900" s="11">
        <f>G1900*COS(RADIANS(D1900))</f>
        <v>76.351627435689281</v>
      </c>
      <c r="I1900" s="11">
        <f>G1900*SIN(RADIANS(D1900))</f>
        <v>44.081632653061213</v>
      </c>
      <c r="J1900" s="20">
        <v>0.23580000000000001</v>
      </c>
      <c r="K1900" s="20">
        <v>49</v>
      </c>
      <c r="L1900" s="12">
        <f>-(F1900*G1900*$U$3)/J1900</f>
        <v>-37.389001402087544</v>
      </c>
      <c r="M1900" s="11">
        <f>ABS(L1900/$U$6)</f>
        <v>0.10900583499150887</v>
      </c>
      <c r="N1900" s="12">
        <f>L1900*SIN(RADIANS(K1900))</f>
        <v>-28.217837553118123</v>
      </c>
      <c r="O1900" s="12">
        <f>L1900*COS(RADIANS(K1900))</f>
        <v>-24.529391954778269</v>
      </c>
      <c r="P1900" s="5">
        <v>5.1904607512631937</v>
      </c>
      <c r="Q1900" s="5">
        <v>1.4439352067422984</v>
      </c>
      <c r="R1900" s="6">
        <f>P1900/Q1900</f>
        <v>3.5946632002785872</v>
      </c>
    </row>
    <row r="1901" spans="1:18" x14ac:dyDescent="0.35">
      <c r="A1901" s="9">
        <v>1902</v>
      </c>
      <c r="B1901" s="5">
        <v>0.25</v>
      </c>
      <c r="C1901" s="5">
        <v>2000000</v>
      </c>
      <c r="D1901" s="5">
        <v>30</v>
      </c>
      <c r="E1901" s="5">
        <v>0</v>
      </c>
      <c r="F1901" s="5">
        <v>7.4999999999999997E-2</v>
      </c>
      <c r="G1901" s="12">
        <f>(C1901*$U$4)/($U$5*$U$3)</f>
        <v>29.387755102040813</v>
      </c>
      <c r="H1901" s="11">
        <f>G1901*COS(RADIANS(D1901))</f>
        <v>25.450542478563094</v>
      </c>
      <c r="I1901" s="11">
        <f>G1901*SIN(RADIANS(D1901))</f>
        <v>14.693877551020405</v>
      </c>
      <c r="J1901" s="12">
        <v>0.18990000000000001</v>
      </c>
      <c r="K1901" s="12">
        <v>0</v>
      </c>
      <c r="L1901" s="12">
        <f>-(F1901*G1901*$U$3)/J1901</f>
        <v>-11.606538349937129</v>
      </c>
      <c r="M1901" s="11">
        <f>ABS(L1901/$U$6)</f>
        <v>3.3838304227221949E-2</v>
      </c>
      <c r="N1901" s="12">
        <f>L1901*SIN(RADIANS(K1901))</f>
        <v>0</v>
      </c>
      <c r="O1901" s="12">
        <f>L1901*COS(RADIANS(K1901))</f>
        <v>-11.606538349937129</v>
      </c>
      <c r="P1901" s="5">
        <v>2.5379753714002176</v>
      </c>
      <c r="Q1901" s="5">
        <v>0.90527503360939976</v>
      </c>
      <c r="R1901" s="6">
        <f>P1901/Q1901</f>
        <v>2.8035406668414553</v>
      </c>
    </row>
    <row r="1902" spans="1:18" x14ac:dyDescent="0.35">
      <c r="A1902" s="9">
        <v>1903</v>
      </c>
      <c r="B1902" s="5">
        <v>0.25</v>
      </c>
      <c r="C1902" s="5">
        <v>4000000</v>
      </c>
      <c r="D1902" s="5">
        <v>20</v>
      </c>
      <c r="E1902" s="5">
        <v>0.375</v>
      </c>
      <c r="F1902" s="5">
        <v>0.05</v>
      </c>
      <c r="G1902" s="12">
        <f>(C1902*$U$4)/($U$5*$U$3)</f>
        <v>58.775510204081627</v>
      </c>
      <c r="H1902" s="11">
        <f>G1902*COS(RADIANS(D1902))</f>
        <v>55.230913221702366</v>
      </c>
      <c r="I1902" s="11">
        <f>G1902*SIN(RADIANS(D1902))</f>
        <v>20.102408424039304</v>
      </c>
      <c r="J1902" s="11">
        <v>0.1976</v>
      </c>
      <c r="K1902" s="12">
        <v>78</v>
      </c>
      <c r="L1902" s="12">
        <f>-(F1902*G1902*$U$3)/J1902</f>
        <v>-14.872345699413367</v>
      </c>
      <c r="M1902" s="11">
        <f>ABS(L1902/$U$6)</f>
        <v>4.3359608453100197E-2</v>
      </c>
      <c r="N1902" s="12">
        <f>L1902*SIN(RADIANS(K1902))</f>
        <v>-14.547349263164916</v>
      </c>
      <c r="O1902" s="12">
        <f>L1902*COS(RADIANS(K1902))</f>
        <v>-3.0921345407912666</v>
      </c>
      <c r="P1902" s="5">
        <v>2.5676686382103662</v>
      </c>
      <c r="Q1902" s="5">
        <v>0.67617131739836001</v>
      </c>
      <c r="R1902" s="6">
        <f>P1902/Q1902</f>
        <v>3.7973640291187452</v>
      </c>
    </row>
    <row r="1903" spans="1:18" x14ac:dyDescent="0.35">
      <c r="A1903" s="9">
        <v>1904</v>
      </c>
      <c r="B1903" s="5">
        <v>0.25</v>
      </c>
      <c r="C1903" s="5">
        <v>4000000</v>
      </c>
      <c r="D1903" s="5">
        <v>15</v>
      </c>
      <c r="E1903" s="5">
        <v>0.25</v>
      </c>
      <c r="F1903" s="5">
        <v>2.5000000000000001E-2</v>
      </c>
      <c r="G1903" s="12">
        <f>(C1903*$U$4)/($U$5*$U$3)</f>
        <v>58.775510204081627</v>
      </c>
      <c r="H1903" s="11">
        <f>G1903*COS(RADIANS(D1903))</f>
        <v>56.772783259439109</v>
      </c>
      <c r="I1903" s="11">
        <f>G1903*SIN(RADIANS(D1903))</f>
        <v>15.212221426433871</v>
      </c>
      <c r="J1903" s="12">
        <v>0.1913</v>
      </c>
      <c r="K1903" s="11">
        <v>67</v>
      </c>
      <c r="L1903" s="12">
        <f>-(F1903*G1903*$U$3)/J1903</f>
        <v>-7.6810651076949332</v>
      </c>
      <c r="M1903" s="11">
        <f>ABS(L1903/$U$6)</f>
        <v>2.239377582418348E-2</v>
      </c>
      <c r="N1903" s="12">
        <f>L1903*SIN(RADIANS(K1903))</f>
        <v>-7.0704577113173777</v>
      </c>
      <c r="O1903" s="12">
        <f>L1903*COS(RADIANS(K1903))</f>
        <v>-3.0012312375292258</v>
      </c>
      <c r="P1903" s="5">
        <v>2.131940631555215</v>
      </c>
      <c r="Q1903" s="5">
        <v>0.52493104328060702</v>
      </c>
      <c r="R1903" s="6">
        <f>P1903/Q1903</f>
        <v>4.0613727438016376</v>
      </c>
    </row>
    <row r="1904" spans="1:18" x14ac:dyDescent="0.35">
      <c r="A1904" s="9">
        <v>1905</v>
      </c>
      <c r="B1904" s="5">
        <v>0.25</v>
      </c>
      <c r="C1904" s="5">
        <v>4000000</v>
      </c>
      <c r="D1904" s="5">
        <v>15</v>
      </c>
      <c r="E1904" s="5">
        <v>0.375</v>
      </c>
      <c r="F1904" s="5">
        <v>0.1</v>
      </c>
      <c r="G1904" s="12">
        <f>(C1904*$U$4)/($U$5*$U$3)</f>
        <v>58.775510204081627</v>
      </c>
      <c r="H1904" s="11">
        <f>G1904*COS(RADIANS(D1904))</f>
        <v>56.772783259439109</v>
      </c>
      <c r="I1904" s="11">
        <f>G1904*SIN(RADIANS(D1904))</f>
        <v>15.212221426433871</v>
      </c>
      <c r="J1904" s="11">
        <v>0.1976</v>
      </c>
      <c r="K1904" s="12">
        <v>78</v>
      </c>
      <c r="L1904" s="12">
        <f>-(F1904*G1904*$U$3)/J1904</f>
        <v>-29.744691398826735</v>
      </c>
      <c r="M1904" s="11">
        <f>ABS(L1904/$U$6)</f>
        <v>8.6719216906200394E-2</v>
      </c>
      <c r="N1904" s="12">
        <f>L1904*SIN(RADIANS(K1904))</f>
        <v>-29.094698526329832</v>
      </c>
      <c r="O1904" s="12">
        <f>L1904*COS(RADIANS(K1904))</f>
        <v>-6.1842690815825332</v>
      </c>
      <c r="P1904" s="5">
        <v>2.7285494579913792</v>
      </c>
      <c r="Q1904" s="5">
        <v>0.44174468053435811</v>
      </c>
      <c r="R1904" s="6">
        <f>P1904/Q1904</f>
        <v>6.1767567969144057</v>
      </c>
    </row>
    <row r="1905" spans="1:18" x14ac:dyDescent="0.35">
      <c r="A1905" s="9">
        <v>1906</v>
      </c>
      <c r="B1905" s="5">
        <v>0.25</v>
      </c>
      <c r="C1905" s="5">
        <v>6000000</v>
      </c>
      <c r="D1905" s="5">
        <v>20</v>
      </c>
      <c r="E1905" s="5">
        <v>0.375</v>
      </c>
      <c r="F1905" s="5">
        <v>7.4999999999999997E-2</v>
      </c>
      <c r="G1905" s="12">
        <f>(C1905*$U$4)/($U$5*$U$3)</f>
        <v>88.16326530612244</v>
      </c>
      <c r="H1905" s="11">
        <f>G1905*COS(RADIANS(D1905))</f>
        <v>82.846369832553549</v>
      </c>
      <c r="I1905" s="11">
        <f>G1905*SIN(RADIANS(D1905))</f>
        <v>30.153612636058952</v>
      </c>
      <c r="J1905" s="11">
        <v>0.1976</v>
      </c>
      <c r="K1905" s="12">
        <v>78</v>
      </c>
      <c r="L1905" s="12">
        <f>-(F1905*G1905*$U$3)/J1905</f>
        <v>-33.462777823680078</v>
      </c>
      <c r="M1905" s="11">
        <f>ABS(L1905/$U$6)</f>
        <v>9.7559119019475449E-2</v>
      </c>
      <c r="N1905" s="12">
        <f>L1905*SIN(RADIANS(K1905))</f>
        <v>-32.731535842121062</v>
      </c>
      <c r="O1905" s="12">
        <f>L1905*COS(RADIANS(K1905))</f>
        <v>-6.9573027167803501</v>
      </c>
      <c r="P1905" s="5">
        <v>2.6643865123865087</v>
      </c>
      <c r="Q1905" s="5">
        <v>0.62255035327717201</v>
      </c>
      <c r="R1905" s="6">
        <f>P1905/Q1905</f>
        <v>4.2797927884240874</v>
      </c>
    </row>
    <row r="1906" spans="1:18" x14ac:dyDescent="0.35">
      <c r="A1906" s="9">
        <v>1907</v>
      </c>
      <c r="B1906" s="5">
        <v>0.5</v>
      </c>
      <c r="C1906" s="5">
        <v>4000000</v>
      </c>
      <c r="D1906" s="5">
        <v>5</v>
      </c>
      <c r="E1906" s="5">
        <v>0.375</v>
      </c>
      <c r="F1906" s="5">
        <v>0.1</v>
      </c>
      <c r="G1906" s="12">
        <f>(C1906*$U$4)/($U$5*$U$3)</f>
        <v>58.775510204081627</v>
      </c>
      <c r="H1906" s="11">
        <f>G1906*COS(RADIANS(D1906))</f>
        <v>58.551851642943404</v>
      </c>
      <c r="I1906" s="11">
        <f>G1906*SIN(RADIANS(D1906))</f>
        <v>5.1226232472092956</v>
      </c>
      <c r="J1906" s="12">
        <v>0.24809999999999999</v>
      </c>
      <c r="K1906" s="12">
        <v>67</v>
      </c>
      <c r="L1906" s="12">
        <f>-(F1906*G1906*$U$3)/J1906</f>
        <v>-23.690249981491991</v>
      </c>
      <c r="M1906" s="11">
        <f>ABS(L1906/$U$6)</f>
        <v>6.9067784202600555E-2</v>
      </c>
      <c r="N1906" s="12">
        <f>L1906*SIN(RADIANS(K1906))</f>
        <v>-21.806990087464964</v>
      </c>
      <c r="O1906" s="12">
        <f>L1906*COS(RADIANS(K1906))</f>
        <v>-9.2565181094613607</v>
      </c>
      <c r="P1906" s="5">
        <v>3.9746528551316684</v>
      </c>
      <c r="Q1906" s="5">
        <v>-0.14157033425660007</v>
      </c>
      <c r="R1906" s="6">
        <f>P1906/Q1906</f>
        <v>-28.075464227749173</v>
      </c>
    </row>
    <row r="1907" spans="1:18" x14ac:dyDescent="0.35">
      <c r="A1907" s="9">
        <v>1908</v>
      </c>
      <c r="B1907" s="5">
        <v>0.5</v>
      </c>
      <c r="C1907" s="5">
        <v>2000000</v>
      </c>
      <c r="D1907" s="5">
        <v>0</v>
      </c>
      <c r="E1907" s="5">
        <v>0.25</v>
      </c>
      <c r="F1907" s="5">
        <v>0.05</v>
      </c>
      <c r="G1907" s="12">
        <f>(C1907*$U$4)/($U$5*$U$3)</f>
        <v>29.387755102040813</v>
      </c>
      <c r="H1907" s="11">
        <f>G1907*COS(RADIANS(D1907))</f>
        <v>29.387755102040813</v>
      </c>
      <c r="I1907" s="11">
        <f>G1907*SIN(RADIANS(D1907))</f>
        <v>0</v>
      </c>
      <c r="J1907" s="11">
        <v>0.23580000000000001</v>
      </c>
      <c r="K1907" s="11">
        <v>49</v>
      </c>
      <c r="L1907" s="12">
        <f>-(F1907*G1907*$U$3)/J1907</f>
        <v>-6.2315002336812579</v>
      </c>
      <c r="M1907" s="11">
        <f>ABS(L1907/$U$6)</f>
        <v>1.8167639165251482E-2</v>
      </c>
      <c r="N1907" s="12">
        <f>L1907*SIN(RADIANS(K1907))</f>
        <v>-4.7029729255196875</v>
      </c>
      <c r="O1907" s="12">
        <f>L1907*COS(RADIANS(K1907))</f>
        <v>-4.0882319924630455</v>
      </c>
      <c r="P1907" s="5">
        <v>3.0350128404508365</v>
      </c>
      <c r="Q1907" s="5">
        <v>-1.2904630140483981E-2</v>
      </c>
      <c r="R1907" s="6">
        <f>P1907/Q1907</f>
        <v>-235.18789825130239</v>
      </c>
    </row>
    <row r="1908" spans="1:18" x14ac:dyDescent="0.35">
      <c r="A1908" s="9">
        <v>1909</v>
      </c>
      <c r="B1908" s="5">
        <v>0.75</v>
      </c>
      <c r="C1908" s="5">
        <v>4000000</v>
      </c>
      <c r="D1908" s="5">
        <v>20</v>
      </c>
      <c r="E1908" s="5">
        <v>0.25</v>
      </c>
      <c r="F1908" s="5">
        <v>3.5000000000000003E-2</v>
      </c>
      <c r="G1908" s="12">
        <f>(C1908*$U$4)/($U$5*$U$3)</f>
        <v>58.775510204081627</v>
      </c>
      <c r="H1908" s="11">
        <f>G1908*COS(RADIANS(D1908))</f>
        <v>55.230913221702366</v>
      </c>
      <c r="I1908" s="11">
        <f>G1908*SIN(RADIANS(D1908))</f>
        <v>20.102408424039304</v>
      </c>
      <c r="J1908" s="12">
        <v>0.28370000000000001</v>
      </c>
      <c r="K1908" s="11">
        <v>38</v>
      </c>
      <c r="L1908" s="12">
        <f>-(F1908*G1908*$U$3)/J1908</f>
        <v>-7.2511203988116213</v>
      </c>
      <c r="M1908" s="11">
        <f>ABS(L1908/$U$6)</f>
        <v>2.11402927079056E-2</v>
      </c>
      <c r="N1908" s="12">
        <f>L1908*SIN(RADIANS(K1908))</f>
        <v>-4.4642354824963384</v>
      </c>
      <c r="O1908" s="12">
        <f>L1908*COS(RADIANS(K1908))</f>
        <v>-5.7139608499606194</v>
      </c>
      <c r="P1908" s="5">
        <v>3.5916308865016826</v>
      </c>
      <c r="Q1908" s="5">
        <v>0.72318510080088394</v>
      </c>
      <c r="R1908" s="6">
        <f>P1908/Q1908</f>
        <v>4.9664060868015225</v>
      </c>
    </row>
    <row r="1909" spans="1:18" x14ac:dyDescent="0.35">
      <c r="A1909" s="9">
        <v>1910</v>
      </c>
      <c r="B1909" s="5">
        <v>0.5</v>
      </c>
      <c r="C1909" s="5">
        <v>2000000</v>
      </c>
      <c r="D1909" s="5">
        <v>20</v>
      </c>
      <c r="E1909" s="5">
        <v>0</v>
      </c>
      <c r="F1909" s="5">
        <v>0.05</v>
      </c>
      <c r="G1909" s="12">
        <f>(C1909*$U$4)/($U$5*$U$3)</f>
        <v>29.387755102040813</v>
      </c>
      <c r="H1909" s="11">
        <f>G1909*COS(RADIANS(D1909))</f>
        <v>27.615456610851183</v>
      </c>
      <c r="I1909" s="11">
        <f>G1909*SIN(RADIANS(D1909))</f>
        <v>10.051204212019652</v>
      </c>
      <c r="J1909" s="12">
        <v>0.23230000000000001</v>
      </c>
      <c r="K1909" s="12">
        <v>0</v>
      </c>
      <c r="L1909" s="12">
        <f>-(F1909*G1909*$U$3)/J1909</f>
        <v>-6.3253885282050826</v>
      </c>
      <c r="M1909" s="11">
        <f>ABS(L1909/$U$6)</f>
        <v>1.8441365971443389E-2</v>
      </c>
      <c r="N1909" s="12">
        <f>L1909*SIN(RADIANS(K1909))</f>
        <v>0</v>
      </c>
      <c r="O1909" s="12">
        <f>L1909*COS(RADIANS(K1909))</f>
        <v>-6.3253885282050826</v>
      </c>
      <c r="P1909" s="5">
        <v>4.0039368109423679</v>
      </c>
      <c r="Q1909" s="5">
        <v>1.0340261057904412</v>
      </c>
      <c r="R1909" s="6">
        <f>P1909/Q1909</f>
        <v>3.8721815518203346</v>
      </c>
    </row>
    <row r="1910" spans="1:18" x14ac:dyDescent="0.35">
      <c r="A1910" s="9">
        <v>1240</v>
      </c>
      <c r="B1910" s="5">
        <v>0.5</v>
      </c>
      <c r="C1910" s="5">
        <v>4000000</v>
      </c>
      <c r="D1910" s="5">
        <v>10</v>
      </c>
      <c r="E1910" s="5">
        <v>0.25</v>
      </c>
      <c r="F1910" s="5">
        <v>0.15</v>
      </c>
      <c r="G1910" s="12">
        <f>(C1910*$U$4)/($U$5*$U$3)</f>
        <v>58.775510204081627</v>
      </c>
      <c r="H1910" s="11">
        <f>G1910*COS(RADIANS(D1910))</f>
        <v>57.882578136227728</v>
      </c>
      <c r="I1910" s="11">
        <f>G1910*SIN(RADIANS(D1910))</f>
        <v>10.206260238382843</v>
      </c>
      <c r="J1910" s="20">
        <v>0.23580000000000001</v>
      </c>
      <c r="K1910" s="20">
        <v>49</v>
      </c>
      <c r="L1910" s="12">
        <f>-(F1910*G1910*$U$3)/J1910</f>
        <v>-37.389001402087544</v>
      </c>
      <c r="M1910" s="11">
        <f>ABS(L1910/$U$6)</f>
        <v>0.10900583499150887</v>
      </c>
      <c r="N1910" s="12">
        <f>L1910*SIN(RADIANS(K1910))</f>
        <v>-28.217837553118123</v>
      </c>
      <c r="O1910" s="12">
        <f>L1910*COS(RADIANS(K1910))</f>
        <v>-24.529391954778269</v>
      </c>
      <c r="P1910" s="5">
        <v>5.5868049721861155</v>
      </c>
      <c r="Q1910" s="5">
        <v>0.22283332954395241</v>
      </c>
      <c r="R1910" s="6">
        <f>P1910/Q1910</f>
        <v>25.071675694206036</v>
      </c>
    </row>
    <row r="1911" spans="1:18" x14ac:dyDescent="0.35">
      <c r="A1911" s="9">
        <v>1912</v>
      </c>
      <c r="B1911" s="5">
        <v>0.5</v>
      </c>
      <c r="C1911" s="5">
        <v>6000000</v>
      </c>
      <c r="D1911" s="5">
        <v>0</v>
      </c>
      <c r="E1911" s="5">
        <v>0.375</v>
      </c>
      <c r="F1911" s="5">
        <v>0</v>
      </c>
      <c r="G1911" s="12">
        <f>(C1911*$U$4)/($U$5*$U$3)</f>
        <v>88.16326530612244</v>
      </c>
      <c r="H1911" s="11">
        <f>G1911*COS(RADIANS(D1911))</f>
        <v>88.16326530612244</v>
      </c>
      <c r="I1911" s="11">
        <f>G1911*SIN(RADIANS(D1911))</f>
        <v>0</v>
      </c>
      <c r="J1911" s="12">
        <v>0.24809999999999999</v>
      </c>
      <c r="K1911" s="12">
        <v>67</v>
      </c>
      <c r="L1911" s="12">
        <f>-(F1911*G1911*$U$3)/J1911</f>
        <v>0</v>
      </c>
      <c r="M1911" s="11">
        <f>ABS(L1911/$U$6)</f>
        <v>0</v>
      </c>
      <c r="N1911" s="12">
        <f>L1911*SIN(RADIANS(K1911))</f>
        <v>0</v>
      </c>
      <c r="O1911" s="12">
        <f>L1911*COS(RADIANS(K1911))</f>
        <v>0</v>
      </c>
      <c r="P1911" s="5">
        <v>4.4598227219819586</v>
      </c>
      <c r="Q1911" s="5">
        <v>0.23059369587369591</v>
      </c>
      <c r="R1911" s="6">
        <f>P1911/Q1911</f>
        <v>19.340609920336924</v>
      </c>
    </row>
    <row r="1912" spans="1:18" x14ac:dyDescent="0.35">
      <c r="A1912" s="9">
        <v>1913</v>
      </c>
      <c r="B1912" s="5">
        <v>1</v>
      </c>
      <c r="C1912" s="5">
        <v>4000000</v>
      </c>
      <c r="D1912" s="5">
        <v>15</v>
      </c>
      <c r="E1912" s="5">
        <v>0.125</v>
      </c>
      <c r="F1912" s="5">
        <v>0.1</v>
      </c>
      <c r="G1912" s="12">
        <f>(C1912*$U$4)/($U$5*$U$3)</f>
        <v>58.775510204081627</v>
      </c>
      <c r="H1912" s="11">
        <f>G1912*COS(RADIANS(D1912))</f>
        <v>56.772783259439109</v>
      </c>
      <c r="I1912" s="11">
        <f>G1912*SIN(RADIANS(D1912))</f>
        <v>15.212221426433871</v>
      </c>
      <c r="J1912" s="11">
        <v>0.33379999999999999</v>
      </c>
      <c r="K1912" s="12">
        <v>14</v>
      </c>
      <c r="L1912" s="12">
        <f>-(F1912*G1912*$U$3)/J1912</f>
        <v>-17.608001858622419</v>
      </c>
      <c r="M1912" s="11">
        <f>ABS(L1912/$U$6)</f>
        <v>5.1335282386654281E-2</v>
      </c>
      <c r="N1912" s="12">
        <f>L1912*SIN(RADIANS(K1912))</f>
        <v>-4.2597611873604082</v>
      </c>
      <c r="O1912" s="12">
        <f>L1912*COS(RADIANS(K1912))</f>
        <v>-17.084968951681137</v>
      </c>
      <c r="P1912" s="5">
        <v>2.9665821152481455</v>
      </c>
      <c r="Q1912" s="5">
        <v>1.0231602438985583</v>
      </c>
      <c r="R1912" s="6">
        <f>P1912/Q1912</f>
        <v>2.8994305954896626</v>
      </c>
    </row>
    <row r="1913" spans="1:18" x14ac:dyDescent="0.35">
      <c r="A1913" s="9">
        <v>1387</v>
      </c>
      <c r="B1913" s="5">
        <v>0.5</v>
      </c>
      <c r="C1913" s="5">
        <v>6000000</v>
      </c>
      <c r="D1913" s="5">
        <v>5</v>
      </c>
      <c r="E1913" s="5">
        <v>0.25</v>
      </c>
      <c r="F1913" s="5">
        <v>0.1</v>
      </c>
      <c r="G1913" s="12">
        <f>(C1913*$U$4)/($U$5*$U$3)</f>
        <v>88.16326530612244</v>
      </c>
      <c r="H1913" s="11">
        <f>G1913*COS(RADIANS(D1913))</f>
        <v>87.827777464415107</v>
      </c>
      <c r="I1913" s="11">
        <f>G1913*SIN(RADIANS(D1913))</f>
        <v>7.6839348708139434</v>
      </c>
      <c r="J1913" s="20">
        <v>0.23580000000000001</v>
      </c>
      <c r="K1913" s="20">
        <v>49</v>
      </c>
      <c r="L1913" s="12">
        <f>-(F1913*G1913*$U$3)/J1913</f>
        <v>-37.389001402087544</v>
      </c>
      <c r="M1913" s="11">
        <f>ABS(L1913/$U$6)</f>
        <v>0.10900583499150887</v>
      </c>
      <c r="N1913" s="12">
        <f>L1913*SIN(RADIANS(K1913))</f>
        <v>-28.217837553118123</v>
      </c>
      <c r="O1913" s="12">
        <f>L1913*COS(RADIANS(K1913))</f>
        <v>-24.529391954778269</v>
      </c>
      <c r="P1913" s="5">
        <v>4.9351084569422259</v>
      </c>
      <c r="Q1913" s="5">
        <v>-5.5729727926667076E-2</v>
      </c>
      <c r="R1913" s="6">
        <f>P1913/Q1913</f>
        <v>-88.554325322315833</v>
      </c>
    </row>
    <row r="1914" spans="1:18" x14ac:dyDescent="0.35">
      <c r="A1914" s="9">
        <v>1915</v>
      </c>
      <c r="B1914" s="5">
        <v>0.75</v>
      </c>
      <c r="C1914" s="5">
        <v>6000000</v>
      </c>
      <c r="D1914" s="5">
        <v>30</v>
      </c>
      <c r="E1914" s="5">
        <v>0</v>
      </c>
      <c r="F1914" s="5">
        <v>0</v>
      </c>
      <c r="G1914" s="12">
        <f>(C1914*$U$4)/($U$5*$U$3)</f>
        <v>88.16326530612244</v>
      </c>
      <c r="H1914" s="11">
        <f>G1914*COS(RADIANS(D1914))</f>
        <v>76.351627435689281</v>
      </c>
      <c r="I1914" s="11">
        <f>G1914*SIN(RADIANS(D1914))</f>
        <v>44.081632653061213</v>
      </c>
      <c r="J1914" s="11">
        <v>0.27929999999999999</v>
      </c>
      <c r="K1914" s="12">
        <v>0</v>
      </c>
      <c r="L1914" s="12">
        <f>-(F1914*G1914*$U$3)/J1914</f>
        <v>0</v>
      </c>
      <c r="M1914" s="11">
        <f>ABS(L1914/$U$6)</f>
        <v>0</v>
      </c>
      <c r="N1914" s="12">
        <f>L1914*SIN(RADIANS(K1914))</f>
        <v>0</v>
      </c>
      <c r="O1914" s="12">
        <f>L1914*COS(RADIANS(K1914))</f>
        <v>0</v>
      </c>
      <c r="P1914" s="5">
        <v>3.3632415023760656</v>
      </c>
      <c r="Q1914" s="5">
        <v>2.0859087573020321</v>
      </c>
      <c r="R1914" s="6">
        <f>P1914/Q1914</f>
        <v>1.6123627127037754</v>
      </c>
    </row>
    <row r="1915" spans="1:18" x14ac:dyDescent="0.35">
      <c r="A1915" s="9">
        <v>1916</v>
      </c>
      <c r="B1915" s="5">
        <v>0.25</v>
      </c>
      <c r="C1915" s="5">
        <v>2000000</v>
      </c>
      <c r="D1915" s="5">
        <v>30</v>
      </c>
      <c r="E1915" s="5">
        <v>0.125</v>
      </c>
      <c r="F1915" s="5">
        <v>0.1</v>
      </c>
      <c r="G1915" s="12">
        <f>(C1915*$U$4)/($U$5*$U$3)</f>
        <v>29.387755102040813</v>
      </c>
      <c r="H1915" s="11">
        <f>G1915*COS(RADIANS(D1915))</f>
        <v>25.450542478563094</v>
      </c>
      <c r="I1915" s="11">
        <f>G1915*SIN(RADIANS(D1915))</f>
        <v>14.693877551020405</v>
      </c>
      <c r="J1915" s="11">
        <v>0.19020000000000001</v>
      </c>
      <c r="K1915" s="12">
        <v>46</v>
      </c>
      <c r="L1915" s="12">
        <f>-(F1915*G1915*$U$3)/J1915</f>
        <v>-15.450975342818513</v>
      </c>
      <c r="M1915" s="11">
        <f>ABS(L1915/$U$6)</f>
        <v>4.5046575343494204E-2</v>
      </c>
      <c r="N1915" s="12">
        <f>L1915*SIN(RADIANS(K1915))</f>
        <v>-11.114501518140489</v>
      </c>
      <c r="O1915" s="12">
        <f>L1915*COS(RADIANS(K1915))</f>
        <v>-10.733149353644455</v>
      </c>
      <c r="P1915" s="5">
        <v>2.7239877075796444</v>
      </c>
      <c r="Q1915" s="5">
        <v>0.98755354774455395</v>
      </c>
      <c r="R1915" s="6">
        <f>P1915/Q1915</f>
        <v>2.7583189932342242</v>
      </c>
    </row>
    <row r="1916" spans="1:18" x14ac:dyDescent="0.35">
      <c r="A1916" s="9">
        <v>1917</v>
      </c>
      <c r="B1916" s="5">
        <v>0.25</v>
      </c>
      <c r="C1916" s="5">
        <v>4000000</v>
      </c>
      <c r="D1916" s="5">
        <v>20</v>
      </c>
      <c r="E1916" s="5">
        <v>0</v>
      </c>
      <c r="F1916" s="5">
        <v>0</v>
      </c>
      <c r="G1916" s="12">
        <f>(C1916*$U$4)/($U$5*$U$3)</f>
        <v>58.775510204081627</v>
      </c>
      <c r="H1916" s="11">
        <f>G1916*COS(RADIANS(D1916))</f>
        <v>55.230913221702366</v>
      </c>
      <c r="I1916" s="11">
        <f>G1916*SIN(RADIANS(D1916))</f>
        <v>20.102408424039304</v>
      </c>
      <c r="J1916" s="12">
        <v>0.18990000000000001</v>
      </c>
      <c r="K1916" s="12">
        <v>0</v>
      </c>
      <c r="L1916" s="12">
        <f>-(F1916*G1916*$U$3)/J1916</f>
        <v>0</v>
      </c>
      <c r="M1916" s="11">
        <f>ABS(L1916/$U$6)</f>
        <v>0</v>
      </c>
      <c r="N1916" s="12">
        <f>L1916*SIN(RADIANS(K1916))</f>
        <v>0</v>
      </c>
      <c r="O1916" s="12">
        <f>L1916*COS(RADIANS(K1916))</f>
        <v>0</v>
      </c>
      <c r="P1916" s="5">
        <v>2.2690911647382386</v>
      </c>
      <c r="Q1916" s="5">
        <v>0.78689974232835336</v>
      </c>
      <c r="R1916" s="6">
        <f>P1916/Q1916</f>
        <v>2.88358356558135</v>
      </c>
    </row>
    <row r="1917" spans="1:18" x14ac:dyDescent="0.35">
      <c r="A1917" s="9">
        <v>1918</v>
      </c>
      <c r="B1917" s="5">
        <v>0.75</v>
      </c>
      <c r="C1917" s="5">
        <v>4000000</v>
      </c>
      <c r="D1917" s="5">
        <v>15</v>
      </c>
      <c r="E1917" s="5">
        <v>0.125</v>
      </c>
      <c r="F1917" s="5">
        <v>0.15</v>
      </c>
      <c r="G1917" s="12">
        <f>(C1917*$U$4)/($U$5*$U$3)</f>
        <v>58.775510204081627</v>
      </c>
      <c r="H1917" s="11">
        <f>G1917*COS(RADIANS(D1917))</f>
        <v>56.772783259439109</v>
      </c>
      <c r="I1917" s="11">
        <f>G1917*SIN(RADIANS(D1917))</f>
        <v>15.212221426433871</v>
      </c>
      <c r="J1917" s="12">
        <v>0.2802</v>
      </c>
      <c r="K1917" s="12">
        <v>19</v>
      </c>
      <c r="L1917" s="12">
        <f>-(F1917*G1917*$U$3)/J1917</f>
        <v>-31.464405890835987</v>
      </c>
      <c r="M1917" s="11">
        <f>ABS(L1917/$U$6)</f>
        <v>9.1732961780862932E-2</v>
      </c>
      <c r="N1917" s="12">
        <f>L1917*SIN(RADIANS(K1917))</f>
        <v>-10.243808556970363</v>
      </c>
      <c r="O1917" s="12">
        <f>L1917*COS(RADIANS(K1917))</f>
        <v>-29.750180239981997</v>
      </c>
      <c r="P1917" s="5">
        <v>4.0980375825266897</v>
      </c>
      <c r="Q1917" s="5">
        <v>0.54399709083377434</v>
      </c>
      <c r="R1917" s="6">
        <f>P1917/Q1917</f>
        <v>7.5331976063432666</v>
      </c>
    </row>
    <row r="1918" spans="1:18" x14ac:dyDescent="0.35">
      <c r="A1918" s="9">
        <v>1919</v>
      </c>
      <c r="B1918" s="5">
        <v>1</v>
      </c>
      <c r="C1918" s="5">
        <v>2000000</v>
      </c>
      <c r="D1918" s="5">
        <v>20</v>
      </c>
      <c r="E1918" s="5">
        <v>0.125</v>
      </c>
      <c r="F1918" s="5">
        <v>1.4999999999999999E-2</v>
      </c>
      <c r="G1918" s="12">
        <f>(C1918*$U$4)/($U$5*$U$3)</f>
        <v>29.387755102040813</v>
      </c>
      <c r="H1918" s="11">
        <f>G1918*COS(RADIANS(D1918))</f>
        <v>27.615456610851183</v>
      </c>
      <c r="I1918" s="11">
        <f>G1918*SIN(RADIANS(D1918))</f>
        <v>10.051204212019652</v>
      </c>
      <c r="J1918" s="11">
        <v>0.33379999999999999</v>
      </c>
      <c r="K1918" s="12">
        <v>14</v>
      </c>
      <c r="L1918" s="12">
        <f>-(F1918*G1918*$U$3)/J1918</f>
        <v>-1.3206001393966813</v>
      </c>
      <c r="M1918" s="11">
        <f>ABS(L1918/$U$6)</f>
        <v>3.8501461789990708E-3</v>
      </c>
      <c r="N1918" s="12">
        <f>L1918*SIN(RADIANS(K1918))</f>
        <v>-0.31948208905203057</v>
      </c>
      <c r="O1918" s="12">
        <f>L1918*COS(RADIANS(K1918))</f>
        <v>-1.2813726713760851</v>
      </c>
      <c r="P1918" s="5">
        <v>1.6245293280449866</v>
      </c>
      <c r="Q1918" s="5">
        <v>1.8863065210668597</v>
      </c>
      <c r="R1918" s="6">
        <f>P1918/Q1918</f>
        <v>0.86122234636933936</v>
      </c>
    </row>
    <row r="1919" spans="1:18" x14ac:dyDescent="0.35">
      <c r="A1919" s="9">
        <v>1920</v>
      </c>
      <c r="B1919" s="5">
        <v>0.75</v>
      </c>
      <c r="C1919" s="5">
        <v>2000000</v>
      </c>
      <c r="D1919" s="5">
        <v>5</v>
      </c>
      <c r="E1919" s="5">
        <v>0.125</v>
      </c>
      <c r="F1919" s="5">
        <v>0.15</v>
      </c>
      <c r="G1919" s="12">
        <f>(C1919*$U$4)/($U$5*$U$3)</f>
        <v>29.387755102040813</v>
      </c>
      <c r="H1919" s="11">
        <f>G1919*COS(RADIANS(D1919))</f>
        <v>29.275925821471702</v>
      </c>
      <c r="I1919" s="11">
        <f>G1919*SIN(RADIANS(D1919))</f>
        <v>2.5613116236046478</v>
      </c>
      <c r="J1919" s="12">
        <v>0.2802</v>
      </c>
      <c r="K1919" s="12">
        <v>19</v>
      </c>
      <c r="L1919" s="12">
        <f>-(F1919*G1919*$U$3)/J1919</f>
        <v>-15.732202945417994</v>
      </c>
      <c r="M1919" s="11">
        <f>ABS(L1919/$U$6)</f>
        <v>4.5866480890431466E-2</v>
      </c>
      <c r="N1919" s="12">
        <f>L1919*SIN(RADIANS(K1919))</f>
        <v>-5.1219042784851814</v>
      </c>
      <c r="O1919" s="12">
        <f>L1919*COS(RADIANS(K1919))</f>
        <v>-14.875090119990999</v>
      </c>
      <c r="P1919" s="5">
        <v>4.5525311377450146</v>
      </c>
      <c r="Q1919" s="5">
        <v>-6.4410219097964577E-3</v>
      </c>
      <c r="R1919" s="6">
        <f>P1919/Q1919</f>
        <v>-706.80261633962971</v>
      </c>
    </row>
    <row r="1920" spans="1:18" x14ac:dyDescent="0.35">
      <c r="A1920" s="9">
        <v>1921</v>
      </c>
      <c r="B1920" s="5">
        <v>0.5</v>
      </c>
      <c r="C1920" s="5">
        <v>6000000</v>
      </c>
      <c r="D1920" s="5">
        <v>5</v>
      </c>
      <c r="E1920" s="5">
        <v>0.375</v>
      </c>
      <c r="F1920" s="5">
        <v>7.4999999999999997E-2</v>
      </c>
      <c r="G1920" s="12">
        <f>(C1920*$U$4)/($U$5*$U$3)</f>
        <v>88.16326530612244</v>
      </c>
      <c r="H1920" s="11">
        <f>G1920*COS(RADIANS(D1920))</f>
        <v>87.827777464415107</v>
      </c>
      <c r="I1920" s="11">
        <f>G1920*SIN(RADIANS(D1920))</f>
        <v>7.6839348708139434</v>
      </c>
      <c r="J1920" s="12">
        <v>0.24809999999999999</v>
      </c>
      <c r="K1920" s="12">
        <v>67</v>
      </c>
      <c r="L1920" s="12">
        <f>-(F1920*G1920*$U$3)/J1920</f>
        <v>-26.651531229178492</v>
      </c>
      <c r="M1920" s="11">
        <f>ABS(L1920/$U$6)</f>
        <v>7.7701257227925632E-2</v>
      </c>
      <c r="N1920" s="12">
        <f>L1920*SIN(RADIANS(K1920))</f>
        <v>-24.532863848398087</v>
      </c>
      <c r="O1920" s="12">
        <f>L1920*COS(RADIANS(K1920))</f>
        <v>-10.413582873144032</v>
      </c>
      <c r="P1920" s="5">
        <v>3.7373612736789594</v>
      </c>
      <c r="Q1920" s="5">
        <v>-0.11684886656705606</v>
      </c>
      <c r="R1920" s="6">
        <f>P1920/Q1920</f>
        <v>-31.984574463409107</v>
      </c>
    </row>
    <row r="1921" spans="1:18" x14ac:dyDescent="0.35">
      <c r="A1921" s="9">
        <v>1453</v>
      </c>
      <c r="B1921" s="5">
        <v>0.5</v>
      </c>
      <c r="C1921" s="5">
        <v>4000000</v>
      </c>
      <c r="D1921" s="5">
        <v>20</v>
      </c>
      <c r="E1921" s="5">
        <v>0.25</v>
      </c>
      <c r="F1921" s="5">
        <v>0.15</v>
      </c>
      <c r="G1921" s="12">
        <f>(C1921*$U$4)/($U$5*$U$3)</f>
        <v>58.775510204081627</v>
      </c>
      <c r="H1921" s="11">
        <f>G1921*COS(RADIANS(D1921))</f>
        <v>55.230913221702366</v>
      </c>
      <c r="I1921" s="11">
        <f>G1921*SIN(RADIANS(D1921))</f>
        <v>20.102408424039304</v>
      </c>
      <c r="J1921" s="11">
        <v>0.23580000000000001</v>
      </c>
      <c r="K1921" s="20">
        <v>49</v>
      </c>
      <c r="L1921" s="12">
        <f>-(F1921*G1921*$U$3)/J1921</f>
        <v>-37.389001402087544</v>
      </c>
      <c r="M1921" s="11">
        <f>ABS(L1921/$U$6)</f>
        <v>0.10900583499150887</v>
      </c>
      <c r="N1921" s="12">
        <f>L1921*SIN(RADIANS(K1921))</f>
        <v>-28.217837553118123</v>
      </c>
      <c r="O1921" s="12">
        <f>L1921*COS(RADIANS(K1921))</f>
        <v>-24.529391954778269</v>
      </c>
      <c r="P1921" s="5">
        <v>5.6241446389930099</v>
      </c>
      <c r="Q1921" s="5">
        <v>0.86925925665333914</v>
      </c>
      <c r="R1921" s="6">
        <f>P1921/Q1921</f>
        <v>6.4700428507900494</v>
      </c>
    </row>
    <row r="1922" spans="1:18" x14ac:dyDescent="0.35">
      <c r="A1922" s="9">
        <v>1923</v>
      </c>
      <c r="B1922" s="5">
        <v>0.5</v>
      </c>
      <c r="C1922" s="5">
        <v>2000000</v>
      </c>
      <c r="D1922" s="5">
        <v>15</v>
      </c>
      <c r="E1922" s="5">
        <v>0.125</v>
      </c>
      <c r="F1922" s="5">
        <v>0.05</v>
      </c>
      <c r="G1922" s="12">
        <f>(C1922*$U$4)/($U$5*$U$3)</f>
        <v>29.387755102040813</v>
      </c>
      <c r="H1922" s="11">
        <f>G1922*COS(RADIANS(D1922))</f>
        <v>28.386391629719554</v>
      </c>
      <c r="I1922" s="11">
        <f>G1922*SIN(RADIANS(D1922))</f>
        <v>7.6061107132169354</v>
      </c>
      <c r="J1922" s="12">
        <v>0.23300000000000001</v>
      </c>
      <c r="K1922" s="11">
        <v>27</v>
      </c>
      <c r="L1922" s="12">
        <f>-(F1922*G1922*$U$3)/J1922</f>
        <v>-6.3063852150302173</v>
      </c>
      <c r="M1922" s="11">
        <f>ABS(L1922/$U$6)</f>
        <v>1.8385962726035619E-2</v>
      </c>
      <c r="N1922" s="12">
        <f>L1922*SIN(RADIANS(K1922))</f>
        <v>-2.8630389753216572</v>
      </c>
      <c r="O1922" s="12">
        <f>L1922*COS(RADIANS(K1922))</f>
        <v>-5.6190303706369873</v>
      </c>
      <c r="P1922" s="5">
        <v>4.8464507830662562</v>
      </c>
      <c r="Q1922" s="5">
        <v>0.83615983394381221</v>
      </c>
      <c r="R1922" s="6">
        <f>P1922/Q1922</f>
        <v>5.7960817852342874</v>
      </c>
    </row>
    <row r="1923" spans="1:18" x14ac:dyDescent="0.35">
      <c r="A1923" s="9">
        <v>1924</v>
      </c>
      <c r="B1923" s="5">
        <v>0.75</v>
      </c>
      <c r="C1923" s="5">
        <v>6000000</v>
      </c>
      <c r="D1923" s="5">
        <v>20</v>
      </c>
      <c r="E1923" s="5">
        <v>0</v>
      </c>
      <c r="F1923" s="5">
        <v>7.4999999999999997E-2</v>
      </c>
      <c r="G1923" s="12">
        <f>(C1923*$U$4)/($U$5*$U$3)</f>
        <v>88.16326530612244</v>
      </c>
      <c r="H1923" s="11">
        <f>G1923*COS(RADIANS(D1923))</f>
        <v>82.846369832553549</v>
      </c>
      <c r="I1923" s="11">
        <f>G1923*SIN(RADIANS(D1923))</f>
        <v>30.153612636058952</v>
      </c>
      <c r="J1923" s="11">
        <v>0.27929999999999999</v>
      </c>
      <c r="K1923" s="12">
        <v>0</v>
      </c>
      <c r="L1923" s="12">
        <f>-(F1923*G1923*$U$3)/J1923</f>
        <v>-23.674346215392706</v>
      </c>
      <c r="M1923" s="11">
        <f>ABS(L1923/$U$6)</f>
        <v>6.9021417537588059E-2</v>
      </c>
      <c r="N1923" s="12">
        <f>L1923*SIN(RADIANS(K1923))</f>
        <v>0</v>
      </c>
      <c r="O1923" s="12">
        <f>L1923*COS(RADIANS(K1923))</f>
        <v>-23.674346215392706</v>
      </c>
      <c r="P1923" s="5">
        <v>2.5390855586995391</v>
      </c>
      <c r="Q1923" s="5">
        <v>1.1025010493718079</v>
      </c>
      <c r="R1923" s="6">
        <f>P1923/Q1923</f>
        <v>2.3030232580243619</v>
      </c>
    </row>
    <row r="1924" spans="1:18" x14ac:dyDescent="0.35">
      <c r="A1924" s="9">
        <v>1925</v>
      </c>
      <c r="B1924" s="5">
        <v>0.1</v>
      </c>
      <c r="C1924" s="5">
        <v>6000000</v>
      </c>
      <c r="D1924" s="5">
        <v>5</v>
      </c>
      <c r="E1924" s="5">
        <v>0.125</v>
      </c>
      <c r="F1924" s="5">
        <v>3.5000000000000003E-2</v>
      </c>
      <c r="G1924" s="12">
        <f>(C1924*$U$4)/($U$5*$U$3)</f>
        <v>88.16326530612244</v>
      </c>
      <c r="H1924" s="11">
        <f>G1924*COS(RADIANS(D1924))</f>
        <v>87.827777464415107</v>
      </c>
      <c r="I1924" s="11">
        <f>G1924*SIN(RADIANS(D1924))</f>
        <v>7.6839348708139434</v>
      </c>
      <c r="J1924" s="12">
        <v>0.1658</v>
      </c>
      <c r="K1924" s="12">
        <v>69</v>
      </c>
      <c r="L1924" s="12">
        <f>-(F1924*G1924*$U$3)/J1924</f>
        <v>-18.611063243150095</v>
      </c>
      <c r="M1924" s="11">
        <f>ABS(L1924/$U$6)</f>
        <v>5.4259659601020686E-2</v>
      </c>
      <c r="N1924" s="12">
        <f>L1924*SIN(RADIANS(K1924))</f>
        <v>-17.374924360106462</v>
      </c>
      <c r="O1924" s="12">
        <f>L1924*COS(RADIANS(K1924))</f>
        <v>-6.6696085733056076</v>
      </c>
      <c r="P1924" s="5">
        <v>1.3896870890847113</v>
      </c>
      <c r="Q1924" s="5">
        <v>0.33551856271097164</v>
      </c>
      <c r="R1924" s="6">
        <f>P1924/Q1924</f>
        <v>4.1419082087623282</v>
      </c>
    </row>
    <row r="1925" spans="1:18" x14ac:dyDescent="0.35">
      <c r="A1925" s="9">
        <v>1926</v>
      </c>
      <c r="B1925" s="5">
        <v>0.25</v>
      </c>
      <c r="C1925" s="5">
        <v>2000000</v>
      </c>
      <c r="D1925" s="5">
        <v>30</v>
      </c>
      <c r="E1925" s="5">
        <v>0.375</v>
      </c>
      <c r="F1925" s="5">
        <v>0.15</v>
      </c>
      <c r="G1925" s="12">
        <f>(C1925*$U$4)/($U$5*$U$3)</f>
        <v>29.387755102040813</v>
      </c>
      <c r="H1925" s="11">
        <f>G1925*COS(RADIANS(D1925))</f>
        <v>25.450542478563094</v>
      </c>
      <c r="I1925" s="11">
        <f>G1925*SIN(RADIANS(D1925))</f>
        <v>14.693877551020405</v>
      </c>
      <c r="J1925" s="11">
        <v>0.1976</v>
      </c>
      <c r="K1925" s="12">
        <v>78</v>
      </c>
      <c r="L1925" s="12">
        <f>-(F1925*G1925*$U$3)/J1925</f>
        <v>-22.308518549120052</v>
      </c>
      <c r="M1925" s="11">
        <f>ABS(L1925/$U$6)</f>
        <v>6.5039412679650299E-2</v>
      </c>
      <c r="N1925" s="12">
        <f>L1925*SIN(RADIANS(K1925))</f>
        <v>-21.821023894747377</v>
      </c>
      <c r="O1925" s="12">
        <f>L1925*COS(RADIANS(K1925))</f>
        <v>-4.6382018111869003</v>
      </c>
      <c r="P1925" s="5">
        <v>3.2052685476780809</v>
      </c>
      <c r="Q1925" s="5">
        <v>1.1010980276611471</v>
      </c>
      <c r="R1925" s="6">
        <f>P1925/Q1925</f>
        <v>2.9109747426270691</v>
      </c>
    </row>
    <row r="1926" spans="1:18" x14ac:dyDescent="0.35">
      <c r="A1926" s="9">
        <v>1927</v>
      </c>
      <c r="B1926" s="5">
        <v>0.5</v>
      </c>
      <c r="C1926" s="5">
        <v>6000000</v>
      </c>
      <c r="D1926" s="5">
        <v>15</v>
      </c>
      <c r="E1926" s="5">
        <v>0.125</v>
      </c>
      <c r="F1926" s="5">
        <v>7.4999999999999997E-2</v>
      </c>
      <c r="G1926" s="12">
        <f>(C1926*$U$4)/($U$5*$U$3)</f>
        <v>88.16326530612244</v>
      </c>
      <c r="H1926" s="11">
        <f>G1926*COS(RADIANS(D1926))</f>
        <v>85.159174889158663</v>
      </c>
      <c r="I1926" s="11">
        <f>G1926*SIN(RADIANS(D1926))</f>
        <v>22.818332139650806</v>
      </c>
      <c r="J1926" s="12">
        <v>0.23300000000000001</v>
      </c>
      <c r="K1926" s="11">
        <v>27</v>
      </c>
      <c r="L1926" s="12">
        <f>-(F1926*G1926*$U$3)/J1926</f>
        <v>-28.378733467635978</v>
      </c>
      <c r="M1926" s="11">
        <f>ABS(L1926/$U$6)</f>
        <v>8.273683226716029E-2</v>
      </c>
      <c r="N1926" s="12">
        <f>L1926*SIN(RADIANS(K1926))</f>
        <v>-12.883675388947458</v>
      </c>
      <c r="O1926" s="12">
        <f>L1926*COS(RADIANS(K1926))</f>
        <v>-25.285636667866441</v>
      </c>
      <c r="P1926" s="5">
        <v>4.4745123814080188</v>
      </c>
      <c r="Q1926" s="5">
        <v>0.70624629187318122</v>
      </c>
      <c r="R1926" s="6">
        <f>P1926/Q1926</f>
        <v>6.3356260172924141</v>
      </c>
    </row>
    <row r="1927" spans="1:18" x14ac:dyDescent="0.35">
      <c r="A1927" s="9">
        <v>1928</v>
      </c>
      <c r="B1927" s="5">
        <v>1</v>
      </c>
      <c r="C1927" s="5">
        <v>4000000</v>
      </c>
      <c r="D1927" s="5">
        <v>20</v>
      </c>
      <c r="E1927" s="5">
        <v>0.125</v>
      </c>
      <c r="F1927" s="5">
        <v>2.5000000000000001E-2</v>
      </c>
      <c r="G1927" s="12">
        <f>(C1927*$U$4)/($U$5*$U$3)</f>
        <v>58.775510204081627</v>
      </c>
      <c r="H1927" s="11">
        <f>G1927*COS(RADIANS(D1927))</f>
        <v>55.230913221702366</v>
      </c>
      <c r="I1927" s="11">
        <f>G1927*SIN(RADIANS(D1927))</f>
        <v>20.102408424039304</v>
      </c>
      <c r="J1927" s="11">
        <v>0.33379999999999999</v>
      </c>
      <c r="K1927" s="12">
        <v>14</v>
      </c>
      <c r="L1927" s="12">
        <f>-(F1927*G1927*$U$3)/J1927</f>
        <v>-4.4020004646556048</v>
      </c>
      <c r="M1927" s="11">
        <f>ABS(L1927/$U$6)</f>
        <v>1.283382059666357E-2</v>
      </c>
      <c r="N1927" s="12">
        <f>L1927*SIN(RADIANS(K1927))</f>
        <v>-1.0649402968401021</v>
      </c>
      <c r="O1927" s="12">
        <f>L1927*COS(RADIANS(K1927))</f>
        <v>-4.2712422379202843</v>
      </c>
      <c r="P1927" s="5">
        <v>3.5375885450082931</v>
      </c>
      <c r="Q1927" s="5">
        <v>1.1746686638245307</v>
      </c>
      <c r="R1927" s="6">
        <f>P1927/Q1927</f>
        <v>3.0115628806258257</v>
      </c>
    </row>
    <row r="1928" spans="1:18" x14ac:dyDescent="0.35">
      <c r="A1928" s="9">
        <v>1929</v>
      </c>
      <c r="B1928" s="5">
        <v>0.25</v>
      </c>
      <c r="C1928" s="5">
        <v>6000000</v>
      </c>
      <c r="D1928" s="5">
        <v>30</v>
      </c>
      <c r="E1928" s="5">
        <v>0.125</v>
      </c>
      <c r="F1928" s="5">
        <v>1.4999999999999999E-2</v>
      </c>
      <c r="G1928" s="12">
        <f>(C1928*$U$4)/($U$5*$U$3)</f>
        <v>88.16326530612244</v>
      </c>
      <c r="H1928" s="11">
        <f>G1928*COS(RADIANS(D1928))</f>
        <v>76.351627435689281</v>
      </c>
      <c r="I1928" s="11">
        <f>G1928*SIN(RADIANS(D1928))</f>
        <v>44.081632653061213</v>
      </c>
      <c r="J1928" s="11">
        <v>0.19020000000000001</v>
      </c>
      <c r="K1928" s="12">
        <v>46</v>
      </c>
      <c r="L1928" s="12">
        <f>-(F1928*G1928*$U$3)/J1928</f>
        <v>-6.9529389042683309</v>
      </c>
      <c r="M1928" s="11">
        <f>ABS(L1928/$U$6)</f>
        <v>2.0270958904572395E-2</v>
      </c>
      <c r="N1928" s="12">
        <f>L1928*SIN(RADIANS(K1928))</f>
        <v>-5.0015256831632202</v>
      </c>
      <c r="O1928" s="12">
        <f>L1928*COS(RADIANS(K1928))</f>
        <v>-4.8299172091400049</v>
      </c>
      <c r="P1928" s="5">
        <v>2.1766242524318478</v>
      </c>
      <c r="Q1928" s="5">
        <v>0.95082471525195644</v>
      </c>
      <c r="R1928" s="6">
        <f>P1928/Q1928</f>
        <v>2.2891961236567879</v>
      </c>
    </row>
    <row r="1929" spans="1:18" x14ac:dyDescent="0.35">
      <c r="A1929" s="9">
        <v>1930</v>
      </c>
      <c r="B1929" s="5">
        <v>0.5</v>
      </c>
      <c r="C1929" s="5">
        <v>4000000</v>
      </c>
      <c r="D1929" s="5">
        <v>0</v>
      </c>
      <c r="E1929" s="5">
        <v>0.375</v>
      </c>
      <c r="F1929" s="5">
        <v>2.5000000000000001E-2</v>
      </c>
      <c r="G1929" s="12">
        <f>(C1929*$U$4)/($U$5*$U$3)</f>
        <v>58.775510204081627</v>
      </c>
      <c r="H1929" s="11">
        <f>G1929*COS(RADIANS(D1929))</f>
        <v>58.775510204081627</v>
      </c>
      <c r="I1929" s="11">
        <f>G1929*SIN(RADIANS(D1929))</f>
        <v>0</v>
      </c>
      <c r="J1929" s="12">
        <v>0.24809999999999999</v>
      </c>
      <c r="K1929" s="12">
        <v>67</v>
      </c>
      <c r="L1929" s="12">
        <f>-(F1929*G1929*$U$3)/J1929</f>
        <v>-5.9225624953729978</v>
      </c>
      <c r="M1929" s="11">
        <f>ABS(L1929/$U$6)</f>
        <v>1.7266946050650139E-2</v>
      </c>
      <c r="N1929" s="12">
        <f>L1929*SIN(RADIANS(K1929))</f>
        <v>-5.451747521866241</v>
      </c>
      <c r="O1929" s="12">
        <f>L1929*COS(RADIANS(K1929))</f>
        <v>-2.3141295273653402</v>
      </c>
      <c r="P1929" s="5">
        <v>2.8574602071395589</v>
      </c>
      <c r="Q1929" s="5">
        <v>-8.7172040924967609E-2</v>
      </c>
      <c r="R1929" s="6">
        <f>P1929/Q1929</f>
        <v>-32.779549231835546</v>
      </c>
    </row>
    <row r="1930" spans="1:18" x14ac:dyDescent="0.35">
      <c r="A1930" s="9">
        <v>1931</v>
      </c>
      <c r="B1930" s="5">
        <v>1</v>
      </c>
      <c r="C1930" s="5">
        <v>4000000</v>
      </c>
      <c r="D1930" s="5">
        <v>20</v>
      </c>
      <c r="E1930" s="5">
        <v>0</v>
      </c>
      <c r="F1930" s="5">
        <v>0.1</v>
      </c>
      <c r="G1930" s="12">
        <f>(C1930*$U$4)/($U$5*$U$3)</f>
        <v>58.775510204081627</v>
      </c>
      <c r="H1930" s="11">
        <f>G1930*COS(RADIANS(D1930))</f>
        <v>55.230913221702366</v>
      </c>
      <c r="I1930" s="11">
        <f>G1930*SIN(RADIANS(D1930))</f>
        <v>20.102408424039304</v>
      </c>
      <c r="J1930" s="11">
        <v>0.33379999999999999</v>
      </c>
      <c r="K1930" s="12">
        <v>0</v>
      </c>
      <c r="L1930" s="12">
        <f>-(F1930*G1930*$U$3)/J1930</f>
        <v>-17.608001858622419</v>
      </c>
      <c r="M1930" s="11">
        <f>ABS(L1930/$U$6)</f>
        <v>5.1335282386654281E-2</v>
      </c>
      <c r="N1930" s="12">
        <f>L1930*SIN(RADIANS(K1930))</f>
        <v>0</v>
      </c>
      <c r="O1930" s="12">
        <f>L1930*COS(RADIANS(K1930))</f>
        <v>-17.608001858622419</v>
      </c>
      <c r="P1930" s="5">
        <v>1.1445932375045862</v>
      </c>
      <c r="Q1930" s="5">
        <v>1.7683845671375837</v>
      </c>
      <c r="R1930" s="6">
        <f>P1930/Q1930</f>
        <v>0.64725357751639701</v>
      </c>
    </row>
    <row r="1931" spans="1:18" x14ac:dyDescent="0.35">
      <c r="A1931" s="9">
        <v>1932</v>
      </c>
      <c r="B1931" s="5">
        <v>0.25</v>
      </c>
      <c r="C1931" s="5">
        <v>6000000</v>
      </c>
      <c r="D1931" s="5">
        <v>30</v>
      </c>
      <c r="E1931" s="5">
        <v>0.125</v>
      </c>
      <c r="F1931" s="5">
        <v>0</v>
      </c>
      <c r="G1931" s="12">
        <f>(C1931*$U$4)/($U$5*$U$3)</f>
        <v>88.16326530612244</v>
      </c>
      <c r="H1931" s="11">
        <f>G1931*COS(RADIANS(D1931))</f>
        <v>76.351627435689281</v>
      </c>
      <c r="I1931" s="11">
        <f>G1931*SIN(RADIANS(D1931))</f>
        <v>44.081632653061213</v>
      </c>
      <c r="J1931" s="11">
        <v>0.19020000000000001</v>
      </c>
      <c r="K1931" s="12">
        <v>46</v>
      </c>
      <c r="L1931" s="12">
        <f>-(F1931*G1931*$U$3)/J1931</f>
        <v>0</v>
      </c>
      <c r="M1931" s="11">
        <f>ABS(L1931/$U$6)</f>
        <v>0</v>
      </c>
      <c r="N1931" s="12">
        <f>L1931*SIN(RADIANS(K1931))</f>
        <v>0</v>
      </c>
      <c r="O1931" s="12">
        <f>L1931*COS(RADIANS(K1931))</f>
        <v>0</v>
      </c>
      <c r="P1931" s="5">
        <v>2.3730646423726047</v>
      </c>
      <c r="Q1931" s="5">
        <v>1.1227590819675113</v>
      </c>
      <c r="R1931" s="6">
        <f>P1931/Q1931</f>
        <v>2.1136009322802103</v>
      </c>
    </row>
    <row r="1932" spans="1:18" x14ac:dyDescent="0.35">
      <c r="A1932" s="9">
        <v>1933</v>
      </c>
      <c r="B1932" s="5">
        <v>0.5</v>
      </c>
      <c r="C1932" s="5">
        <v>4000000</v>
      </c>
      <c r="D1932" s="5">
        <v>5</v>
      </c>
      <c r="E1932" s="5">
        <v>0.125</v>
      </c>
      <c r="F1932" s="5">
        <v>0.05</v>
      </c>
      <c r="G1932" s="12">
        <f>(C1932*$U$4)/($U$5*$U$3)</f>
        <v>58.775510204081627</v>
      </c>
      <c r="H1932" s="11">
        <f>G1932*COS(RADIANS(D1932))</f>
        <v>58.551851642943404</v>
      </c>
      <c r="I1932" s="11">
        <f>G1932*SIN(RADIANS(D1932))</f>
        <v>5.1226232472092956</v>
      </c>
      <c r="J1932" s="12">
        <v>0.23300000000000001</v>
      </c>
      <c r="K1932" s="11">
        <v>27</v>
      </c>
      <c r="L1932" s="12">
        <f>-(F1932*G1932*$U$3)/J1932</f>
        <v>-12.612770430060435</v>
      </c>
      <c r="M1932" s="11">
        <f>ABS(L1932/$U$6)</f>
        <v>3.6771925452071239E-2</v>
      </c>
      <c r="N1932" s="12">
        <f>L1932*SIN(RADIANS(K1932))</f>
        <v>-5.7260779506433144</v>
      </c>
      <c r="O1932" s="12">
        <f>L1932*COS(RADIANS(K1932))</f>
        <v>-11.238060741273975</v>
      </c>
      <c r="P1932" s="5">
        <v>4.7073123219507549</v>
      </c>
      <c r="Q1932" s="5">
        <v>0.30171224541890324</v>
      </c>
      <c r="R1932" s="6">
        <f>P1932/Q1932</f>
        <v>15.601992936730259</v>
      </c>
    </row>
    <row r="1933" spans="1:18" x14ac:dyDescent="0.35">
      <c r="A1933" s="9">
        <v>1755</v>
      </c>
      <c r="B1933" s="5">
        <v>0.5</v>
      </c>
      <c r="C1933" s="5">
        <v>6000000</v>
      </c>
      <c r="D1933" s="5">
        <v>10</v>
      </c>
      <c r="E1933" s="5">
        <v>0.25</v>
      </c>
      <c r="F1933" s="5">
        <v>0.1</v>
      </c>
      <c r="G1933" s="12">
        <f>(C1933*$U$4)/($U$5*$U$3)</f>
        <v>88.16326530612244</v>
      </c>
      <c r="H1933" s="11">
        <f>G1933*COS(RADIANS(D1933))</f>
        <v>86.823867204341596</v>
      </c>
      <c r="I1933" s="11">
        <f>G1933*SIN(RADIANS(D1933))</f>
        <v>15.309390357574264</v>
      </c>
      <c r="J1933" s="20">
        <v>0.23580000000000001</v>
      </c>
      <c r="K1933" s="20">
        <v>49</v>
      </c>
      <c r="L1933" s="12">
        <f>-(F1933*G1933*$U$3)/J1933</f>
        <v>-37.389001402087544</v>
      </c>
      <c r="M1933" s="11">
        <f>ABS(L1933/$U$6)</f>
        <v>0.10900583499150887</v>
      </c>
      <c r="N1933" s="12">
        <f>L1933*SIN(RADIANS(K1933))</f>
        <v>-28.217837553118123</v>
      </c>
      <c r="O1933" s="12">
        <f>L1933*COS(RADIANS(K1933))</f>
        <v>-24.529391954778269</v>
      </c>
      <c r="P1933" s="5">
        <v>5.0122891563678502</v>
      </c>
      <c r="Q1933" s="5">
        <v>0.23539799749164542</v>
      </c>
      <c r="R1933" s="6">
        <f>P1933/Q1933</f>
        <v>21.292828357835724</v>
      </c>
    </row>
    <row r="1934" spans="1:18" x14ac:dyDescent="0.35">
      <c r="A1934" s="9">
        <v>1935</v>
      </c>
      <c r="B1934" s="5">
        <v>0.1</v>
      </c>
      <c r="C1934" s="5">
        <v>4000000</v>
      </c>
      <c r="D1934" s="5">
        <v>5</v>
      </c>
      <c r="E1934" s="5">
        <v>0.375</v>
      </c>
      <c r="F1934" s="5">
        <v>2.5000000000000001E-2</v>
      </c>
      <c r="G1934" s="12">
        <f>(C1934*$U$4)/($U$5*$U$3)</f>
        <v>58.775510204081627</v>
      </c>
      <c r="H1934" s="11">
        <f>G1934*COS(RADIANS(D1934))</f>
        <v>58.551851642943404</v>
      </c>
      <c r="I1934" s="11">
        <f>G1934*SIN(RADIANS(D1934))</f>
        <v>5.1226232472092956</v>
      </c>
      <c r="J1934" s="12">
        <v>0.16789999999999999</v>
      </c>
      <c r="K1934" s="11">
        <v>85</v>
      </c>
      <c r="L1934" s="12">
        <f>-(F1934*G1934*$U$3)/J1934</f>
        <v>-8.7515649499823756</v>
      </c>
      <c r="M1934" s="11">
        <f>ABS(L1934/$U$6)</f>
        <v>2.5514766618024418E-2</v>
      </c>
      <c r="N1934" s="12">
        <f>L1934*SIN(RADIANS(K1934))</f>
        <v>-8.718262603177994</v>
      </c>
      <c r="O1934" s="12">
        <f>L1934*COS(RADIANS(K1934))</f>
        <v>-0.7627491434200856</v>
      </c>
      <c r="P1934" s="5">
        <v>1.729842478319604</v>
      </c>
      <c r="Q1934" s="5">
        <v>0.33713349548889693</v>
      </c>
      <c r="R1934" s="6">
        <f>P1934/Q1934</f>
        <v>5.1310311833923787</v>
      </c>
    </row>
    <row r="1935" spans="1:18" x14ac:dyDescent="0.35">
      <c r="A1935" s="9">
        <v>1936</v>
      </c>
      <c r="B1935" s="5">
        <v>0.1</v>
      </c>
      <c r="C1935" s="5">
        <v>2000000</v>
      </c>
      <c r="D1935" s="5">
        <v>5</v>
      </c>
      <c r="E1935" s="5">
        <v>0</v>
      </c>
      <c r="F1935" s="5">
        <v>0</v>
      </c>
      <c r="G1935" s="12">
        <f>(C1935*$U$4)/($U$5*$U$3)</f>
        <v>29.387755102040813</v>
      </c>
      <c r="H1935" s="11">
        <f>G1935*COS(RADIANS(D1935))</f>
        <v>29.275925821471702</v>
      </c>
      <c r="I1935" s="11">
        <f>G1935*SIN(RADIANS(D1935))</f>
        <v>2.5613116236046478</v>
      </c>
      <c r="J1935" s="11">
        <v>0.16569999999999999</v>
      </c>
      <c r="K1935" s="12">
        <v>0</v>
      </c>
      <c r="L1935" s="12">
        <f>-(F1935*G1935*$U$3)/J1935</f>
        <v>0</v>
      </c>
      <c r="M1935" s="11">
        <f>ABS(L1935/$U$6)</f>
        <v>0</v>
      </c>
      <c r="N1935" s="12">
        <f>L1935*SIN(RADIANS(K1935))</f>
        <v>0</v>
      </c>
      <c r="O1935" s="12">
        <f>L1935*COS(RADIANS(K1935))</f>
        <v>0</v>
      </c>
      <c r="P1935" s="5">
        <v>1.1999272526940123</v>
      </c>
      <c r="Q1935" s="5">
        <v>0.32809476166214296</v>
      </c>
      <c r="R1935" s="6">
        <f>P1935/Q1935</f>
        <v>3.6572581854557091</v>
      </c>
    </row>
    <row r="1936" spans="1:18" x14ac:dyDescent="0.35">
      <c r="A1936" s="9">
        <v>1937</v>
      </c>
      <c r="B1936" s="5">
        <v>0.25</v>
      </c>
      <c r="C1936" s="5">
        <v>6000000</v>
      </c>
      <c r="D1936" s="5">
        <v>30</v>
      </c>
      <c r="E1936" s="5">
        <v>0.25</v>
      </c>
      <c r="F1936" s="5">
        <v>0</v>
      </c>
      <c r="G1936" s="12">
        <f>(C1936*$U$4)/($U$5*$U$3)</f>
        <v>88.16326530612244</v>
      </c>
      <c r="H1936" s="11">
        <f>G1936*COS(RADIANS(D1936))</f>
        <v>76.351627435689281</v>
      </c>
      <c r="I1936" s="11">
        <f>G1936*SIN(RADIANS(D1936))</f>
        <v>44.081632653061213</v>
      </c>
      <c r="J1936" s="12">
        <v>0.1913</v>
      </c>
      <c r="K1936" s="11">
        <v>67</v>
      </c>
      <c r="L1936" s="12">
        <f>-(F1936*G1936*$U$3)/J1936</f>
        <v>0</v>
      </c>
      <c r="M1936" s="11">
        <f>ABS(L1936/$U$6)</f>
        <v>0</v>
      </c>
      <c r="N1936" s="12">
        <f>L1936*SIN(RADIANS(K1936))</f>
        <v>0</v>
      </c>
      <c r="O1936" s="12">
        <f>L1936*COS(RADIANS(K1936))</f>
        <v>0</v>
      </c>
      <c r="P1936" s="5">
        <v>2.5779605930347307</v>
      </c>
      <c r="Q1936" s="5">
        <v>1.2098386293464958</v>
      </c>
      <c r="R1936" s="6">
        <f>P1936/Q1936</f>
        <v>2.1308301210610519</v>
      </c>
    </row>
    <row r="1937" spans="1:18" x14ac:dyDescent="0.35">
      <c r="A1937" s="9">
        <v>1938</v>
      </c>
      <c r="B1937" s="5">
        <v>1</v>
      </c>
      <c r="C1937" s="5">
        <v>2000000</v>
      </c>
      <c r="D1937" s="5">
        <v>30</v>
      </c>
      <c r="E1937" s="5">
        <v>0.25</v>
      </c>
      <c r="F1937" s="5">
        <v>2.5000000000000001E-2</v>
      </c>
      <c r="G1937" s="12">
        <f>(C1937*$U$4)/($U$5*$U$3)</f>
        <v>29.387755102040813</v>
      </c>
      <c r="H1937" s="11">
        <f>G1937*COS(RADIANS(D1937))</f>
        <v>25.450542478563094</v>
      </c>
      <c r="I1937" s="11">
        <f>G1937*SIN(RADIANS(D1937))</f>
        <v>14.693877551020405</v>
      </c>
      <c r="J1937" s="13">
        <v>0.33379999999999999</v>
      </c>
      <c r="K1937" s="12">
        <v>30</v>
      </c>
      <c r="L1937" s="12">
        <f>-(F1937*G1937*$U$3)/J1937</f>
        <v>-2.2010002323278024</v>
      </c>
      <c r="M1937" s="11">
        <f>ABS(L1937/$U$6)</f>
        <v>6.4169102983317851E-3</v>
      </c>
      <c r="N1937" s="12">
        <f>L1937*SIN(RADIANS(K1937))</f>
        <v>-1.100500116163901</v>
      </c>
      <c r="O1937" s="12">
        <f>L1937*COS(RADIANS(K1937))</f>
        <v>-1.9061221149313285</v>
      </c>
      <c r="P1937" s="5">
        <v>4.4852458020854531</v>
      </c>
      <c r="Q1937" s="5">
        <v>1.3858706902614333</v>
      </c>
      <c r="R1937" s="6">
        <f>P1937/Q1937</f>
        <v>3.2364100298847851</v>
      </c>
    </row>
    <row r="1938" spans="1:18" x14ac:dyDescent="0.35">
      <c r="A1938" s="9">
        <v>1939</v>
      </c>
      <c r="B1938" s="5">
        <v>0.25</v>
      </c>
      <c r="C1938" s="5">
        <v>6000000</v>
      </c>
      <c r="D1938" s="5">
        <v>10</v>
      </c>
      <c r="E1938" s="5">
        <v>0.125</v>
      </c>
      <c r="F1938" s="5">
        <v>2.5000000000000001E-2</v>
      </c>
      <c r="G1938" s="12">
        <f>(C1938*$U$4)/($U$5*$U$3)</f>
        <v>88.16326530612244</v>
      </c>
      <c r="H1938" s="11">
        <f>G1938*COS(RADIANS(D1938))</f>
        <v>86.823867204341596</v>
      </c>
      <c r="I1938" s="11">
        <f>G1938*SIN(RADIANS(D1938))</f>
        <v>15.309390357574264</v>
      </c>
      <c r="J1938" s="11">
        <v>0.19020000000000001</v>
      </c>
      <c r="K1938" s="12">
        <v>46</v>
      </c>
      <c r="L1938" s="12">
        <f>-(F1938*G1938*$U$3)/J1938</f>
        <v>-11.588231507113885</v>
      </c>
      <c r="M1938" s="11">
        <f>ABS(L1938/$U$6)</f>
        <v>3.3784931507620658E-2</v>
      </c>
      <c r="N1938" s="12">
        <f>L1938*SIN(RADIANS(K1938))</f>
        <v>-8.3358761386053679</v>
      </c>
      <c r="O1938" s="12">
        <f>L1938*COS(RADIANS(K1938))</f>
        <v>-8.0498620152333409</v>
      </c>
      <c r="P1938" s="5">
        <v>2.1056145747308728</v>
      </c>
      <c r="Q1938" s="5">
        <v>0.45166676361709884</v>
      </c>
      <c r="R1938" s="6">
        <f>P1938/Q1938</f>
        <v>4.6618762865533991</v>
      </c>
    </row>
    <row r="1939" spans="1:18" x14ac:dyDescent="0.35">
      <c r="A1939" s="9">
        <v>1940</v>
      </c>
      <c r="B1939" s="5">
        <v>0.75</v>
      </c>
      <c r="C1939" s="5">
        <v>4000000</v>
      </c>
      <c r="D1939" s="5">
        <v>10</v>
      </c>
      <c r="E1939" s="5">
        <v>0.25</v>
      </c>
      <c r="F1939" s="5">
        <v>1.4999999999999999E-2</v>
      </c>
      <c r="G1939" s="12">
        <f>(C1939*$U$4)/($U$5*$U$3)</f>
        <v>58.775510204081627</v>
      </c>
      <c r="H1939" s="11">
        <f>G1939*COS(RADIANS(D1939))</f>
        <v>57.882578136227728</v>
      </c>
      <c r="I1939" s="11">
        <f>G1939*SIN(RADIANS(D1939))</f>
        <v>10.206260238382843</v>
      </c>
      <c r="J1939" s="12">
        <v>0.28370000000000001</v>
      </c>
      <c r="K1939" s="11">
        <v>38</v>
      </c>
      <c r="L1939" s="12">
        <f>-(F1939*G1939*$U$3)/J1939</f>
        <v>-3.1076230280621231</v>
      </c>
      <c r="M1939" s="11">
        <f>ABS(L1939/$U$6)</f>
        <v>9.0601254462452565E-3</v>
      </c>
      <c r="N1939" s="12">
        <f>L1939*SIN(RADIANS(K1939))</f>
        <v>-1.9132437782127163</v>
      </c>
      <c r="O1939" s="12">
        <f>L1939*COS(RADIANS(K1939))</f>
        <v>-2.4488403642688366</v>
      </c>
      <c r="P1939" s="5">
        <v>4.5893510889778586</v>
      </c>
      <c r="Q1939" s="5">
        <v>0.33798592715493048</v>
      </c>
      <c r="R1939" s="6">
        <f>P1939/Q1939</f>
        <v>13.57852715232765</v>
      </c>
    </row>
    <row r="1940" spans="1:18" x14ac:dyDescent="0.35">
      <c r="A1940" s="9">
        <v>1941</v>
      </c>
      <c r="B1940" s="5">
        <v>1</v>
      </c>
      <c r="C1940" s="5">
        <v>4000000</v>
      </c>
      <c r="D1940" s="5">
        <v>15</v>
      </c>
      <c r="E1940" s="5">
        <v>0.125</v>
      </c>
      <c r="F1940" s="5">
        <v>0.05</v>
      </c>
      <c r="G1940" s="12">
        <f>(C1940*$U$4)/($U$5*$U$3)</f>
        <v>58.775510204081627</v>
      </c>
      <c r="H1940" s="11">
        <f>G1940*COS(RADIANS(D1940))</f>
        <v>56.772783259439109</v>
      </c>
      <c r="I1940" s="11">
        <f>G1940*SIN(RADIANS(D1940))</f>
        <v>15.212221426433871</v>
      </c>
      <c r="J1940" s="11">
        <v>0.33379999999999999</v>
      </c>
      <c r="K1940" s="12">
        <v>14</v>
      </c>
      <c r="L1940" s="12">
        <f>-(F1940*G1940*$U$3)/J1940</f>
        <v>-8.8040009293112096</v>
      </c>
      <c r="M1940" s="11">
        <f>ABS(L1940/$U$6)</f>
        <v>2.566764119332714E-2</v>
      </c>
      <c r="N1940" s="12">
        <f>L1940*SIN(RADIANS(K1940))</f>
        <v>-2.1298805936802041</v>
      </c>
      <c r="O1940" s="12">
        <f>L1940*COS(RADIANS(K1940))</f>
        <v>-8.5424844758405687</v>
      </c>
      <c r="P1940" s="5">
        <v>4.5577894406131021</v>
      </c>
      <c r="Q1940" s="5">
        <v>0.70169099952604808</v>
      </c>
      <c r="R1940" s="6">
        <f>P1940/Q1940</f>
        <v>6.495436657576664</v>
      </c>
    </row>
    <row r="1941" spans="1:18" x14ac:dyDescent="0.35">
      <c r="A1941" s="9">
        <v>1942</v>
      </c>
      <c r="B1941" s="5">
        <v>0.5</v>
      </c>
      <c r="C1941" s="5">
        <v>4000000</v>
      </c>
      <c r="D1941" s="5">
        <v>5</v>
      </c>
      <c r="E1941" s="5">
        <v>0.25</v>
      </c>
      <c r="F1941" s="5">
        <v>3.5000000000000003E-2</v>
      </c>
      <c r="G1941" s="12">
        <f>(C1941*$U$4)/($U$5*$U$3)</f>
        <v>58.775510204081627</v>
      </c>
      <c r="H1941" s="11">
        <f>G1941*COS(RADIANS(D1941))</f>
        <v>58.551851642943404</v>
      </c>
      <c r="I1941" s="11">
        <f>G1941*SIN(RADIANS(D1941))</f>
        <v>5.1226232472092956</v>
      </c>
      <c r="J1941" s="11">
        <v>0.23580000000000001</v>
      </c>
      <c r="K1941" s="11">
        <v>49</v>
      </c>
      <c r="L1941" s="12">
        <f>-(F1941*G1941*$U$3)/J1941</f>
        <v>-8.7241003271537618</v>
      </c>
      <c r="M1941" s="11">
        <f>ABS(L1941/$U$6)</f>
        <v>2.5434694831352075E-2</v>
      </c>
      <c r="N1941" s="12">
        <f>L1941*SIN(RADIANS(K1941))</f>
        <v>-6.5841620957275637</v>
      </c>
      <c r="O1941" s="12">
        <f>L1941*COS(RADIANS(K1941))</f>
        <v>-5.7235247894482635</v>
      </c>
      <c r="P1941" s="5">
        <v>2.6422211336303998</v>
      </c>
      <c r="Q1941" s="5">
        <v>0.24386817742673186</v>
      </c>
      <c r="R1941" s="6">
        <f>P1941/Q1941</f>
        <v>10.83462861579893</v>
      </c>
    </row>
    <row r="1942" spans="1:18" x14ac:dyDescent="0.35">
      <c r="A1942" s="9">
        <v>1951</v>
      </c>
      <c r="B1942" s="5">
        <v>0.5</v>
      </c>
      <c r="C1942" s="5">
        <v>4000000</v>
      </c>
      <c r="D1942" s="5">
        <v>15</v>
      </c>
      <c r="E1942" s="5">
        <v>0.25</v>
      </c>
      <c r="F1942" s="5">
        <v>0.15</v>
      </c>
      <c r="G1942" s="12">
        <f>(C1942*$U$4)/($U$5*$U$3)</f>
        <v>58.775510204081627</v>
      </c>
      <c r="H1942" s="11">
        <f>G1942*COS(RADIANS(D1942))</f>
        <v>56.772783259439109</v>
      </c>
      <c r="I1942" s="11">
        <f>G1942*SIN(RADIANS(D1942))</f>
        <v>15.212221426433871</v>
      </c>
      <c r="J1942" s="20">
        <v>0.23580000000000001</v>
      </c>
      <c r="K1942" s="11">
        <v>49</v>
      </c>
      <c r="L1942" s="12">
        <f>-(F1942*G1942*$U$3)/J1942</f>
        <v>-37.389001402087544</v>
      </c>
      <c r="M1942" s="11">
        <f>ABS(L1942/$U$6)</f>
        <v>0.10900583499150887</v>
      </c>
      <c r="N1942" s="12">
        <f>L1942*SIN(RADIANS(K1942))</f>
        <v>-28.217837553118123</v>
      </c>
      <c r="O1942" s="12">
        <f>L1942*COS(RADIANS(K1942))</f>
        <v>-24.529391954778269</v>
      </c>
      <c r="P1942" s="5">
        <v>5.7159570265562625</v>
      </c>
      <c r="Q1942" s="5">
        <v>0.55323985711149248</v>
      </c>
      <c r="R1942" s="6">
        <f>P1942/Q1942</f>
        <v>10.331788198340789</v>
      </c>
    </row>
    <row r="1943" spans="1:18" x14ac:dyDescent="0.35">
      <c r="A1943" s="9">
        <v>1944</v>
      </c>
      <c r="B1943" s="5">
        <v>1</v>
      </c>
      <c r="C1943" s="5">
        <v>4000000</v>
      </c>
      <c r="D1943" s="5">
        <v>5</v>
      </c>
      <c r="E1943" s="5">
        <v>0.25</v>
      </c>
      <c r="F1943" s="5">
        <v>1.4999999999999999E-2</v>
      </c>
      <c r="G1943" s="12">
        <f>(C1943*$U$4)/($U$5*$U$3)</f>
        <v>58.775510204081627</v>
      </c>
      <c r="H1943" s="11">
        <f>G1943*COS(RADIANS(D1943))</f>
        <v>58.551851642943404</v>
      </c>
      <c r="I1943" s="11">
        <f>G1943*SIN(RADIANS(D1943))</f>
        <v>5.1226232472092956</v>
      </c>
      <c r="J1943" s="13">
        <v>0.33379999999999999</v>
      </c>
      <c r="K1943" s="12">
        <v>30</v>
      </c>
      <c r="L1943" s="12">
        <f>-(F1943*G1943*$U$3)/J1943</f>
        <v>-2.6412002787933626</v>
      </c>
      <c r="M1943" s="11">
        <f>ABS(L1943/$U$6)</f>
        <v>7.7002923579981416E-3</v>
      </c>
      <c r="N1943" s="12">
        <f>L1943*SIN(RADIANS(K1943))</f>
        <v>-1.3206001393966811</v>
      </c>
      <c r="O1943" s="12">
        <f>L1943*COS(RADIANS(K1943))</f>
        <v>-2.2873465379175939</v>
      </c>
      <c r="P1943" s="5">
        <v>3.5607572606435465</v>
      </c>
      <c r="Q1943" s="5">
        <v>0.70204242385493809</v>
      </c>
      <c r="R1943" s="6">
        <f>P1943/Q1943</f>
        <v>5.0719972748816389</v>
      </c>
    </row>
    <row r="1944" spans="1:18" x14ac:dyDescent="0.35">
      <c r="A1944" s="9">
        <v>1945</v>
      </c>
      <c r="B1944" s="5">
        <v>0.75</v>
      </c>
      <c r="C1944" s="5">
        <v>2000000</v>
      </c>
      <c r="D1944" s="5">
        <v>20</v>
      </c>
      <c r="E1944" s="5">
        <v>0</v>
      </c>
      <c r="F1944" s="5">
        <v>3.5000000000000003E-2</v>
      </c>
      <c r="G1944" s="12">
        <f>(C1944*$U$4)/($U$5*$U$3)</f>
        <v>29.387755102040813</v>
      </c>
      <c r="H1944" s="11">
        <f>G1944*COS(RADIANS(D1944))</f>
        <v>27.615456610851183</v>
      </c>
      <c r="I1944" s="11">
        <f>G1944*SIN(RADIANS(D1944))</f>
        <v>10.051204212019652</v>
      </c>
      <c r="J1944" s="11">
        <v>0.27929999999999999</v>
      </c>
      <c r="K1944" s="12">
        <v>0</v>
      </c>
      <c r="L1944" s="12">
        <f>-(F1944*G1944*$U$3)/J1944</f>
        <v>-3.6826760779499765</v>
      </c>
      <c r="M1944" s="11">
        <f>ABS(L1944/$U$6)</f>
        <v>1.0736664950291477E-2</v>
      </c>
      <c r="N1944" s="12">
        <f>L1944*SIN(RADIANS(K1944))</f>
        <v>0</v>
      </c>
      <c r="O1944" s="12">
        <f>L1944*COS(RADIANS(K1944))</f>
        <v>-3.6826760779499765</v>
      </c>
      <c r="P1944" s="5">
        <v>4.4676883397325149</v>
      </c>
      <c r="Q1944" s="5">
        <v>1.292359202762887</v>
      </c>
      <c r="R1944" s="6">
        <f>P1944/Q1944</f>
        <v>3.4570019930845923</v>
      </c>
    </row>
    <row r="1945" spans="1:18" x14ac:dyDescent="0.35">
      <c r="A1945" s="9">
        <v>1946</v>
      </c>
      <c r="B1945" s="5">
        <v>0.5</v>
      </c>
      <c r="C1945" s="5">
        <v>4000000</v>
      </c>
      <c r="D1945" s="5">
        <v>10</v>
      </c>
      <c r="E1945" s="5">
        <v>0.25</v>
      </c>
      <c r="F1945" s="5">
        <v>2.5000000000000001E-2</v>
      </c>
      <c r="G1945" s="12">
        <f>(C1945*$U$4)/($U$5*$U$3)</f>
        <v>58.775510204081627</v>
      </c>
      <c r="H1945" s="11">
        <f>G1945*COS(RADIANS(D1945))</f>
        <v>57.882578136227728</v>
      </c>
      <c r="I1945" s="11">
        <f>G1945*SIN(RADIANS(D1945))</f>
        <v>10.206260238382843</v>
      </c>
      <c r="J1945" s="11">
        <v>0.23580000000000001</v>
      </c>
      <c r="K1945" s="11">
        <v>49</v>
      </c>
      <c r="L1945" s="12">
        <f>-(F1945*G1945*$U$3)/J1945</f>
        <v>-6.2315002336812579</v>
      </c>
      <c r="M1945" s="11">
        <f>ABS(L1945/$U$6)</f>
        <v>1.8167639165251482E-2</v>
      </c>
      <c r="N1945" s="12">
        <f>L1945*SIN(RADIANS(K1945))</f>
        <v>-4.7029729255196875</v>
      </c>
      <c r="O1945" s="12">
        <f>L1945*COS(RADIANS(K1945))</f>
        <v>-4.0882319924630455</v>
      </c>
      <c r="P1945" s="5">
        <v>2.6594338298089095</v>
      </c>
      <c r="Q1945" s="5">
        <v>0.50260880005262121</v>
      </c>
      <c r="R1945" s="6">
        <f>P1945/Q1945</f>
        <v>5.2912599809841714</v>
      </c>
    </row>
    <row r="1946" spans="1:18" x14ac:dyDescent="0.35">
      <c r="A1946" s="9">
        <v>1947</v>
      </c>
      <c r="B1946" s="5">
        <v>1</v>
      </c>
      <c r="C1946" s="5">
        <v>2000000</v>
      </c>
      <c r="D1946" s="5">
        <v>10</v>
      </c>
      <c r="E1946" s="5">
        <v>0.25</v>
      </c>
      <c r="F1946" s="5">
        <v>1.4999999999999999E-2</v>
      </c>
      <c r="G1946" s="12">
        <f>(C1946*$U$4)/($U$5*$U$3)</f>
        <v>29.387755102040813</v>
      </c>
      <c r="H1946" s="11">
        <f>G1946*COS(RADIANS(D1946))</f>
        <v>28.941289068113864</v>
      </c>
      <c r="I1946" s="11">
        <f>G1946*SIN(RADIANS(D1946))</f>
        <v>5.1031301191914213</v>
      </c>
      <c r="J1946" s="13">
        <v>0.33379999999999999</v>
      </c>
      <c r="K1946" s="12">
        <v>30</v>
      </c>
      <c r="L1946" s="12">
        <f>-(F1946*G1946*$U$3)/J1946</f>
        <v>-1.3206001393966813</v>
      </c>
      <c r="M1946" s="11">
        <f>ABS(L1946/$U$6)</f>
        <v>3.8501461789990708E-3</v>
      </c>
      <c r="N1946" s="12">
        <f>L1946*SIN(RADIANS(K1946))</f>
        <v>-0.66030006969834054</v>
      </c>
      <c r="O1946" s="12">
        <f>L1946*COS(RADIANS(K1946))</f>
        <v>-1.143673268958797</v>
      </c>
      <c r="P1946" s="5">
        <v>3.6007268989851933</v>
      </c>
      <c r="Q1946" s="5">
        <v>0.85466787474038175</v>
      </c>
      <c r="R1946" s="6">
        <f>P1946/Q1946</f>
        <v>4.2130130374667099</v>
      </c>
    </row>
    <row r="1947" spans="1:18" x14ac:dyDescent="0.35">
      <c r="A1947" s="9">
        <v>1948</v>
      </c>
      <c r="B1947" s="5">
        <v>0.5</v>
      </c>
      <c r="C1947" s="5">
        <v>2000000</v>
      </c>
      <c r="D1947" s="5">
        <v>5</v>
      </c>
      <c r="E1947" s="5">
        <v>0.25</v>
      </c>
      <c r="F1947" s="5">
        <v>1.4999999999999999E-2</v>
      </c>
      <c r="G1947" s="12">
        <f>(C1947*$U$4)/($U$5*$U$3)</f>
        <v>29.387755102040813</v>
      </c>
      <c r="H1947" s="11">
        <f>G1947*COS(RADIANS(D1947))</f>
        <v>29.275925821471702</v>
      </c>
      <c r="I1947" s="11">
        <f>G1947*SIN(RADIANS(D1947))</f>
        <v>2.5613116236046478</v>
      </c>
      <c r="J1947" s="11">
        <v>0.23580000000000001</v>
      </c>
      <c r="K1947" s="11">
        <v>49</v>
      </c>
      <c r="L1947" s="12">
        <f>-(F1947*G1947*$U$3)/J1947</f>
        <v>-1.8694500701043775</v>
      </c>
      <c r="M1947" s="11">
        <f>ABS(L1947/$U$6)</f>
        <v>5.4502917495754446E-3</v>
      </c>
      <c r="N1947" s="12">
        <f>L1947*SIN(RADIANS(K1947))</f>
        <v>-1.4108918776559065</v>
      </c>
      <c r="O1947" s="12">
        <f>L1947*COS(RADIANS(K1947))</f>
        <v>-1.2264695977389137</v>
      </c>
      <c r="P1947" s="5">
        <v>3.6174596783966009</v>
      </c>
      <c r="Q1947" s="5">
        <v>0.23328552378997028</v>
      </c>
      <c r="R1947" s="6">
        <f>P1947/Q1947</f>
        <v>15.506575888752714</v>
      </c>
    </row>
    <row r="1948" spans="1:18" x14ac:dyDescent="0.35">
      <c r="A1948" s="9">
        <v>1949</v>
      </c>
      <c r="B1948" s="5">
        <v>0.1</v>
      </c>
      <c r="C1948" s="5">
        <v>2000000</v>
      </c>
      <c r="D1948" s="5">
        <v>0</v>
      </c>
      <c r="E1948" s="5">
        <v>0.125</v>
      </c>
      <c r="F1948" s="5">
        <v>0.05</v>
      </c>
      <c r="G1948" s="12">
        <f>(C1948*$U$4)/($U$5*$U$3)</f>
        <v>29.387755102040813</v>
      </c>
      <c r="H1948" s="11">
        <f>G1948*COS(RADIANS(D1948))</f>
        <v>29.387755102040813</v>
      </c>
      <c r="I1948" s="11">
        <f>G1948*SIN(RADIANS(D1948))</f>
        <v>0</v>
      </c>
      <c r="J1948" s="12">
        <v>0.1658</v>
      </c>
      <c r="K1948" s="12">
        <v>69</v>
      </c>
      <c r="L1948" s="12">
        <f>-(F1948*G1948*$U$3)/J1948</f>
        <v>-8.8624110681667112</v>
      </c>
      <c r="M1948" s="11">
        <f>ABS(L1948/$U$6)</f>
        <v>2.5837933143343182E-2</v>
      </c>
      <c r="N1948" s="12">
        <f>L1948*SIN(RADIANS(K1948))</f>
        <v>-8.2737735048125991</v>
      </c>
      <c r="O1948" s="12">
        <f>L1948*COS(RADIANS(K1948))</f>
        <v>-3.1760040825264797</v>
      </c>
      <c r="P1948" s="5">
        <v>1.2907001237679072</v>
      </c>
      <c r="Q1948" s="5">
        <v>0.2420940799847528</v>
      </c>
      <c r="R1948" s="6">
        <f>P1948/Q1948</f>
        <v>5.3313989497355578</v>
      </c>
    </row>
    <row r="1949" spans="1:18" x14ac:dyDescent="0.35">
      <c r="A1949" s="9">
        <v>1950</v>
      </c>
      <c r="B1949" s="5">
        <v>0.1</v>
      </c>
      <c r="C1949" s="5">
        <v>2000000</v>
      </c>
      <c r="D1949" s="5">
        <v>20</v>
      </c>
      <c r="E1949" s="5">
        <v>0.25</v>
      </c>
      <c r="F1949" s="5">
        <v>1.4999999999999999E-2</v>
      </c>
      <c r="G1949" s="12">
        <f>(C1949*$U$4)/($U$5*$U$3)</f>
        <v>29.387755102040813</v>
      </c>
      <c r="H1949" s="11">
        <f>G1949*COS(RADIANS(D1949))</f>
        <v>27.615456610851183</v>
      </c>
      <c r="I1949" s="11">
        <f>G1949*SIN(RADIANS(D1949))</f>
        <v>10.051204212019652</v>
      </c>
      <c r="J1949" s="11">
        <v>0.1661</v>
      </c>
      <c r="K1949" s="12">
        <v>80</v>
      </c>
      <c r="L1949" s="12">
        <f>-(F1949*G1949*$U$3)/J1949</f>
        <v>-2.6539212915750285</v>
      </c>
      <c r="M1949" s="11">
        <f>ABS(L1949/$U$6)</f>
        <v>7.7373798588193255E-3</v>
      </c>
      <c r="N1949" s="12">
        <f>L1949*SIN(RADIANS(K1949))</f>
        <v>-2.6136022638272607</v>
      </c>
      <c r="O1949" s="12">
        <f>L1949*COS(RADIANS(K1949))</f>
        <v>-0.46084859595347</v>
      </c>
      <c r="P1949" s="5">
        <v>1.4036515316646865</v>
      </c>
      <c r="Q1949" s="5">
        <v>0.73843507049355583</v>
      </c>
      <c r="R1949" s="6">
        <f>P1949/Q1949</f>
        <v>1.900846246003068</v>
      </c>
    </row>
    <row r="1950" spans="1:18" x14ac:dyDescent="0.35">
      <c r="A1950" s="9">
        <v>190</v>
      </c>
      <c r="B1950" s="5">
        <v>0.5</v>
      </c>
      <c r="C1950" s="5">
        <v>6000000</v>
      </c>
      <c r="D1950" s="5">
        <v>30</v>
      </c>
      <c r="E1950" s="5">
        <v>0.375</v>
      </c>
      <c r="F1950" s="5">
        <v>0.1</v>
      </c>
      <c r="G1950" s="12">
        <f>(C1950*$U$4)/($U$5*$U$3)</f>
        <v>88.16326530612244</v>
      </c>
      <c r="H1950" s="11">
        <f>G1950*COS(RADIANS(D1950))</f>
        <v>76.351627435689281</v>
      </c>
      <c r="I1950" s="11">
        <f>G1950*SIN(RADIANS(D1950))</f>
        <v>44.081632653061213</v>
      </c>
      <c r="J1950" s="19">
        <v>0.24809999999999999</v>
      </c>
      <c r="K1950" s="19">
        <v>67</v>
      </c>
      <c r="L1950" s="12">
        <f>-(F1950*G1950*$U$3)/J1950</f>
        <v>-35.535374972237989</v>
      </c>
      <c r="M1950" s="11">
        <f>ABS(L1950/$U$6)</f>
        <v>0.10360167630390084</v>
      </c>
      <c r="N1950" s="12">
        <f>L1950*SIN(RADIANS(K1950))</f>
        <v>-32.710485131197444</v>
      </c>
      <c r="O1950" s="12">
        <f>L1950*COS(RADIANS(K1950))</f>
        <v>-13.884777164192043</v>
      </c>
      <c r="P1950" s="5">
        <v>4.4458427565198777</v>
      </c>
      <c r="Q1950" s="5">
        <v>1.21583079600789</v>
      </c>
      <c r="R1950" s="6">
        <f>P1950/Q1950</f>
        <v>3.656629500681793</v>
      </c>
    </row>
    <row r="1951" spans="1:18" x14ac:dyDescent="0.35">
      <c r="A1951" s="9">
        <v>1952</v>
      </c>
      <c r="B1951" s="5">
        <v>1</v>
      </c>
      <c r="C1951" s="5">
        <v>2000000</v>
      </c>
      <c r="D1951" s="5">
        <v>30</v>
      </c>
      <c r="E1951" s="5">
        <v>0.375</v>
      </c>
      <c r="F1951" s="5">
        <v>1.4999999999999999E-2</v>
      </c>
      <c r="G1951" s="12">
        <f>(C1951*$U$4)/($U$5*$U$3)</f>
        <v>29.387755102040813</v>
      </c>
      <c r="H1951" s="11">
        <f>G1951*COS(RADIANS(D1951))</f>
        <v>25.450542478563094</v>
      </c>
      <c r="I1951" s="11">
        <f>G1951*SIN(RADIANS(D1951))</f>
        <v>14.693877551020405</v>
      </c>
      <c r="J1951" s="12">
        <v>0.33379999999999999</v>
      </c>
      <c r="K1951" s="11">
        <v>49</v>
      </c>
      <c r="L1951" s="12">
        <f>-(F1951*G1951*$U$3)/J1951</f>
        <v>-1.3206001393966813</v>
      </c>
      <c r="M1951" s="11">
        <f>ABS(L1951/$U$6)</f>
        <v>3.8501461789990708E-3</v>
      </c>
      <c r="N1951" s="12">
        <f>L1951*SIN(RADIANS(K1951))</f>
        <v>-0.99666957684620361</v>
      </c>
      <c r="O1951" s="12">
        <f>L1951*COS(RADIANS(K1951))</f>
        <v>-0.86639164513731526</v>
      </c>
      <c r="P1951" s="5">
        <v>5.2530456836706518</v>
      </c>
      <c r="Q1951" s="5">
        <v>1.5226305663554249</v>
      </c>
      <c r="R1951" s="6">
        <f>P1951/Q1951</f>
        <v>3.4499804481426932</v>
      </c>
    </row>
    <row r="1952" spans="1:18" x14ac:dyDescent="0.35">
      <c r="A1952" s="9">
        <v>1953</v>
      </c>
      <c r="B1952" s="5">
        <v>0.25</v>
      </c>
      <c r="C1952" s="5">
        <v>2000000</v>
      </c>
      <c r="D1952" s="5">
        <v>15</v>
      </c>
      <c r="E1952" s="5">
        <v>0.25</v>
      </c>
      <c r="F1952" s="5">
        <v>0.15</v>
      </c>
      <c r="G1952" s="12">
        <f>(C1952*$U$4)/($U$5*$U$3)</f>
        <v>29.387755102040813</v>
      </c>
      <c r="H1952" s="11">
        <f>G1952*COS(RADIANS(D1952))</f>
        <v>28.386391629719554</v>
      </c>
      <c r="I1952" s="11">
        <f>G1952*SIN(RADIANS(D1952))</f>
        <v>7.6061107132169354</v>
      </c>
      <c r="J1952" s="12">
        <v>0.1913</v>
      </c>
      <c r="K1952" s="11">
        <v>67</v>
      </c>
      <c r="L1952" s="12">
        <f>-(F1952*G1952*$U$3)/J1952</f>
        <v>-23.043195323084799</v>
      </c>
      <c r="M1952" s="11">
        <f>ABS(L1952/$U$6)</f>
        <v>6.7181327472550428E-2</v>
      </c>
      <c r="N1952" s="12">
        <f>L1952*SIN(RADIANS(K1952))</f>
        <v>-21.211373133952133</v>
      </c>
      <c r="O1952" s="12">
        <f>L1952*COS(RADIANS(K1952))</f>
        <v>-9.0036937125876779</v>
      </c>
      <c r="P1952" s="5">
        <v>3.0151948279050971</v>
      </c>
      <c r="Q1952" s="5">
        <v>0.52277018330404657</v>
      </c>
      <c r="R1952" s="6">
        <f>P1952/Q1952</f>
        <v>5.7677253297964777</v>
      </c>
    </row>
    <row r="1953" spans="1:18" x14ac:dyDescent="0.35">
      <c r="A1953" s="9">
        <v>499</v>
      </c>
      <c r="B1953" s="5">
        <v>0.5</v>
      </c>
      <c r="C1953" s="5">
        <v>6000000</v>
      </c>
      <c r="D1953" s="5">
        <v>15</v>
      </c>
      <c r="E1953" s="5">
        <v>0.375</v>
      </c>
      <c r="F1953" s="5">
        <v>0.1</v>
      </c>
      <c r="G1953" s="12">
        <f>(C1953*$U$4)/($U$5*$U$3)</f>
        <v>88.16326530612244</v>
      </c>
      <c r="H1953" s="11">
        <f>G1953*COS(RADIANS(D1953))</f>
        <v>85.159174889158663</v>
      </c>
      <c r="I1953" s="11">
        <f>G1953*SIN(RADIANS(D1953))</f>
        <v>22.818332139650806</v>
      </c>
      <c r="J1953" s="12">
        <v>0.24809999999999999</v>
      </c>
      <c r="K1953" s="19">
        <v>67</v>
      </c>
      <c r="L1953" s="12">
        <f>-(F1953*G1953*$U$3)/J1953</f>
        <v>-35.535374972237989</v>
      </c>
      <c r="M1953" s="11">
        <f>ABS(L1953/$U$6)</f>
        <v>0.10360167630390084</v>
      </c>
      <c r="N1953" s="12">
        <f>L1953*SIN(RADIANS(K1953))</f>
        <v>-32.710485131197444</v>
      </c>
      <c r="O1953" s="12">
        <f>L1953*COS(RADIANS(K1953))</f>
        <v>-13.884777164192043</v>
      </c>
      <c r="P1953" s="5">
        <v>4.2700501164912339</v>
      </c>
      <c r="Q1953" s="5">
        <v>0.36002359610875284</v>
      </c>
      <c r="R1953" s="6">
        <f>P1953/Q1953</f>
        <v>11.860472931894646</v>
      </c>
    </row>
    <row r="1954" spans="1:18" x14ac:dyDescent="0.35">
      <c r="A1954" s="9">
        <v>1955</v>
      </c>
      <c r="B1954" s="5">
        <v>0.1</v>
      </c>
      <c r="C1954" s="5">
        <v>4000000</v>
      </c>
      <c r="D1954" s="5">
        <v>0</v>
      </c>
      <c r="E1954" s="5">
        <v>0.375</v>
      </c>
      <c r="F1954" s="5">
        <v>0</v>
      </c>
      <c r="G1954" s="12">
        <f>(C1954*$U$4)/($U$5*$U$3)</f>
        <v>58.775510204081627</v>
      </c>
      <c r="H1954" s="11">
        <f>G1954*COS(RADIANS(D1954))</f>
        <v>58.775510204081627</v>
      </c>
      <c r="I1954" s="11">
        <f>G1954*SIN(RADIANS(D1954))</f>
        <v>0</v>
      </c>
      <c r="J1954" s="12">
        <v>0.16789999999999999</v>
      </c>
      <c r="K1954" s="11">
        <v>85</v>
      </c>
      <c r="L1954" s="12">
        <f>-(F1954*G1954*$U$3)/J1954</f>
        <v>0</v>
      </c>
      <c r="M1954" s="11">
        <f>ABS(L1954/$U$6)</f>
        <v>0</v>
      </c>
      <c r="N1954" s="12">
        <f>L1954*SIN(RADIANS(K1954))</f>
        <v>0</v>
      </c>
      <c r="O1954" s="12">
        <f>L1954*COS(RADIANS(K1954))</f>
        <v>0</v>
      </c>
      <c r="P1954" s="5">
        <v>1.5695903391041666</v>
      </c>
      <c r="Q1954" s="5">
        <v>0.22940720999259515</v>
      </c>
      <c r="R1954" s="6">
        <f>P1954/Q1954</f>
        <v>6.8419398812915695</v>
      </c>
    </row>
    <row r="1955" spans="1:18" x14ac:dyDescent="0.35">
      <c r="A1955" s="9">
        <v>636</v>
      </c>
      <c r="B1955" s="5">
        <v>0.5</v>
      </c>
      <c r="C1955" s="5">
        <v>6000000</v>
      </c>
      <c r="D1955" s="5">
        <v>0</v>
      </c>
      <c r="E1955" s="5">
        <v>0.375</v>
      </c>
      <c r="F1955" s="5">
        <v>0.1</v>
      </c>
      <c r="G1955" s="12">
        <f>(C1955*$U$4)/($U$5*$U$3)</f>
        <v>88.16326530612244</v>
      </c>
      <c r="H1955" s="11">
        <f>G1955*COS(RADIANS(D1955))</f>
        <v>88.16326530612244</v>
      </c>
      <c r="I1955" s="11">
        <f>G1955*SIN(RADIANS(D1955))</f>
        <v>0</v>
      </c>
      <c r="J1955" s="19">
        <v>0.24809999999999999</v>
      </c>
      <c r="K1955" s="12">
        <v>67</v>
      </c>
      <c r="L1955" s="12">
        <f>-(F1955*G1955*$U$3)/J1955</f>
        <v>-35.535374972237989</v>
      </c>
      <c r="M1955" s="11">
        <f>ABS(L1955/$U$6)</f>
        <v>0.10360167630390084</v>
      </c>
      <c r="N1955" s="12">
        <f>L1955*SIN(RADIANS(K1955))</f>
        <v>-32.710485131197444</v>
      </c>
      <c r="O1955" s="12">
        <f>L1955*COS(RADIANS(K1955))</f>
        <v>-13.884777164192043</v>
      </c>
      <c r="P1955" s="5">
        <v>3.8300877172537051</v>
      </c>
      <c r="Q1955" s="5">
        <v>-0.40787666593553629</v>
      </c>
      <c r="R1955" s="6">
        <f>P1955/Q1955</f>
        <v>-9.3903084857005261</v>
      </c>
    </row>
    <row r="1956" spans="1:18" x14ac:dyDescent="0.35">
      <c r="A1956" s="9">
        <v>1957</v>
      </c>
      <c r="B1956" s="5">
        <v>1</v>
      </c>
      <c r="C1956" s="5">
        <v>4000000</v>
      </c>
      <c r="D1956" s="5">
        <v>5</v>
      </c>
      <c r="E1956" s="5">
        <v>0.25</v>
      </c>
      <c r="F1956" s="5">
        <v>3.5000000000000003E-2</v>
      </c>
      <c r="G1956" s="12">
        <f>(C1956*$U$4)/($U$5*$U$3)</f>
        <v>58.775510204081627</v>
      </c>
      <c r="H1956" s="11">
        <f>G1956*COS(RADIANS(D1956))</f>
        <v>58.551851642943404</v>
      </c>
      <c r="I1956" s="11">
        <f>G1956*SIN(RADIANS(D1956))</f>
        <v>5.1226232472092956</v>
      </c>
      <c r="J1956" s="13">
        <v>0.33379999999999999</v>
      </c>
      <c r="K1956" s="12">
        <v>30</v>
      </c>
      <c r="L1956" s="12">
        <f>-(F1956*G1956*$U$3)/J1956</f>
        <v>-6.1628006505178465</v>
      </c>
      <c r="M1956" s="11">
        <f>ABS(L1956/$U$6)</f>
        <v>1.7967348835328998E-2</v>
      </c>
      <c r="N1956" s="12">
        <f>L1956*SIN(RADIANS(K1956))</f>
        <v>-3.0814003252589228</v>
      </c>
      <c r="O1956" s="12">
        <f>L1956*COS(RADIANS(K1956))</f>
        <v>-5.3371419218077198</v>
      </c>
      <c r="P1956" s="5">
        <v>3.6174265317450716</v>
      </c>
      <c r="Q1956" s="5">
        <v>0.55170300964082664</v>
      </c>
      <c r="R1956" s="6">
        <f>P1956/Q1956</f>
        <v>6.5568366830192071</v>
      </c>
    </row>
    <row r="1957" spans="1:18" x14ac:dyDescent="0.35">
      <c r="A1957" s="9">
        <v>1958</v>
      </c>
      <c r="B1957" s="5">
        <v>0.1</v>
      </c>
      <c r="C1957" s="5">
        <v>4000000</v>
      </c>
      <c r="D1957" s="5">
        <v>30</v>
      </c>
      <c r="E1957" s="5">
        <v>0.25</v>
      </c>
      <c r="F1957" s="5">
        <v>3.5000000000000003E-2</v>
      </c>
      <c r="G1957" s="12">
        <f>(C1957*$U$4)/($U$5*$U$3)</f>
        <v>58.775510204081627</v>
      </c>
      <c r="H1957" s="11">
        <f>G1957*COS(RADIANS(D1957))</f>
        <v>50.901084957126187</v>
      </c>
      <c r="I1957" s="11">
        <f>G1957*SIN(RADIANS(D1957))</f>
        <v>29.38775510204081</v>
      </c>
      <c r="J1957" s="11">
        <v>0.1661</v>
      </c>
      <c r="K1957" s="12">
        <v>80</v>
      </c>
      <c r="L1957" s="12">
        <f>-(F1957*G1957*$U$3)/J1957</f>
        <v>-12.384966027350131</v>
      </c>
      <c r="M1957" s="11">
        <f>ABS(L1957/$U$6)</f>
        <v>3.6107772674490182E-2</v>
      </c>
      <c r="N1957" s="12">
        <f>L1957*SIN(RADIANS(K1957))</f>
        <v>-12.196810564527215</v>
      </c>
      <c r="O1957" s="12">
        <f>L1957*COS(RADIANS(K1957))</f>
        <v>-2.150626781116193</v>
      </c>
      <c r="P1957" s="5">
        <v>1.3041240428937895</v>
      </c>
      <c r="Q1957" s="5">
        <v>1.0095568618595703</v>
      </c>
      <c r="R1957" s="6">
        <f>P1957/Q1957</f>
        <v>1.2917786923776005</v>
      </c>
    </row>
    <row r="1958" spans="1:18" x14ac:dyDescent="0.35">
      <c r="A1958" s="9">
        <v>1959</v>
      </c>
      <c r="B1958" s="5">
        <v>0.25</v>
      </c>
      <c r="C1958" s="5">
        <v>4000000</v>
      </c>
      <c r="D1958" s="5">
        <v>15</v>
      </c>
      <c r="E1958" s="5">
        <v>0</v>
      </c>
      <c r="F1958" s="5">
        <v>0</v>
      </c>
      <c r="G1958" s="12">
        <f>(C1958*$U$4)/($U$5*$U$3)</f>
        <v>58.775510204081627</v>
      </c>
      <c r="H1958" s="11">
        <f>G1958*COS(RADIANS(D1958))</f>
        <v>56.772783259439109</v>
      </c>
      <c r="I1958" s="11">
        <f>G1958*SIN(RADIANS(D1958))</f>
        <v>15.212221426433871</v>
      </c>
      <c r="J1958" s="12">
        <v>0.18990000000000001</v>
      </c>
      <c r="K1958" s="12">
        <v>0</v>
      </c>
      <c r="L1958" s="12">
        <f>-(F1958*G1958*$U$3)/J1958</f>
        <v>0</v>
      </c>
      <c r="M1958" s="11">
        <f>ABS(L1958/$U$6)</f>
        <v>0</v>
      </c>
      <c r="N1958" s="12">
        <f>L1958*SIN(RADIANS(K1958))</f>
        <v>0</v>
      </c>
      <c r="O1958" s="12">
        <f>L1958*COS(RADIANS(K1958))</f>
        <v>0</v>
      </c>
      <c r="P1958" s="5">
        <v>2.2887075509741659</v>
      </c>
      <c r="Q1958" s="5">
        <v>0.65825697130850913</v>
      </c>
      <c r="R1958" s="6">
        <f>P1958/Q1958</f>
        <v>3.4769210972799618</v>
      </c>
    </row>
    <row r="1959" spans="1:18" x14ac:dyDescent="0.35">
      <c r="A1959" s="9">
        <v>1960</v>
      </c>
      <c r="B1959" s="5">
        <v>0.75</v>
      </c>
      <c r="C1959" s="5">
        <v>4000000</v>
      </c>
      <c r="D1959" s="5">
        <v>20</v>
      </c>
      <c r="E1959" s="5">
        <v>0.25</v>
      </c>
      <c r="F1959" s="5">
        <v>0</v>
      </c>
      <c r="G1959" s="12">
        <f>(C1959*$U$4)/($U$5*$U$3)</f>
        <v>58.775510204081627</v>
      </c>
      <c r="H1959" s="11">
        <f>G1959*COS(RADIANS(D1959))</f>
        <v>55.230913221702366</v>
      </c>
      <c r="I1959" s="11">
        <f>G1959*SIN(RADIANS(D1959))</f>
        <v>20.102408424039304</v>
      </c>
      <c r="J1959" s="12">
        <v>0.28370000000000001</v>
      </c>
      <c r="K1959" s="11">
        <v>38</v>
      </c>
      <c r="L1959" s="12">
        <f>-(F1959*G1959*$U$3)/J1959</f>
        <v>0</v>
      </c>
      <c r="M1959" s="11">
        <f>ABS(L1959/$U$6)</f>
        <v>0</v>
      </c>
      <c r="N1959" s="12">
        <f>L1959*SIN(RADIANS(K1959))</f>
        <v>0</v>
      </c>
      <c r="O1959" s="12">
        <f>L1959*COS(RADIANS(K1959))</f>
        <v>0</v>
      </c>
      <c r="P1959" s="5">
        <v>5.702265078032422</v>
      </c>
      <c r="Q1959" s="5">
        <v>2.0051175562007693</v>
      </c>
      <c r="R1959" s="6">
        <f>P1959/Q1959</f>
        <v>2.8438557432198071</v>
      </c>
    </row>
    <row r="1960" spans="1:18" x14ac:dyDescent="0.35">
      <c r="A1960" s="9">
        <v>1961</v>
      </c>
      <c r="B1960" s="5">
        <v>0.25</v>
      </c>
      <c r="C1960" s="5">
        <v>2000000</v>
      </c>
      <c r="D1960" s="5">
        <v>15</v>
      </c>
      <c r="E1960" s="5">
        <v>0.25</v>
      </c>
      <c r="F1960" s="5">
        <v>7.4999999999999997E-2</v>
      </c>
      <c r="G1960" s="12">
        <f>(C1960*$U$4)/($U$5*$U$3)</f>
        <v>29.387755102040813</v>
      </c>
      <c r="H1960" s="11">
        <f>G1960*COS(RADIANS(D1960))</f>
        <v>28.386391629719554</v>
      </c>
      <c r="I1960" s="11">
        <f>G1960*SIN(RADIANS(D1960))</f>
        <v>7.6061107132169354</v>
      </c>
      <c r="J1960" s="12">
        <v>0.1913</v>
      </c>
      <c r="K1960" s="11">
        <v>67</v>
      </c>
      <c r="L1960" s="12">
        <f>-(F1960*G1960*$U$3)/J1960</f>
        <v>-11.521597661542399</v>
      </c>
      <c r="M1960" s="11">
        <f>ABS(L1960/$U$6)</f>
        <v>3.3590663736275214E-2</v>
      </c>
      <c r="N1960" s="12">
        <f>L1960*SIN(RADIANS(K1960))</f>
        <v>-10.605686566976066</v>
      </c>
      <c r="O1960" s="12">
        <f>L1960*COS(RADIANS(K1960))</f>
        <v>-4.501846856293839</v>
      </c>
      <c r="P1960" s="5">
        <v>2.2964685205456261</v>
      </c>
      <c r="Q1960" s="5">
        <v>0.52967213835697347</v>
      </c>
      <c r="R1960" s="6">
        <f>P1960/Q1960</f>
        <v>4.335641530379907</v>
      </c>
    </row>
    <row r="1961" spans="1:18" x14ac:dyDescent="0.35">
      <c r="A1961" s="9">
        <v>835</v>
      </c>
      <c r="B1961" s="5">
        <v>0.5</v>
      </c>
      <c r="C1961" s="5">
        <v>4000000</v>
      </c>
      <c r="D1961" s="5">
        <v>5</v>
      </c>
      <c r="E1961" s="5">
        <v>0.375</v>
      </c>
      <c r="F1961" s="5">
        <v>0.15</v>
      </c>
      <c r="G1961" s="12">
        <f>(C1961*$U$4)/($U$5*$U$3)</f>
        <v>58.775510204081627</v>
      </c>
      <c r="H1961" s="11">
        <f>G1961*COS(RADIANS(D1961))</f>
        <v>58.551851642943404</v>
      </c>
      <c r="I1961" s="11">
        <f>G1961*SIN(RADIANS(D1961))</f>
        <v>5.1226232472092956</v>
      </c>
      <c r="J1961" s="19">
        <v>0.24809999999999999</v>
      </c>
      <c r="K1961" s="12">
        <v>67</v>
      </c>
      <c r="L1961" s="12">
        <f>-(F1961*G1961*$U$3)/J1961</f>
        <v>-35.535374972237989</v>
      </c>
      <c r="M1961" s="11">
        <f>ABS(L1961/$U$6)</f>
        <v>0.10360167630390084</v>
      </c>
      <c r="N1961" s="12">
        <f>L1961*SIN(RADIANS(K1961))</f>
        <v>-32.710485131197444</v>
      </c>
      <c r="O1961" s="12">
        <f>L1961*COS(RADIANS(K1961))</f>
        <v>-13.884777164192043</v>
      </c>
      <c r="P1961" s="5">
        <v>4.6894823178806044</v>
      </c>
      <c r="Q1961" s="5">
        <v>-0.32283004211950433</v>
      </c>
      <c r="R1961" s="6">
        <f>P1961/Q1961</f>
        <v>-14.526164563534223</v>
      </c>
    </row>
    <row r="1962" spans="1:18" x14ac:dyDescent="0.35">
      <c r="A1962" s="9">
        <v>1963</v>
      </c>
      <c r="B1962" s="5">
        <v>1</v>
      </c>
      <c r="C1962" s="5">
        <v>2000000</v>
      </c>
      <c r="D1962" s="5">
        <v>10</v>
      </c>
      <c r="E1962" s="5">
        <v>0.375</v>
      </c>
      <c r="F1962" s="5">
        <v>7.4999999999999997E-2</v>
      </c>
      <c r="G1962" s="12">
        <f>(C1962*$U$4)/($U$5*$U$3)</f>
        <v>29.387755102040813</v>
      </c>
      <c r="H1962" s="11">
        <f>G1962*COS(RADIANS(D1962))</f>
        <v>28.941289068113864</v>
      </c>
      <c r="I1962" s="11">
        <f>G1962*SIN(RADIANS(D1962))</f>
        <v>5.1031301191914213</v>
      </c>
      <c r="J1962" s="12">
        <v>0.33379999999999999</v>
      </c>
      <c r="K1962" s="11">
        <v>49</v>
      </c>
      <c r="L1962" s="12">
        <f>-(F1962*G1962*$U$3)/J1962</f>
        <v>-6.6030006969834067</v>
      </c>
      <c r="M1962" s="11">
        <f>ABS(L1962/$U$6)</f>
        <v>1.9250730894995356E-2</v>
      </c>
      <c r="N1962" s="12">
        <f>L1962*SIN(RADIANS(K1962))</f>
        <v>-4.9833478842310184</v>
      </c>
      <c r="O1962" s="12">
        <f>L1962*COS(RADIANS(K1962))</f>
        <v>-4.3319582256865763</v>
      </c>
      <c r="P1962" s="5">
        <v>5.8106603602760778</v>
      </c>
      <c r="Q1962" s="5">
        <v>-6.2927842380322924E-2</v>
      </c>
      <c r="R1962" s="6">
        <f>P1962/Q1962</f>
        <v>-92.338464827025902</v>
      </c>
    </row>
    <row r="1963" spans="1:18" x14ac:dyDescent="0.35">
      <c r="A1963" s="9">
        <v>1964</v>
      </c>
      <c r="B1963" s="5">
        <v>1</v>
      </c>
      <c r="C1963" s="5">
        <v>2000000</v>
      </c>
      <c r="D1963" s="5">
        <v>30</v>
      </c>
      <c r="E1963" s="5">
        <v>0.125</v>
      </c>
      <c r="F1963" s="5">
        <v>7.4999999999999997E-2</v>
      </c>
      <c r="G1963" s="12">
        <f>(C1963*$U$4)/($U$5*$U$3)</f>
        <v>29.387755102040813</v>
      </c>
      <c r="H1963" s="11">
        <f>G1963*COS(RADIANS(D1963))</f>
        <v>25.450542478563094</v>
      </c>
      <c r="I1963" s="11">
        <f>G1963*SIN(RADIANS(D1963))</f>
        <v>14.693877551020405</v>
      </c>
      <c r="J1963" s="11">
        <v>0.33379999999999999</v>
      </c>
      <c r="K1963" s="12">
        <v>14</v>
      </c>
      <c r="L1963" s="12">
        <f>-(F1963*G1963*$U$3)/J1963</f>
        <v>-6.6030006969834067</v>
      </c>
      <c r="M1963" s="11">
        <f>ABS(L1963/$U$6)</f>
        <v>1.9250730894995356E-2</v>
      </c>
      <c r="N1963" s="12">
        <f>L1963*SIN(RADIANS(K1963))</f>
        <v>-1.597410445260153</v>
      </c>
      <c r="O1963" s="12">
        <f>L1963*COS(RADIANS(K1963))</f>
        <v>-6.4068633568804252</v>
      </c>
      <c r="P1963" s="5">
        <v>2.8067343123714887</v>
      </c>
      <c r="Q1963" s="5">
        <v>1.2631316735927063</v>
      </c>
      <c r="R1963" s="6">
        <f>P1963/Q1963</f>
        <v>2.2220441233876569</v>
      </c>
    </row>
    <row r="1964" spans="1:18" x14ac:dyDescent="0.35">
      <c r="A1964" s="9">
        <v>1965</v>
      </c>
      <c r="B1964" s="5">
        <v>0.75</v>
      </c>
      <c r="C1964" s="5">
        <v>6000000</v>
      </c>
      <c r="D1964" s="5">
        <v>15</v>
      </c>
      <c r="E1964" s="5">
        <v>0.125</v>
      </c>
      <c r="F1964" s="5">
        <v>7.4999999999999997E-2</v>
      </c>
      <c r="G1964" s="12">
        <f>(C1964*$U$4)/($U$5*$U$3)</f>
        <v>88.16326530612244</v>
      </c>
      <c r="H1964" s="11">
        <f>G1964*COS(RADIANS(D1964))</f>
        <v>85.159174889158663</v>
      </c>
      <c r="I1964" s="11">
        <f>G1964*SIN(RADIANS(D1964))</f>
        <v>22.818332139650806</v>
      </c>
      <c r="J1964" s="12">
        <v>0.2802</v>
      </c>
      <c r="K1964" s="12">
        <v>19</v>
      </c>
      <c r="L1964" s="12">
        <f>-(F1964*G1964*$U$3)/J1964</f>
        <v>-23.59830441812699</v>
      </c>
      <c r="M1964" s="11">
        <f>ABS(L1964/$U$6)</f>
        <v>6.8799721335647199E-2</v>
      </c>
      <c r="N1964" s="12">
        <f>L1964*SIN(RADIANS(K1964))</f>
        <v>-7.6828564177277707</v>
      </c>
      <c r="O1964" s="12">
        <f>L1964*COS(RADIANS(K1964))</f>
        <v>-22.312635179986497</v>
      </c>
      <c r="P1964" s="5">
        <v>6.2628980832225203</v>
      </c>
      <c r="Q1964" s="5">
        <v>0.70019504951445155</v>
      </c>
      <c r="R1964" s="6">
        <f>P1964/Q1964</f>
        <v>8.9445049455369769</v>
      </c>
    </row>
    <row r="1965" spans="1:18" x14ac:dyDescent="0.35">
      <c r="A1965" s="9">
        <v>1966</v>
      </c>
      <c r="B1965" s="5">
        <v>0.25</v>
      </c>
      <c r="C1965" s="5">
        <v>4000000</v>
      </c>
      <c r="D1965" s="5">
        <v>20</v>
      </c>
      <c r="E1965" s="5">
        <v>0</v>
      </c>
      <c r="F1965" s="5">
        <v>3.5000000000000003E-2</v>
      </c>
      <c r="G1965" s="12">
        <f>(C1965*$U$4)/($U$5*$U$3)</f>
        <v>58.775510204081627</v>
      </c>
      <c r="H1965" s="11">
        <f>G1965*COS(RADIANS(D1965))</f>
        <v>55.230913221702366</v>
      </c>
      <c r="I1965" s="11">
        <f>G1965*SIN(RADIANS(D1965))</f>
        <v>20.102408424039304</v>
      </c>
      <c r="J1965" s="12">
        <v>0.18990000000000001</v>
      </c>
      <c r="K1965" s="12">
        <v>0</v>
      </c>
      <c r="L1965" s="12">
        <f>-(F1965*G1965*$U$3)/J1965</f>
        <v>-10.832769126607987</v>
      </c>
      <c r="M1965" s="11">
        <f>ABS(L1965/$U$6)</f>
        <v>3.1582417278740491E-2</v>
      </c>
      <c r="N1965" s="12">
        <f>L1965*SIN(RADIANS(K1965))</f>
        <v>0</v>
      </c>
      <c r="O1965" s="12">
        <f>L1965*COS(RADIANS(K1965))</f>
        <v>-10.832769126607987</v>
      </c>
      <c r="P1965" s="5">
        <v>2.1762031752747459</v>
      </c>
      <c r="Q1965" s="5">
        <v>0.65090917636168322</v>
      </c>
      <c r="R1965" s="6">
        <f>P1965/Q1965</f>
        <v>3.3433284616431957</v>
      </c>
    </row>
    <row r="1966" spans="1:18" x14ac:dyDescent="0.35">
      <c r="A1966" s="9">
        <v>1967</v>
      </c>
      <c r="B1966" s="5">
        <v>0.1</v>
      </c>
      <c r="C1966" s="5">
        <v>6000000</v>
      </c>
      <c r="D1966" s="5">
        <v>0</v>
      </c>
      <c r="E1966" s="5">
        <v>0.25</v>
      </c>
      <c r="F1966" s="5">
        <v>0.05</v>
      </c>
      <c r="G1966" s="12">
        <f>(C1966*$U$4)/($U$5*$U$3)</f>
        <v>88.16326530612244</v>
      </c>
      <c r="H1966" s="11">
        <f>G1966*COS(RADIANS(D1966))</f>
        <v>88.16326530612244</v>
      </c>
      <c r="I1966" s="11">
        <f>G1966*SIN(RADIANS(D1966))</f>
        <v>0</v>
      </c>
      <c r="J1966" s="11">
        <v>0.1661</v>
      </c>
      <c r="K1966" s="12">
        <v>80</v>
      </c>
      <c r="L1966" s="12">
        <f>-(F1966*G1966*$U$3)/J1966</f>
        <v>-26.539212915750284</v>
      </c>
      <c r="M1966" s="11">
        <f>ABS(L1966/$U$6)</f>
        <v>7.7373798588193252E-2</v>
      </c>
      <c r="N1966" s="12">
        <f>L1966*SIN(RADIANS(K1966))</f>
        <v>-26.136022638272607</v>
      </c>
      <c r="O1966" s="12">
        <f>L1966*COS(RADIANS(K1966))</f>
        <v>-4.6084859595346996</v>
      </c>
      <c r="P1966" s="5">
        <v>1.440540181201083</v>
      </c>
      <c r="Q1966" s="5">
        <v>0.22503110106934482</v>
      </c>
      <c r="R1966" s="6">
        <f>P1966/Q1966</f>
        <v>6.4015159431547684</v>
      </c>
    </row>
    <row r="1967" spans="1:18" x14ac:dyDescent="0.35">
      <c r="A1967" s="9">
        <v>1968</v>
      </c>
      <c r="B1967" s="5">
        <v>0.75</v>
      </c>
      <c r="C1967" s="5">
        <v>2000000</v>
      </c>
      <c r="D1967" s="5">
        <v>30</v>
      </c>
      <c r="E1967" s="5">
        <v>0.125</v>
      </c>
      <c r="F1967" s="5">
        <v>0.15</v>
      </c>
      <c r="G1967" s="12">
        <f>(C1967*$U$4)/($U$5*$U$3)</f>
        <v>29.387755102040813</v>
      </c>
      <c r="H1967" s="11">
        <f>G1967*COS(RADIANS(D1967))</f>
        <v>25.450542478563094</v>
      </c>
      <c r="I1967" s="11">
        <f>G1967*SIN(RADIANS(D1967))</f>
        <v>14.693877551020405</v>
      </c>
      <c r="J1967" s="12">
        <v>0.2802</v>
      </c>
      <c r="K1967" s="12">
        <v>19</v>
      </c>
      <c r="L1967" s="12">
        <f>-(F1967*G1967*$U$3)/J1967</f>
        <v>-15.732202945417994</v>
      </c>
      <c r="M1967" s="11">
        <f>ABS(L1967/$U$6)</f>
        <v>4.5866480890431466E-2</v>
      </c>
      <c r="N1967" s="12">
        <f>L1967*SIN(RADIANS(K1967))</f>
        <v>-5.1219042784851814</v>
      </c>
      <c r="O1967" s="12">
        <f>L1967*COS(RADIANS(K1967))</f>
        <v>-14.875090119990999</v>
      </c>
      <c r="P1967" s="5">
        <v>3.3531794098352288</v>
      </c>
      <c r="Q1967" s="5">
        <v>1.1265501907641851</v>
      </c>
      <c r="R1967" s="6">
        <f>P1967/Q1967</f>
        <v>2.9765024561938338</v>
      </c>
    </row>
    <row r="1968" spans="1:18" x14ac:dyDescent="0.35">
      <c r="A1968" s="9">
        <v>1969</v>
      </c>
      <c r="B1968" s="5">
        <v>0.75</v>
      </c>
      <c r="C1968" s="5">
        <v>6000000</v>
      </c>
      <c r="D1968" s="5">
        <v>30</v>
      </c>
      <c r="E1968" s="5">
        <v>0</v>
      </c>
      <c r="F1968" s="5">
        <v>2.5000000000000001E-2</v>
      </c>
      <c r="G1968" s="12">
        <f>(C1968*$U$4)/($U$5*$U$3)</f>
        <v>88.16326530612244</v>
      </c>
      <c r="H1968" s="11">
        <f>G1968*COS(RADIANS(D1968))</f>
        <v>76.351627435689281</v>
      </c>
      <c r="I1968" s="11">
        <f>G1968*SIN(RADIANS(D1968))</f>
        <v>44.081632653061213</v>
      </c>
      <c r="J1968" s="11">
        <v>0.27929999999999999</v>
      </c>
      <c r="K1968" s="12">
        <v>0</v>
      </c>
      <c r="L1968" s="12">
        <f>-(F1968*G1968*$U$3)/J1968</f>
        <v>-7.891448738464236</v>
      </c>
      <c r="M1968" s="11">
        <f>ABS(L1968/$U$6)</f>
        <v>2.3007139179196022E-2</v>
      </c>
      <c r="N1968" s="12">
        <f>L1968*SIN(RADIANS(K1968))</f>
        <v>0</v>
      </c>
      <c r="O1968" s="12">
        <f>L1968*COS(RADIANS(K1968))</f>
        <v>-7.891448738464236</v>
      </c>
      <c r="P1968" s="5">
        <v>0.63664092820631957</v>
      </c>
      <c r="Q1968" s="5">
        <v>1.3257229748315145</v>
      </c>
      <c r="R1968" s="6">
        <f>P1968/Q1968</f>
        <v>0.48022169057395264</v>
      </c>
    </row>
    <row r="1969" spans="1:18" x14ac:dyDescent="0.35">
      <c r="A1969" s="9">
        <v>1970</v>
      </c>
      <c r="B1969" s="5">
        <v>1</v>
      </c>
      <c r="C1969" s="5">
        <v>2000000</v>
      </c>
      <c r="D1969" s="5">
        <v>5</v>
      </c>
      <c r="E1969" s="5">
        <v>0.25</v>
      </c>
      <c r="F1969" s="5">
        <v>0.15</v>
      </c>
      <c r="G1969" s="12">
        <f>(C1969*$U$4)/($U$5*$U$3)</f>
        <v>29.387755102040813</v>
      </c>
      <c r="H1969" s="11">
        <f>G1969*COS(RADIANS(D1969))</f>
        <v>29.275925821471702</v>
      </c>
      <c r="I1969" s="11">
        <f>G1969*SIN(RADIANS(D1969))</f>
        <v>2.5613116236046478</v>
      </c>
      <c r="J1969" s="13">
        <v>0.33379999999999999</v>
      </c>
      <c r="K1969" s="12">
        <v>30</v>
      </c>
      <c r="L1969" s="12">
        <f>-(F1969*G1969*$U$3)/J1969</f>
        <v>-13.206001393966813</v>
      </c>
      <c r="M1969" s="11">
        <f>ABS(L1969/$U$6)</f>
        <v>3.8501461789990712E-2</v>
      </c>
      <c r="N1969" s="12">
        <f>L1969*SIN(RADIANS(K1969))</f>
        <v>-6.6030006969834059</v>
      </c>
      <c r="O1969" s="12">
        <f>L1969*COS(RADIANS(K1969))</f>
        <v>-11.43673268958797</v>
      </c>
      <c r="P1969" s="5">
        <v>5.1237319419515401</v>
      </c>
      <c r="Q1969" s="5">
        <v>-0.25689407662903113</v>
      </c>
      <c r="R1969" s="6">
        <f>P1969/Q1969</f>
        <v>-19.944920525943012</v>
      </c>
    </row>
    <row r="1970" spans="1:18" x14ac:dyDescent="0.35">
      <c r="A1970" s="9">
        <v>1971</v>
      </c>
      <c r="B1970" s="5">
        <v>1</v>
      </c>
      <c r="C1970" s="5">
        <v>2000000</v>
      </c>
      <c r="D1970" s="5">
        <v>10</v>
      </c>
      <c r="E1970" s="5">
        <v>0.125</v>
      </c>
      <c r="F1970" s="5">
        <v>7.4999999999999997E-2</v>
      </c>
      <c r="G1970" s="12">
        <f>(C1970*$U$4)/($U$5*$U$3)</f>
        <v>29.387755102040813</v>
      </c>
      <c r="H1970" s="11">
        <f>G1970*COS(RADIANS(D1970))</f>
        <v>28.941289068113864</v>
      </c>
      <c r="I1970" s="11">
        <f>G1970*SIN(RADIANS(D1970))</f>
        <v>5.1031301191914213</v>
      </c>
      <c r="J1970" s="11">
        <v>0.33379999999999999</v>
      </c>
      <c r="K1970" s="12">
        <v>14</v>
      </c>
      <c r="L1970" s="12">
        <f>-(F1970*G1970*$U$3)/J1970</f>
        <v>-6.6030006969834067</v>
      </c>
      <c r="M1970" s="11">
        <f>ABS(L1970/$U$6)</f>
        <v>1.9250730894995356E-2</v>
      </c>
      <c r="N1970" s="12">
        <f>L1970*SIN(RADIANS(K1970))</f>
        <v>-1.597410445260153</v>
      </c>
      <c r="O1970" s="12">
        <f>L1970*COS(RADIANS(K1970))</f>
        <v>-6.4068633568804252</v>
      </c>
      <c r="P1970" s="5">
        <v>3.0473444462560018</v>
      </c>
      <c r="Q1970" s="5">
        <v>0.78522523303849046</v>
      </c>
      <c r="R1970" s="6">
        <f>P1970/Q1970</f>
        <v>3.8808539486996159</v>
      </c>
    </row>
    <row r="1971" spans="1:18" x14ac:dyDescent="0.35">
      <c r="A1971" s="9">
        <v>1972</v>
      </c>
      <c r="B1971" s="5">
        <v>1</v>
      </c>
      <c r="C1971" s="5">
        <v>6000000</v>
      </c>
      <c r="D1971" s="5">
        <v>5</v>
      </c>
      <c r="E1971" s="5">
        <v>0.125</v>
      </c>
      <c r="F1971" s="5">
        <v>0.05</v>
      </c>
      <c r="G1971" s="12">
        <f>(C1971*$U$4)/($U$5*$U$3)</f>
        <v>88.16326530612244</v>
      </c>
      <c r="H1971" s="11">
        <f>G1971*COS(RADIANS(D1971))</f>
        <v>87.827777464415107</v>
      </c>
      <c r="I1971" s="11">
        <f>G1971*SIN(RADIANS(D1971))</f>
        <v>7.6839348708139434</v>
      </c>
      <c r="J1971" s="11">
        <v>0.33379999999999999</v>
      </c>
      <c r="K1971" s="12">
        <v>14</v>
      </c>
      <c r="L1971" s="12">
        <f>-(F1971*G1971*$U$3)/J1971</f>
        <v>-13.206001393966813</v>
      </c>
      <c r="M1971" s="11">
        <f>ABS(L1971/$U$6)</f>
        <v>3.8501461789990712E-2</v>
      </c>
      <c r="N1971" s="12">
        <f>L1971*SIN(RADIANS(K1971))</f>
        <v>-3.1948208905203059</v>
      </c>
      <c r="O1971" s="12">
        <f>L1971*COS(RADIANS(K1971))</f>
        <v>-12.81372671376085</v>
      </c>
      <c r="P1971" s="5">
        <v>5.2218482339675942</v>
      </c>
      <c r="Q1971" s="5">
        <v>-5.7644663585533218E-2</v>
      </c>
      <c r="R1971" s="6">
        <f>P1971/Q1971</f>
        <v>-90.586845497318407</v>
      </c>
    </row>
    <row r="1972" spans="1:18" x14ac:dyDescent="0.35">
      <c r="A1972" s="9">
        <v>952</v>
      </c>
      <c r="B1972" s="5">
        <v>0.5</v>
      </c>
      <c r="C1972" s="5">
        <v>4000000</v>
      </c>
      <c r="D1972" s="5">
        <v>0</v>
      </c>
      <c r="E1972" s="5">
        <v>0.375</v>
      </c>
      <c r="F1972" s="5">
        <v>0.15</v>
      </c>
      <c r="G1972" s="12">
        <f>(C1972*$U$4)/($U$5*$U$3)</f>
        <v>58.775510204081627</v>
      </c>
      <c r="H1972" s="11">
        <f>G1972*COS(RADIANS(D1972))</f>
        <v>58.775510204081627</v>
      </c>
      <c r="I1972" s="11">
        <f>G1972*SIN(RADIANS(D1972))</f>
        <v>0</v>
      </c>
      <c r="J1972" s="19">
        <v>0.24809999999999999</v>
      </c>
      <c r="K1972" s="12">
        <v>67</v>
      </c>
      <c r="L1972" s="12">
        <f>-(F1972*G1972*$U$3)/J1972</f>
        <v>-35.535374972237989</v>
      </c>
      <c r="M1972" s="11">
        <f>ABS(L1972/$U$6)</f>
        <v>0.10360167630390084</v>
      </c>
      <c r="N1972" s="12">
        <f>L1972*SIN(RADIANS(K1972))</f>
        <v>-32.710485131197444</v>
      </c>
      <c r="O1972" s="12">
        <f>L1972*COS(RADIANS(K1972))</f>
        <v>-13.884777164192043</v>
      </c>
      <c r="P1972" s="5">
        <v>4.4734296149001525</v>
      </c>
      <c r="Q1972" s="5">
        <v>-0.59640908565179485</v>
      </c>
      <c r="R1972" s="6">
        <f>P1972/Q1972</f>
        <v>-7.5006060814973941</v>
      </c>
    </row>
    <row r="1973" spans="1:18" x14ac:dyDescent="0.35">
      <c r="A1973" s="9">
        <v>1974</v>
      </c>
      <c r="B1973" s="5">
        <v>1</v>
      </c>
      <c r="C1973" s="5">
        <v>2000000</v>
      </c>
      <c r="D1973" s="5">
        <v>5</v>
      </c>
      <c r="E1973" s="5">
        <v>0.125</v>
      </c>
      <c r="F1973" s="5">
        <v>3.5000000000000003E-2</v>
      </c>
      <c r="G1973" s="12">
        <f>(C1973*$U$4)/($U$5*$U$3)</f>
        <v>29.387755102040813</v>
      </c>
      <c r="H1973" s="11">
        <f>G1973*COS(RADIANS(D1973))</f>
        <v>29.275925821471702</v>
      </c>
      <c r="I1973" s="11">
        <f>G1973*SIN(RADIANS(D1973))</f>
        <v>2.5613116236046478</v>
      </c>
      <c r="J1973" s="11">
        <v>0.33379999999999999</v>
      </c>
      <c r="K1973" s="12">
        <v>14</v>
      </c>
      <c r="L1973" s="12">
        <f>-(F1973*G1973*$U$3)/J1973</f>
        <v>-3.0814003252589233</v>
      </c>
      <c r="M1973" s="11">
        <f>ABS(L1973/$U$6)</f>
        <v>8.983674417664499E-3</v>
      </c>
      <c r="N1973" s="12">
        <f>L1973*SIN(RADIANS(K1973))</f>
        <v>-0.74545820778807137</v>
      </c>
      <c r="O1973" s="12">
        <f>L1973*COS(RADIANS(K1973))</f>
        <v>-2.9898695665441988</v>
      </c>
      <c r="P1973" s="5">
        <v>4.4618344879604894</v>
      </c>
      <c r="Q1973" s="5">
        <v>0.32406759164310839</v>
      </c>
      <c r="R1973" s="6">
        <f>P1973/Q1973</f>
        <v>13.768221824767508</v>
      </c>
    </row>
    <row r="1974" spans="1:18" x14ac:dyDescent="0.35">
      <c r="A1974" s="9">
        <v>953</v>
      </c>
      <c r="B1974" s="5">
        <v>0.5</v>
      </c>
      <c r="C1974" s="5">
        <v>4000000</v>
      </c>
      <c r="D1974" s="5">
        <v>30</v>
      </c>
      <c r="E1974" s="5">
        <v>0.375</v>
      </c>
      <c r="F1974" s="5">
        <v>0.15</v>
      </c>
      <c r="G1974" s="12">
        <f>(C1974*$U$4)/($U$5*$U$3)</f>
        <v>58.775510204081627</v>
      </c>
      <c r="H1974" s="11">
        <f>G1974*COS(RADIANS(D1974))</f>
        <v>50.901084957126187</v>
      </c>
      <c r="I1974" s="11">
        <f>G1974*SIN(RADIANS(D1974))</f>
        <v>29.38775510204081</v>
      </c>
      <c r="J1974" s="12">
        <v>0.24809999999999999</v>
      </c>
      <c r="K1974" s="19">
        <v>67</v>
      </c>
      <c r="L1974" s="12">
        <f>-(F1974*G1974*$U$3)/J1974</f>
        <v>-35.535374972237989</v>
      </c>
      <c r="M1974" s="11">
        <f>ABS(L1974/$U$6)</f>
        <v>0.10360167630390084</v>
      </c>
      <c r="N1974" s="12">
        <f>L1974*SIN(RADIANS(K1974))</f>
        <v>-32.710485131197444</v>
      </c>
      <c r="O1974" s="12">
        <f>L1974*COS(RADIANS(K1974))</f>
        <v>-13.884777164192043</v>
      </c>
      <c r="P1974" s="5">
        <v>5.4739035282031807</v>
      </c>
      <c r="Q1974" s="5">
        <v>1.2921119954560869</v>
      </c>
      <c r="R1974" s="6">
        <f>P1974/Q1974</f>
        <v>4.2364002094656001</v>
      </c>
    </row>
    <row r="1975" spans="1:18" x14ac:dyDescent="0.35">
      <c r="A1975" s="9">
        <v>1976</v>
      </c>
      <c r="B1975" s="5">
        <v>0.5</v>
      </c>
      <c r="C1975" s="5">
        <v>4000000</v>
      </c>
      <c r="D1975" s="5">
        <v>10</v>
      </c>
      <c r="E1975" s="5">
        <v>0</v>
      </c>
      <c r="F1975" s="5">
        <v>2.5000000000000001E-2</v>
      </c>
      <c r="G1975" s="12">
        <f>(C1975*$U$4)/($U$5*$U$3)</f>
        <v>58.775510204081627</v>
      </c>
      <c r="H1975" s="11">
        <f>G1975*COS(RADIANS(D1975))</f>
        <v>57.882578136227728</v>
      </c>
      <c r="I1975" s="11">
        <f>G1975*SIN(RADIANS(D1975))</f>
        <v>10.206260238382843</v>
      </c>
      <c r="J1975" s="12">
        <v>0.23230000000000001</v>
      </c>
      <c r="K1975" s="12">
        <v>0</v>
      </c>
      <c r="L1975" s="12">
        <f>-(F1975*G1975*$U$3)/J1975</f>
        <v>-6.3253885282050826</v>
      </c>
      <c r="M1975" s="11">
        <f>ABS(L1975/$U$6)</f>
        <v>1.8441365971443389E-2</v>
      </c>
      <c r="N1975" s="12">
        <f>L1975*SIN(RADIANS(K1975))</f>
        <v>0</v>
      </c>
      <c r="O1975" s="12">
        <f>L1975*COS(RADIANS(K1975))</f>
        <v>-6.3253885282050826</v>
      </c>
      <c r="P1975" s="5">
        <v>2.3229033514750519</v>
      </c>
      <c r="Q1975" s="5">
        <v>0.77771826017037693</v>
      </c>
      <c r="R1975" s="6">
        <f>P1975/Q1975</f>
        <v>2.9868185825624911</v>
      </c>
    </row>
    <row r="1976" spans="1:18" x14ac:dyDescent="0.35">
      <c r="A1976" s="9">
        <v>1977</v>
      </c>
      <c r="B1976" s="5">
        <v>0.25</v>
      </c>
      <c r="C1976" s="5">
        <v>6000000</v>
      </c>
      <c r="D1976" s="5">
        <v>0</v>
      </c>
      <c r="E1976" s="5">
        <v>0.125</v>
      </c>
      <c r="F1976" s="5">
        <v>0.05</v>
      </c>
      <c r="G1976" s="12">
        <f>(C1976*$U$4)/($U$5*$U$3)</f>
        <v>88.16326530612244</v>
      </c>
      <c r="H1976" s="11">
        <f>G1976*COS(RADIANS(D1976))</f>
        <v>88.16326530612244</v>
      </c>
      <c r="I1976" s="11">
        <f>G1976*SIN(RADIANS(D1976))</f>
        <v>0</v>
      </c>
      <c r="J1976" s="11">
        <v>0.19020000000000001</v>
      </c>
      <c r="K1976" s="12">
        <v>46</v>
      </c>
      <c r="L1976" s="12">
        <f>-(F1976*G1976*$U$3)/J1976</f>
        <v>-23.176463014227771</v>
      </c>
      <c r="M1976" s="11">
        <f>ABS(L1976/$U$6)</f>
        <v>6.7569863015241316E-2</v>
      </c>
      <c r="N1976" s="12">
        <f>L1976*SIN(RADIANS(K1976))</f>
        <v>-16.671752277210736</v>
      </c>
      <c r="O1976" s="12">
        <f>L1976*COS(RADIANS(K1976))</f>
        <v>-16.099724030466682</v>
      </c>
      <c r="P1976" s="5">
        <v>2.1354095475405086</v>
      </c>
      <c r="Q1976" s="5">
        <v>0.1788919314553907</v>
      </c>
      <c r="R1976" s="6">
        <f>P1976/Q1976</f>
        <v>11.936868980997078</v>
      </c>
    </row>
    <row r="1977" spans="1:18" x14ac:dyDescent="0.35">
      <c r="A1977" s="9">
        <v>1978</v>
      </c>
      <c r="B1977" s="5">
        <v>0.1</v>
      </c>
      <c r="C1977" s="5">
        <v>2000000</v>
      </c>
      <c r="D1977" s="5">
        <v>5</v>
      </c>
      <c r="E1977" s="5">
        <v>0.375</v>
      </c>
      <c r="F1977" s="5">
        <v>0.15</v>
      </c>
      <c r="G1977" s="12">
        <f>(C1977*$U$4)/($U$5*$U$3)</f>
        <v>29.387755102040813</v>
      </c>
      <c r="H1977" s="11">
        <f>G1977*COS(RADIANS(D1977))</f>
        <v>29.275925821471702</v>
      </c>
      <c r="I1977" s="11">
        <f>G1977*SIN(RADIANS(D1977))</f>
        <v>2.5613116236046478</v>
      </c>
      <c r="J1977" s="12">
        <v>0.16789999999999999</v>
      </c>
      <c r="K1977" s="11">
        <v>85</v>
      </c>
      <c r="L1977" s="12">
        <f>-(F1977*G1977*$U$3)/J1977</f>
        <v>-26.254694849947125</v>
      </c>
      <c r="M1977" s="11">
        <f>ABS(L1977/$U$6)</f>
        <v>7.6544299854073253E-2</v>
      </c>
      <c r="N1977" s="12">
        <f>L1977*SIN(RADIANS(K1977))</f>
        <v>-26.154787809533982</v>
      </c>
      <c r="O1977" s="12">
        <f>L1977*COS(RADIANS(K1977))</f>
        <v>-2.2882474302602565</v>
      </c>
      <c r="P1977" s="5">
        <v>2.1669914251192886</v>
      </c>
      <c r="Q1977" s="5">
        <v>0.31872173263823328</v>
      </c>
      <c r="R1977" s="6">
        <f>P1977/Q1977</f>
        <v>6.7990074199895973</v>
      </c>
    </row>
    <row r="1978" spans="1:18" x14ac:dyDescent="0.35">
      <c r="A1978" s="9">
        <v>1979</v>
      </c>
      <c r="B1978" s="5">
        <v>0.5</v>
      </c>
      <c r="C1978" s="5">
        <v>2000000</v>
      </c>
      <c r="D1978" s="5">
        <v>20</v>
      </c>
      <c r="E1978" s="5">
        <v>0.375</v>
      </c>
      <c r="F1978" s="5">
        <v>2.5000000000000001E-2</v>
      </c>
      <c r="G1978" s="12">
        <f>(C1978*$U$4)/($U$5*$U$3)</f>
        <v>29.387755102040813</v>
      </c>
      <c r="H1978" s="11">
        <f>G1978*COS(RADIANS(D1978))</f>
        <v>27.615456610851183</v>
      </c>
      <c r="I1978" s="11">
        <f>G1978*SIN(RADIANS(D1978))</f>
        <v>10.051204212019652</v>
      </c>
      <c r="J1978" s="12">
        <v>0.24809999999999999</v>
      </c>
      <c r="K1978" s="12">
        <v>67</v>
      </c>
      <c r="L1978" s="12">
        <f>-(F1978*G1978*$U$3)/J1978</f>
        <v>-2.9612812476864989</v>
      </c>
      <c r="M1978" s="11">
        <f>ABS(L1978/$U$6)</f>
        <v>8.6334730253250693E-3</v>
      </c>
      <c r="N1978" s="12">
        <f>L1978*SIN(RADIANS(K1978))</f>
        <v>-2.7258737609331205</v>
      </c>
      <c r="O1978" s="12">
        <f>L1978*COS(RADIANS(K1978))</f>
        <v>-1.1570647636826701</v>
      </c>
      <c r="P1978" s="5">
        <v>3.2335626377841669</v>
      </c>
      <c r="Q1978" s="5">
        <v>0.68170311773193915</v>
      </c>
      <c r="R1978" s="6">
        <f>P1978/Q1978</f>
        <v>4.743359027816088</v>
      </c>
    </row>
    <row r="1979" spans="1:18" x14ac:dyDescent="0.35">
      <c r="A1979" s="9">
        <v>1980</v>
      </c>
      <c r="B1979" s="5">
        <v>0.5</v>
      </c>
      <c r="C1979" s="5">
        <v>6000000</v>
      </c>
      <c r="D1979" s="5">
        <v>30</v>
      </c>
      <c r="E1979" s="5">
        <v>0</v>
      </c>
      <c r="F1979" s="5">
        <v>7.4999999999999997E-2</v>
      </c>
      <c r="G1979" s="12">
        <f>(C1979*$U$4)/($U$5*$U$3)</f>
        <v>88.16326530612244</v>
      </c>
      <c r="H1979" s="11">
        <f>G1979*COS(RADIANS(D1979))</f>
        <v>76.351627435689281</v>
      </c>
      <c r="I1979" s="11">
        <f>G1979*SIN(RADIANS(D1979))</f>
        <v>44.081632653061213</v>
      </c>
      <c r="J1979" s="12">
        <v>0.23230000000000001</v>
      </c>
      <c r="K1979" s="12">
        <v>0</v>
      </c>
      <c r="L1979" s="12">
        <f>-(F1979*G1979*$U$3)/J1979</f>
        <v>-28.464248376922871</v>
      </c>
      <c r="M1979" s="11">
        <f>ABS(L1979/$U$6)</f>
        <v>8.2986146871495248E-2</v>
      </c>
      <c r="N1979" s="12">
        <f>L1979*SIN(RADIANS(K1979))</f>
        <v>0</v>
      </c>
      <c r="O1979" s="12">
        <f>L1979*COS(RADIANS(K1979))</f>
        <v>-28.464248376922871</v>
      </c>
      <c r="P1979" s="5">
        <v>4.4603867490675464</v>
      </c>
      <c r="Q1979" s="5">
        <v>1.4997074620611635</v>
      </c>
      <c r="R1979" s="6">
        <f>P1979/Q1979</f>
        <v>2.9741712046543354</v>
      </c>
    </row>
    <row r="1980" spans="1:18" x14ac:dyDescent="0.35">
      <c r="A1980" s="9">
        <v>1981</v>
      </c>
      <c r="B1980" s="5">
        <v>0.75</v>
      </c>
      <c r="C1980" s="5">
        <v>6000000</v>
      </c>
      <c r="D1980" s="5">
        <v>5</v>
      </c>
      <c r="E1980" s="5">
        <v>0.375</v>
      </c>
      <c r="F1980" s="5">
        <v>3.5000000000000003E-2</v>
      </c>
      <c r="G1980" s="12">
        <f>(C1980*$U$4)/($U$5*$U$3)</f>
        <v>88.16326530612244</v>
      </c>
      <c r="H1980" s="11">
        <f>G1980*COS(RADIANS(D1980))</f>
        <v>87.827777464415107</v>
      </c>
      <c r="I1980" s="11">
        <f>G1980*SIN(RADIANS(D1980))</f>
        <v>7.6839348708139434</v>
      </c>
      <c r="J1980" s="11">
        <v>0.29299999999999998</v>
      </c>
      <c r="K1980" s="12">
        <v>57</v>
      </c>
      <c r="L1980" s="12">
        <f>-(F1980*G1980*$U$3)/J1980</f>
        <v>-10.531448074110191</v>
      </c>
      <c r="M1980" s="11">
        <f>ABS(L1980/$U$6)</f>
        <v>3.0703930245219217E-2</v>
      </c>
      <c r="N1980" s="12">
        <f>L1980*SIN(RADIANS(K1980))</f>
        <v>-8.8324155376017366</v>
      </c>
      <c r="O1980" s="12">
        <f>L1980*COS(RADIANS(K1980))</f>
        <v>-5.73583771639424</v>
      </c>
      <c r="P1980" s="5">
        <v>3.7631467934258875</v>
      </c>
      <c r="Q1980" s="5">
        <v>-3.0827949646376278E-3</v>
      </c>
      <c r="R1980" s="6">
        <f>P1980/Q1980</f>
        <v>-1220.6931815422349</v>
      </c>
    </row>
    <row r="1981" spans="1:18" x14ac:dyDescent="0.35">
      <c r="A1981" s="9">
        <v>1982</v>
      </c>
      <c r="B1981" s="5">
        <v>0.25</v>
      </c>
      <c r="C1981" s="5">
        <v>6000000</v>
      </c>
      <c r="D1981" s="5">
        <v>0</v>
      </c>
      <c r="E1981" s="5">
        <v>0</v>
      </c>
      <c r="F1981" s="5">
        <v>0</v>
      </c>
      <c r="G1981" s="12">
        <f>(C1981*$U$4)/($U$5*$U$3)</f>
        <v>88.16326530612244</v>
      </c>
      <c r="H1981" s="11">
        <f>G1981*COS(RADIANS(D1981))</f>
        <v>88.16326530612244</v>
      </c>
      <c r="I1981" s="11">
        <f>G1981*SIN(RADIANS(D1981))</f>
        <v>0</v>
      </c>
      <c r="J1981" s="12">
        <v>0.18990000000000001</v>
      </c>
      <c r="K1981" s="12">
        <v>0</v>
      </c>
      <c r="L1981" s="12">
        <f>-(F1981*G1981*$U$3)/J1981</f>
        <v>0</v>
      </c>
      <c r="M1981" s="11">
        <f>ABS(L1981/$U$6)</f>
        <v>0</v>
      </c>
      <c r="N1981" s="12">
        <f>L1981*SIN(RADIANS(K1981))</f>
        <v>0</v>
      </c>
      <c r="O1981" s="12">
        <f>L1981*COS(RADIANS(K1981))</f>
        <v>0</v>
      </c>
      <c r="P1981" s="5">
        <v>2.2049389592715656</v>
      </c>
      <c r="Q1981" s="5">
        <v>0.25576909993181396</v>
      </c>
      <c r="R1981" s="6">
        <f>P1981/Q1981</f>
        <v>8.6208183860340633</v>
      </c>
    </row>
    <row r="1982" spans="1:18" x14ac:dyDescent="0.35">
      <c r="A1982" s="9">
        <v>1983</v>
      </c>
      <c r="B1982" s="5">
        <v>0.25</v>
      </c>
      <c r="C1982" s="5">
        <v>2000000</v>
      </c>
      <c r="D1982" s="5">
        <v>20</v>
      </c>
      <c r="E1982" s="5">
        <v>0.125</v>
      </c>
      <c r="F1982" s="5">
        <v>3.5000000000000003E-2</v>
      </c>
      <c r="G1982" s="12">
        <f>(C1982*$U$4)/($U$5*$U$3)</f>
        <v>29.387755102040813</v>
      </c>
      <c r="H1982" s="11">
        <f>G1982*COS(RADIANS(D1982))</f>
        <v>27.615456610851183</v>
      </c>
      <c r="I1982" s="11">
        <f>G1982*SIN(RADIANS(D1982))</f>
        <v>10.051204212019652</v>
      </c>
      <c r="J1982" s="11">
        <v>0.19020000000000001</v>
      </c>
      <c r="K1982" s="12">
        <v>46</v>
      </c>
      <c r="L1982" s="12">
        <f>-(F1982*G1982*$U$3)/J1982</f>
        <v>-5.40784136998648</v>
      </c>
      <c r="M1982" s="11">
        <f>ABS(L1982/$U$6)</f>
        <v>1.5766301370222974E-2</v>
      </c>
      <c r="N1982" s="12">
        <f>L1982*SIN(RADIANS(K1982))</f>
        <v>-3.8900755313491717</v>
      </c>
      <c r="O1982" s="12">
        <f>L1982*COS(RADIANS(K1982))</f>
        <v>-3.7566022737755596</v>
      </c>
      <c r="P1982" s="5">
        <v>2.216574531320636</v>
      </c>
      <c r="Q1982" s="5">
        <v>0.69108577851864839</v>
      </c>
      <c r="R1982" s="6">
        <f>P1982/Q1982</f>
        <v>3.2073797496916998</v>
      </c>
    </row>
    <row r="1983" spans="1:18" x14ac:dyDescent="0.35">
      <c r="A1983" s="9">
        <v>1984</v>
      </c>
      <c r="B1983" s="5">
        <v>0.25</v>
      </c>
      <c r="C1983" s="5">
        <v>6000000</v>
      </c>
      <c r="D1983" s="5">
        <v>20</v>
      </c>
      <c r="E1983" s="5">
        <v>0</v>
      </c>
      <c r="F1983" s="5">
        <v>0.05</v>
      </c>
      <c r="G1983" s="12">
        <f>(C1983*$U$4)/($U$5*$U$3)</f>
        <v>88.16326530612244</v>
      </c>
      <c r="H1983" s="11">
        <f>G1983*COS(RADIANS(D1983))</f>
        <v>82.846369832553549</v>
      </c>
      <c r="I1983" s="11">
        <f>G1983*SIN(RADIANS(D1983))</f>
        <v>30.153612636058952</v>
      </c>
      <c r="J1983" s="12">
        <v>0.18990000000000001</v>
      </c>
      <c r="K1983" s="12">
        <v>0</v>
      </c>
      <c r="L1983" s="12">
        <f>-(F1983*G1983*$U$3)/J1983</f>
        <v>-23.213076699874257</v>
      </c>
      <c r="M1983" s="11">
        <f>ABS(L1983/$U$6)</f>
        <v>6.7676608454443898E-2</v>
      </c>
      <c r="N1983" s="12">
        <f>L1983*SIN(RADIANS(K1983))</f>
        <v>0</v>
      </c>
      <c r="O1983" s="12">
        <f>L1983*COS(RADIANS(K1983))</f>
        <v>-23.213076699874257</v>
      </c>
      <c r="P1983" s="5">
        <v>2.3231427344624955</v>
      </c>
      <c r="Q1983" s="5">
        <v>0.65379179249112029</v>
      </c>
      <c r="R1983" s="6">
        <f>P1983/Q1983</f>
        <v>3.5533372568210209</v>
      </c>
    </row>
    <row r="1984" spans="1:18" x14ac:dyDescent="0.35">
      <c r="A1984" s="9">
        <v>1985</v>
      </c>
      <c r="B1984" s="5">
        <v>0.25</v>
      </c>
      <c r="C1984" s="5">
        <v>4000000</v>
      </c>
      <c r="D1984" s="5">
        <v>10</v>
      </c>
      <c r="E1984" s="5">
        <v>0</v>
      </c>
      <c r="F1984" s="5">
        <v>0</v>
      </c>
      <c r="G1984" s="12">
        <f>(C1984*$U$4)/($U$5*$U$3)</f>
        <v>58.775510204081627</v>
      </c>
      <c r="H1984" s="11">
        <f>G1984*COS(RADIANS(D1984))</f>
        <v>57.882578136227728</v>
      </c>
      <c r="I1984" s="11">
        <f>G1984*SIN(RADIANS(D1984))</f>
        <v>10.206260238382843</v>
      </c>
      <c r="J1984" s="12">
        <v>0.18990000000000001</v>
      </c>
      <c r="K1984" s="12">
        <v>0</v>
      </c>
      <c r="L1984" s="12">
        <f>-(F1984*G1984*$U$3)/J1984</f>
        <v>0</v>
      </c>
      <c r="M1984" s="11">
        <f>ABS(L1984/$U$6)</f>
        <v>0</v>
      </c>
      <c r="N1984" s="12">
        <f>L1984*SIN(RADIANS(K1984))</f>
        <v>0</v>
      </c>
      <c r="O1984" s="12">
        <f>L1984*COS(RADIANS(K1984))</f>
        <v>0</v>
      </c>
      <c r="P1984" s="5">
        <v>2.2931983190871534</v>
      </c>
      <c r="Q1984" s="5">
        <v>0.52381658495540162</v>
      </c>
      <c r="R1984" s="6">
        <f>P1984/Q1984</f>
        <v>4.3778650484737884</v>
      </c>
    </row>
    <row r="1985" spans="1:18" x14ac:dyDescent="0.35">
      <c r="A1985" s="9">
        <v>1986</v>
      </c>
      <c r="B1985" s="5">
        <v>0.1</v>
      </c>
      <c r="C1985" s="5">
        <v>6000000</v>
      </c>
      <c r="D1985" s="5">
        <v>5</v>
      </c>
      <c r="E1985" s="5">
        <v>0.25</v>
      </c>
      <c r="F1985" s="5">
        <v>1.4999999999999999E-2</v>
      </c>
      <c r="G1985" s="12">
        <f>(C1985*$U$4)/($U$5*$U$3)</f>
        <v>88.16326530612244</v>
      </c>
      <c r="H1985" s="11">
        <f>G1985*COS(RADIANS(D1985))</f>
        <v>87.827777464415107</v>
      </c>
      <c r="I1985" s="11">
        <f>G1985*SIN(RADIANS(D1985))</f>
        <v>7.6839348708139434</v>
      </c>
      <c r="J1985" s="11">
        <v>0.1661</v>
      </c>
      <c r="K1985" s="12">
        <v>80</v>
      </c>
      <c r="L1985" s="12">
        <f>-(F1985*G1985*$U$3)/J1985</f>
        <v>-7.9617638747250847</v>
      </c>
      <c r="M1985" s="11">
        <f>ABS(L1985/$U$6)</f>
        <v>2.3212139576457971E-2</v>
      </c>
      <c r="N1985" s="12">
        <f>L1985*SIN(RADIANS(K1985))</f>
        <v>-7.8408067914817812</v>
      </c>
      <c r="O1985" s="12">
        <f>L1985*COS(RADIANS(K1985))</f>
        <v>-1.3825457878604097</v>
      </c>
      <c r="P1985" s="5">
        <v>1.4762584582813576</v>
      </c>
      <c r="Q1985" s="5">
        <v>0.33962985308220756</v>
      </c>
      <c r="R1985" s="6">
        <f>P1985/Q1985</f>
        <v>4.3466687185594033</v>
      </c>
    </row>
    <row r="1986" spans="1:18" x14ac:dyDescent="0.35">
      <c r="A1986" s="9">
        <v>1987</v>
      </c>
      <c r="B1986" s="5">
        <v>0.25</v>
      </c>
      <c r="C1986" s="5">
        <v>4000000</v>
      </c>
      <c r="D1986" s="5">
        <v>30</v>
      </c>
      <c r="E1986" s="5">
        <v>0.25</v>
      </c>
      <c r="F1986" s="5">
        <v>3.5000000000000003E-2</v>
      </c>
      <c r="G1986" s="12">
        <f>(C1986*$U$4)/($U$5*$U$3)</f>
        <v>58.775510204081627</v>
      </c>
      <c r="H1986" s="11">
        <f>G1986*COS(RADIANS(D1986))</f>
        <v>50.901084957126187</v>
      </c>
      <c r="I1986" s="11">
        <f>G1986*SIN(RADIANS(D1986))</f>
        <v>29.38775510204081</v>
      </c>
      <c r="J1986" s="12">
        <v>0.1913</v>
      </c>
      <c r="K1986" s="11">
        <v>67</v>
      </c>
      <c r="L1986" s="12">
        <f>-(F1986*G1986*$U$3)/J1986</f>
        <v>-10.753491150772906</v>
      </c>
      <c r="M1986" s="11">
        <f>ABS(L1986/$U$6)</f>
        <v>3.1351286153856871E-2</v>
      </c>
      <c r="N1986" s="12">
        <f>L1986*SIN(RADIANS(K1986))</f>
        <v>-9.8986407958443277</v>
      </c>
      <c r="O1986" s="12">
        <f>L1986*COS(RADIANS(K1986))</f>
        <v>-4.2017237325409162</v>
      </c>
      <c r="P1986" s="5">
        <v>2.2418944196968478</v>
      </c>
      <c r="Q1986" s="5">
        <v>0.91459838412303318</v>
      </c>
      <c r="R1986" s="6">
        <f>P1986/Q1986</f>
        <v>2.4512337421703392</v>
      </c>
    </row>
    <row r="1987" spans="1:18" x14ac:dyDescent="0.35">
      <c r="A1987" s="9">
        <v>1988</v>
      </c>
      <c r="B1987" s="5">
        <v>0.5</v>
      </c>
      <c r="C1987" s="5">
        <v>2000000</v>
      </c>
      <c r="D1987" s="5">
        <v>10</v>
      </c>
      <c r="E1987" s="5">
        <v>0.375</v>
      </c>
      <c r="F1987" s="5">
        <v>0</v>
      </c>
      <c r="G1987" s="12">
        <f>(C1987*$U$4)/($U$5*$U$3)</f>
        <v>29.387755102040813</v>
      </c>
      <c r="H1987" s="11">
        <f>G1987*COS(RADIANS(D1987))</f>
        <v>28.941289068113864</v>
      </c>
      <c r="I1987" s="11">
        <f>G1987*SIN(RADIANS(D1987))</f>
        <v>5.1031301191914213</v>
      </c>
      <c r="J1987" s="12">
        <v>0.24809999999999999</v>
      </c>
      <c r="K1987" s="12">
        <v>67</v>
      </c>
      <c r="L1987" s="12">
        <f>-(F1987*G1987*$U$3)/J1987</f>
        <v>0</v>
      </c>
      <c r="M1987" s="11">
        <f>ABS(L1987/$U$6)</f>
        <v>0</v>
      </c>
      <c r="N1987" s="12">
        <f>L1987*SIN(RADIANS(K1987))</f>
        <v>0</v>
      </c>
      <c r="O1987" s="12">
        <f>L1987*COS(RADIANS(K1987))</f>
        <v>0</v>
      </c>
      <c r="P1987" s="5">
        <v>3.7429171859497656</v>
      </c>
      <c r="Q1987" s="5">
        <v>0.81373218486102961</v>
      </c>
      <c r="R1987" s="6">
        <f>P1987/Q1987</f>
        <v>4.5996917113325022</v>
      </c>
    </row>
    <row r="1988" spans="1:18" x14ac:dyDescent="0.35">
      <c r="A1988" s="9">
        <v>1989</v>
      </c>
      <c r="B1988" s="5">
        <v>0.1</v>
      </c>
      <c r="C1988" s="5">
        <v>6000000</v>
      </c>
      <c r="D1988" s="5">
        <v>0</v>
      </c>
      <c r="E1988" s="5">
        <v>0.125</v>
      </c>
      <c r="F1988" s="5">
        <v>2.5000000000000001E-2</v>
      </c>
      <c r="G1988" s="12">
        <f>(C1988*$U$4)/($U$5*$U$3)</f>
        <v>88.16326530612244</v>
      </c>
      <c r="H1988" s="11">
        <f>G1988*COS(RADIANS(D1988))</f>
        <v>88.16326530612244</v>
      </c>
      <c r="I1988" s="11">
        <f>G1988*SIN(RADIANS(D1988))</f>
        <v>0</v>
      </c>
      <c r="J1988" s="12">
        <v>0.1658</v>
      </c>
      <c r="K1988" s="12">
        <v>69</v>
      </c>
      <c r="L1988" s="12">
        <f>-(F1988*G1988*$U$3)/J1988</f>
        <v>-13.293616602250067</v>
      </c>
      <c r="M1988" s="11">
        <f>ABS(L1988/$U$6)</f>
        <v>3.8756899715014774E-2</v>
      </c>
      <c r="N1988" s="12">
        <f>L1988*SIN(RADIANS(K1988))</f>
        <v>-12.410660257218899</v>
      </c>
      <c r="O1988" s="12">
        <f>L1988*COS(RADIANS(K1988))</f>
        <v>-4.7640061237897191</v>
      </c>
      <c r="P1988" s="5">
        <v>1.2320534447128439</v>
      </c>
      <c r="Q1988" s="5">
        <v>0.23970635828233774</v>
      </c>
      <c r="R1988" s="6">
        <f>P1988/Q1988</f>
        <v>5.1398446563593936</v>
      </c>
    </row>
    <row r="1989" spans="1:18" x14ac:dyDescent="0.35">
      <c r="A1989" s="9">
        <v>1990</v>
      </c>
      <c r="B1989" s="5">
        <v>0.5</v>
      </c>
      <c r="C1989" s="5">
        <v>6000000</v>
      </c>
      <c r="D1989" s="5">
        <v>30</v>
      </c>
      <c r="E1989" s="5">
        <v>0</v>
      </c>
      <c r="F1989" s="5">
        <v>3.5000000000000003E-2</v>
      </c>
      <c r="G1989" s="12">
        <f>(C1989*$U$4)/($U$5*$U$3)</f>
        <v>88.16326530612244</v>
      </c>
      <c r="H1989" s="11">
        <f>G1989*COS(RADIANS(D1989))</f>
        <v>76.351627435689281</v>
      </c>
      <c r="I1989" s="11">
        <f>G1989*SIN(RADIANS(D1989))</f>
        <v>44.081632653061213</v>
      </c>
      <c r="J1989" s="12">
        <v>0.23230000000000001</v>
      </c>
      <c r="K1989" s="12">
        <v>0</v>
      </c>
      <c r="L1989" s="12">
        <f>-(F1989*G1989*$U$3)/J1989</f>
        <v>-13.283315909230675</v>
      </c>
      <c r="M1989" s="11">
        <f>ABS(L1989/$U$6)</f>
        <v>3.8726868540031122E-2</v>
      </c>
      <c r="N1989" s="12">
        <f>L1989*SIN(RADIANS(K1989))</f>
        <v>0</v>
      </c>
      <c r="O1989" s="12">
        <f>L1989*COS(RADIANS(K1989))</f>
        <v>-13.283315909230675</v>
      </c>
      <c r="P1989" s="5">
        <v>2.4131400446836686</v>
      </c>
      <c r="Q1989" s="5">
        <v>1.0556554183939912</v>
      </c>
      <c r="R1989" s="6">
        <f>P1989/Q1989</f>
        <v>2.2859164104465739</v>
      </c>
    </row>
    <row r="1990" spans="1:18" x14ac:dyDescent="0.35">
      <c r="A1990" s="9">
        <v>1991</v>
      </c>
      <c r="B1990" s="5">
        <v>1</v>
      </c>
      <c r="C1990" s="5">
        <v>2000000</v>
      </c>
      <c r="D1990" s="5">
        <v>15</v>
      </c>
      <c r="E1990" s="5">
        <v>0.25</v>
      </c>
      <c r="F1990" s="5">
        <v>3.5000000000000003E-2</v>
      </c>
      <c r="G1990" s="12">
        <f>(C1990*$U$4)/($U$5*$U$3)</f>
        <v>29.387755102040813</v>
      </c>
      <c r="H1990" s="11">
        <f>G1990*COS(RADIANS(D1990))</f>
        <v>28.386391629719554</v>
      </c>
      <c r="I1990" s="11">
        <f>G1990*SIN(RADIANS(D1990))</f>
        <v>7.6061107132169354</v>
      </c>
      <c r="J1990" s="13">
        <v>0.33379999999999999</v>
      </c>
      <c r="K1990" s="12">
        <v>30</v>
      </c>
      <c r="L1990" s="12">
        <f>-(F1990*G1990*$U$3)/J1990</f>
        <v>-3.0814003252589233</v>
      </c>
      <c r="M1990" s="11">
        <f>ABS(L1990/$U$6)</f>
        <v>8.983674417664499E-3</v>
      </c>
      <c r="N1990" s="12">
        <f>L1990*SIN(RADIANS(K1990))</f>
        <v>-1.5407001626294614</v>
      </c>
      <c r="O1990" s="12">
        <f>L1990*COS(RADIANS(K1990))</f>
        <v>-2.6685709609038599</v>
      </c>
      <c r="P1990" s="5">
        <v>3.7673961610534161</v>
      </c>
      <c r="Q1990" s="5">
        <v>0.81748878732383778</v>
      </c>
      <c r="R1990" s="6">
        <f>P1990/Q1990</f>
        <v>4.6084988803167644</v>
      </c>
    </row>
    <row r="1991" spans="1:18" x14ac:dyDescent="0.35">
      <c r="A1991" s="9">
        <v>1992</v>
      </c>
      <c r="B1991" s="5">
        <v>1</v>
      </c>
      <c r="C1991" s="5">
        <v>2000000</v>
      </c>
      <c r="D1991" s="5">
        <v>30</v>
      </c>
      <c r="E1991" s="5">
        <v>0.25</v>
      </c>
      <c r="F1991" s="5">
        <v>0.1</v>
      </c>
      <c r="G1991" s="12">
        <f>(C1991*$U$4)/($U$5*$U$3)</f>
        <v>29.387755102040813</v>
      </c>
      <c r="H1991" s="11">
        <f>G1991*COS(RADIANS(D1991))</f>
        <v>25.450542478563094</v>
      </c>
      <c r="I1991" s="11">
        <f>G1991*SIN(RADIANS(D1991))</f>
        <v>14.693877551020405</v>
      </c>
      <c r="J1991" s="13">
        <v>0.33379999999999999</v>
      </c>
      <c r="K1991" s="12">
        <v>30</v>
      </c>
      <c r="L1991" s="12">
        <f>-(F1991*G1991*$U$3)/J1991</f>
        <v>-8.8040009293112096</v>
      </c>
      <c r="M1991" s="11">
        <f>ABS(L1991/$U$6)</f>
        <v>2.566764119332714E-2</v>
      </c>
      <c r="N1991" s="12">
        <f>L1991*SIN(RADIANS(K1991))</f>
        <v>-4.4020004646556039</v>
      </c>
      <c r="O1991" s="12">
        <f>L1991*COS(RADIANS(K1991))</f>
        <v>-7.6244884597253142</v>
      </c>
      <c r="P1991" s="5">
        <v>9.8791970762841554</v>
      </c>
      <c r="Q1991" s="5">
        <v>1.5760449695213694</v>
      </c>
      <c r="R1991" s="6">
        <f>P1991/Q1991</f>
        <v>6.2683472028620972</v>
      </c>
    </row>
    <row r="1992" spans="1:18" x14ac:dyDescent="0.35">
      <c r="A1992" s="9">
        <v>1993</v>
      </c>
      <c r="B1992" s="5">
        <v>0.25</v>
      </c>
      <c r="C1992" s="5">
        <v>6000000</v>
      </c>
      <c r="D1992" s="5">
        <v>15</v>
      </c>
      <c r="E1992" s="5">
        <v>0.25</v>
      </c>
      <c r="F1992" s="5">
        <v>3.5000000000000003E-2</v>
      </c>
      <c r="G1992" s="12">
        <f>(C1992*$U$4)/($U$5*$U$3)</f>
        <v>88.16326530612244</v>
      </c>
      <c r="H1992" s="11">
        <f>G1992*COS(RADIANS(D1992))</f>
        <v>85.159174889158663</v>
      </c>
      <c r="I1992" s="11">
        <f>G1992*SIN(RADIANS(D1992))</f>
        <v>22.818332139650806</v>
      </c>
      <c r="J1992" s="12">
        <v>0.1913</v>
      </c>
      <c r="K1992" s="11">
        <v>67</v>
      </c>
      <c r="L1992" s="12">
        <f>-(F1992*G1992*$U$3)/J1992</f>
        <v>-16.13023672615936</v>
      </c>
      <c r="M1992" s="11">
        <f>ABS(L1992/$U$6)</f>
        <v>4.702692923078531E-2</v>
      </c>
      <c r="N1992" s="12">
        <f>L1992*SIN(RADIANS(K1992))</f>
        <v>-14.847961193766494</v>
      </c>
      <c r="O1992" s="12">
        <f>L1992*COS(RADIANS(K1992))</f>
        <v>-6.3025855988113744</v>
      </c>
      <c r="P1992" s="5">
        <v>2.1923251545453253</v>
      </c>
      <c r="Q1992" s="5">
        <v>0.51687298534638615</v>
      </c>
      <c r="R1992" s="6">
        <f>P1992/Q1992</f>
        <v>4.2415162268078737</v>
      </c>
    </row>
    <row r="1993" spans="1:18" x14ac:dyDescent="0.35">
      <c r="A1993" s="9">
        <v>1994</v>
      </c>
      <c r="B1993" s="5">
        <v>0.75</v>
      </c>
      <c r="C1993" s="5">
        <v>2000000</v>
      </c>
      <c r="D1993" s="5">
        <v>10</v>
      </c>
      <c r="E1993" s="5">
        <v>0.125</v>
      </c>
      <c r="F1993" s="5">
        <v>1.4999999999999999E-2</v>
      </c>
      <c r="G1993" s="12">
        <f>(C1993*$U$4)/($U$5*$U$3)</f>
        <v>29.387755102040813</v>
      </c>
      <c r="H1993" s="11">
        <f>G1993*COS(RADIANS(D1993))</f>
        <v>28.941289068113864</v>
      </c>
      <c r="I1993" s="11">
        <f>G1993*SIN(RADIANS(D1993))</f>
        <v>5.1031301191914213</v>
      </c>
      <c r="J1993" s="12">
        <v>0.2802</v>
      </c>
      <c r="K1993" s="12">
        <v>19</v>
      </c>
      <c r="L1993" s="12">
        <f>-(F1993*G1993*$U$3)/J1993</f>
        <v>-1.5732202945417995</v>
      </c>
      <c r="M1993" s="11">
        <f>ABS(L1993/$U$6)</f>
        <v>4.5866480890431474E-3</v>
      </c>
      <c r="N1993" s="12">
        <f>L1993*SIN(RADIANS(K1993))</f>
        <v>-0.51219042784851809</v>
      </c>
      <c r="O1993" s="12">
        <f>L1993*COS(RADIANS(K1993))</f>
        <v>-1.4875090119990999</v>
      </c>
      <c r="P1993" s="5">
        <v>4.1162957158464888</v>
      </c>
      <c r="Q1993" s="5">
        <v>0.65595363665328243</v>
      </c>
      <c r="R1993" s="6">
        <f>P1993/Q1993</f>
        <v>6.2752845412186353</v>
      </c>
    </row>
    <row r="1994" spans="1:18" x14ac:dyDescent="0.35">
      <c r="A1994" s="9">
        <v>1133</v>
      </c>
      <c r="B1994" s="5">
        <v>0.5</v>
      </c>
      <c r="C1994" s="5">
        <v>6000000</v>
      </c>
      <c r="D1994" s="5">
        <v>10</v>
      </c>
      <c r="E1994" s="5">
        <v>0.375</v>
      </c>
      <c r="F1994" s="5">
        <v>0.1</v>
      </c>
      <c r="G1994" s="12">
        <f>(C1994*$U$4)/($U$5*$U$3)</f>
        <v>88.16326530612244</v>
      </c>
      <c r="H1994" s="11">
        <f>G1994*COS(RADIANS(D1994))</f>
        <v>86.823867204341596</v>
      </c>
      <c r="I1994" s="11">
        <f>G1994*SIN(RADIANS(D1994))</f>
        <v>15.309390357574264</v>
      </c>
      <c r="J1994" s="19">
        <v>0.24809999999999999</v>
      </c>
      <c r="K1994" s="12">
        <v>67</v>
      </c>
      <c r="L1994" s="12">
        <f>-(F1994*G1994*$U$3)/J1994</f>
        <v>-35.535374972237989</v>
      </c>
      <c r="M1994" s="11">
        <f>ABS(L1994/$U$6)</f>
        <v>0.10360167630390084</v>
      </c>
      <c r="N1994" s="12">
        <f>L1994*SIN(RADIANS(K1994))</f>
        <v>-32.710485131197444</v>
      </c>
      <c r="O1994" s="12">
        <f>L1994*COS(RADIANS(K1994))</f>
        <v>-13.884777164192043</v>
      </c>
      <c r="P1994" s="5">
        <v>4.1826290937440715</v>
      </c>
      <c r="Q1994" s="5">
        <v>7.7705917512106912E-2</v>
      </c>
      <c r="R1994" s="6">
        <f>P1994/Q1994</f>
        <v>53.826390932098576</v>
      </c>
    </row>
    <row r="1995" spans="1:18" x14ac:dyDescent="0.35">
      <c r="A1995" s="9">
        <v>1996</v>
      </c>
      <c r="B1995" s="5">
        <v>0.75</v>
      </c>
      <c r="C1995" s="5">
        <v>2000000</v>
      </c>
      <c r="D1995" s="5">
        <v>5</v>
      </c>
      <c r="E1995" s="5">
        <v>0.125</v>
      </c>
      <c r="F1995" s="5">
        <v>0</v>
      </c>
      <c r="G1995" s="12">
        <f>(C1995*$U$4)/($U$5*$U$3)</f>
        <v>29.387755102040813</v>
      </c>
      <c r="H1995" s="11">
        <f>G1995*COS(RADIANS(D1995))</f>
        <v>29.275925821471702</v>
      </c>
      <c r="I1995" s="11">
        <f>G1995*SIN(RADIANS(D1995))</f>
        <v>2.5613116236046478</v>
      </c>
      <c r="J1995" s="12">
        <v>0.2802</v>
      </c>
      <c r="K1995" s="12">
        <v>19</v>
      </c>
      <c r="L1995" s="12">
        <f>-(F1995*G1995*$U$3)/J1995</f>
        <v>0</v>
      </c>
      <c r="M1995" s="11">
        <f>ABS(L1995/$U$6)</f>
        <v>0</v>
      </c>
      <c r="N1995" s="12">
        <f>L1995*SIN(RADIANS(K1995))</f>
        <v>0</v>
      </c>
      <c r="O1995" s="12">
        <f>L1995*COS(RADIANS(K1995))</f>
        <v>0</v>
      </c>
      <c r="P1995" s="5">
        <v>5.2530344899397088</v>
      </c>
      <c r="Q1995" s="5">
        <v>1.089457704044188</v>
      </c>
      <c r="R1995" s="6">
        <f>P1995/Q1995</f>
        <v>4.8216965839425079</v>
      </c>
    </row>
    <row r="1996" spans="1:18" x14ac:dyDescent="0.35">
      <c r="A1996" s="9">
        <v>1997</v>
      </c>
      <c r="B1996" s="5">
        <v>0.75</v>
      </c>
      <c r="C1996" s="5">
        <v>2000000</v>
      </c>
      <c r="D1996" s="5">
        <v>5</v>
      </c>
      <c r="E1996" s="5">
        <v>0</v>
      </c>
      <c r="F1996" s="5">
        <v>1.4999999999999999E-2</v>
      </c>
      <c r="G1996" s="12">
        <f>(C1996*$U$4)/($U$5*$U$3)</f>
        <v>29.387755102040813</v>
      </c>
      <c r="H1996" s="11">
        <f>G1996*COS(RADIANS(D1996))</f>
        <v>29.275925821471702</v>
      </c>
      <c r="I1996" s="11">
        <f>G1996*SIN(RADIANS(D1996))</f>
        <v>2.5613116236046478</v>
      </c>
      <c r="J1996" s="11">
        <v>0.27929999999999999</v>
      </c>
      <c r="K1996" s="12">
        <v>0</v>
      </c>
      <c r="L1996" s="12">
        <f>-(F1996*G1996*$U$3)/J1996</f>
        <v>-1.5782897476928472</v>
      </c>
      <c r="M1996" s="11">
        <f>ABS(L1996/$U$6)</f>
        <v>4.6014278358392051E-3</v>
      </c>
      <c r="N1996" s="12">
        <f>L1996*SIN(RADIANS(K1996))</f>
        <v>0</v>
      </c>
      <c r="O1996" s="12">
        <f>L1996*COS(RADIANS(K1996))</f>
        <v>-1.5782897476928472</v>
      </c>
      <c r="P1996" s="5">
        <v>2.6339751000682394</v>
      </c>
      <c r="Q1996" s="5">
        <v>1.0763111412592767</v>
      </c>
      <c r="R1996" s="6">
        <f>P1996/Q1996</f>
        <v>2.4472245980716192</v>
      </c>
    </row>
    <row r="1997" spans="1:18" x14ac:dyDescent="0.35">
      <c r="A1997" s="9">
        <v>1998</v>
      </c>
      <c r="B1997" s="5">
        <v>1</v>
      </c>
      <c r="C1997" s="5">
        <v>6000000</v>
      </c>
      <c r="D1997" s="5">
        <v>0</v>
      </c>
      <c r="E1997" s="5">
        <v>0</v>
      </c>
      <c r="F1997" s="5">
        <v>0.05</v>
      </c>
      <c r="G1997" s="12">
        <f>(C1997*$U$4)/($U$5*$U$3)</f>
        <v>88.16326530612244</v>
      </c>
      <c r="H1997" s="11">
        <f>G1997*COS(RADIANS(D1997))</f>
        <v>88.16326530612244</v>
      </c>
      <c r="I1997" s="11">
        <f>G1997*SIN(RADIANS(D1997))</f>
        <v>0</v>
      </c>
      <c r="J1997" s="11">
        <v>0.33379999999999999</v>
      </c>
      <c r="K1997" s="12">
        <v>0</v>
      </c>
      <c r="L1997" s="12">
        <f>-(F1997*G1997*$U$3)/J1997</f>
        <v>-13.206001393966813</v>
      </c>
      <c r="M1997" s="11">
        <f>ABS(L1997/$U$6)</f>
        <v>3.8501461789990712E-2</v>
      </c>
      <c r="N1997" s="12">
        <f>L1997*SIN(RADIANS(K1997))</f>
        <v>0</v>
      </c>
      <c r="O1997" s="12">
        <f>L1997*COS(RADIANS(K1997))</f>
        <v>-13.206001393966813</v>
      </c>
      <c r="P1997" s="5">
        <v>3.0821578225162045</v>
      </c>
      <c r="Q1997" s="5">
        <v>1.2043518302311123</v>
      </c>
      <c r="R1997" s="6">
        <f>P1997/Q1997</f>
        <v>2.5591839071849507</v>
      </c>
    </row>
    <row r="1998" spans="1:18" x14ac:dyDescent="0.35">
      <c r="A1998" s="9">
        <v>1999</v>
      </c>
      <c r="B1998" s="5">
        <v>1</v>
      </c>
      <c r="C1998" s="5">
        <v>2000000</v>
      </c>
      <c r="D1998" s="5">
        <v>10</v>
      </c>
      <c r="E1998" s="5">
        <v>0</v>
      </c>
      <c r="F1998" s="5">
        <v>0</v>
      </c>
      <c r="G1998" s="12">
        <f>(C1998*$U$4)/($U$5*$U$3)</f>
        <v>29.387755102040813</v>
      </c>
      <c r="H1998" s="11">
        <f>G1998*COS(RADIANS(D1998))</f>
        <v>28.941289068113864</v>
      </c>
      <c r="I1998" s="11">
        <f>G1998*SIN(RADIANS(D1998))</f>
        <v>5.1031301191914213</v>
      </c>
      <c r="J1998" s="11">
        <v>0.33379999999999999</v>
      </c>
      <c r="K1998" s="12">
        <v>0</v>
      </c>
      <c r="L1998" s="12">
        <f>-(F1998*G1998*$U$3)/J1998</f>
        <v>0</v>
      </c>
      <c r="M1998" s="11">
        <f>ABS(L1998/$U$6)</f>
        <v>0</v>
      </c>
      <c r="N1998" s="12">
        <f>L1998*SIN(RADIANS(K1998))</f>
        <v>0</v>
      </c>
      <c r="O1998" s="12">
        <f>L1998*COS(RADIANS(K1998))</f>
        <v>0</v>
      </c>
      <c r="P1998" s="5">
        <v>5.7899369143070452</v>
      </c>
      <c r="Q1998" s="5">
        <v>1.9794654047211935</v>
      </c>
      <c r="R1998" s="6">
        <f>P1998/Q1998</f>
        <v>2.9250003058894349</v>
      </c>
    </row>
    <row r="1999" spans="1:18" x14ac:dyDescent="0.35">
      <c r="A1999" s="9">
        <v>2000</v>
      </c>
      <c r="B1999" s="5">
        <v>0.75</v>
      </c>
      <c r="C1999" s="5">
        <v>6000000</v>
      </c>
      <c r="D1999" s="5">
        <v>5</v>
      </c>
      <c r="E1999" s="5">
        <v>0.125</v>
      </c>
      <c r="F1999" s="5">
        <v>0.05</v>
      </c>
      <c r="G1999" s="12">
        <f>(C1999*$U$4)/($U$5*$U$3)</f>
        <v>88.16326530612244</v>
      </c>
      <c r="H1999" s="11">
        <f>G1999*COS(RADIANS(D1999))</f>
        <v>87.827777464415107</v>
      </c>
      <c r="I1999" s="11">
        <f>G1999*SIN(RADIANS(D1999))</f>
        <v>7.6839348708139434</v>
      </c>
      <c r="J1999" s="12">
        <v>0.2802</v>
      </c>
      <c r="K1999" s="12">
        <v>19</v>
      </c>
      <c r="L1999" s="12">
        <f>-(F1999*G1999*$U$3)/J1999</f>
        <v>-15.732202945417994</v>
      </c>
      <c r="M1999" s="11">
        <f>ABS(L1999/$U$6)</f>
        <v>4.5866480890431466E-2</v>
      </c>
      <c r="N1999" s="12">
        <f>L1999*SIN(RADIANS(K1999))</f>
        <v>-5.1219042784851814</v>
      </c>
      <c r="O1999" s="12">
        <f>L1999*COS(RADIANS(K1999))</f>
        <v>-14.875090119990999</v>
      </c>
      <c r="P1999" s="5">
        <v>4.8709561108649879</v>
      </c>
      <c r="Q1999" s="5">
        <v>0.31019764748938644</v>
      </c>
      <c r="R1999" s="6">
        <f>P1999/Q1999</f>
        <v>15.702750005644869</v>
      </c>
    </row>
    <row r="2000" spans="1:18" x14ac:dyDescent="0.35">
      <c r="A2000" s="9">
        <v>2001</v>
      </c>
      <c r="B2000" s="5">
        <v>0.75</v>
      </c>
      <c r="C2000" s="5">
        <v>4000000</v>
      </c>
      <c r="D2000" s="5">
        <v>5</v>
      </c>
      <c r="E2000" s="5">
        <v>0</v>
      </c>
      <c r="F2000" s="5">
        <v>0</v>
      </c>
      <c r="G2000" s="12">
        <f>(C2000*$U$4)/($U$5*$U$3)</f>
        <v>58.775510204081627</v>
      </c>
      <c r="H2000" s="11">
        <f>G2000*COS(RADIANS(D2000))</f>
        <v>58.551851642943404</v>
      </c>
      <c r="I2000" s="11">
        <f>G2000*SIN(RADIANS(D2000))</f>
        <v>5.1226232472092956</v>
      </c>
      <c r="J2000" s="11">
        <v>0.27929999999999999</v>
      </c>
      <c r="K2000" s="12">
        <v>0</v>
      </c>
      <c r="L2000" s="12">
        <f>-(F2000*G2000*$U$3)/J2000</f>
        <v>0</v>
      </c>
      <c r="M2000" s="11">
        <f>ABS(L2000/$U$6)</f>
        <v>0</v>
      </c>
      <c r="N2000" s="12">
        <f>L2000*SIN(RADIANS(K2000))</f>
        <v>0</v>
      </c>
      <c r="O2000" s="12">
        <f>L2000*COS(RADIANS(K2000))</f>
        <v>0</v>
      </c>
      <c r="P2000" s="5">
        <v>4.1221935626605877</v>
      </c>
      <c r="Q2000" s="5">
        <v>1.2597979578294836</v>
      </c>
      <c r="R2000" s="6">
        <f>P2000/Q2000</f>
        <v>3.2721068779653759</v>
      </c>
    </row>
    <row r="2001" spans="1:18" x14ac:dyDescent="0.35">
      <c r="A2001" s="9">
        <v>2002</v>
      </c>
      <c r="B2001" s="5">
        <v>0.5</v>
      </c>
      <c r="C2001" s="5">
        <v>6000000</v>
      </c>
      <c r="D2001" s="5">
        <v>0</v>
      </c>
      <c r="E2001" s="5">
        <v>0.125</v>
      </c>
      <c r="F2001" s="5">
        <v>2.5000000000000001E-2</v>
      </c>
      <c r="G2001" s="12">
        <f>(C2001*$U$4)/($U$5*$U$3)</f>
        <v>88.16326530612244</v>
      </c>
      <c r="H2001" s="11">
        <f>G2001*COS(RADIANS(D2001))</f>
        <v>88.16326530612244</v>
      </c>
      <c r="I2001" s="11">
        <f>G2001*SIN(RADIANS(D2001))</f>
        <v>0</v>
      </c>
      <c r="J2001" s="12">
        <v>0.23300000000000001</v>
      </c>
      <c r="K2001" s="11">
        <v>27</v>
      </c>
      <c r="L2001" s="12">
        <f>-(F2001*G2001*$U$3)/J2001</f>
        <v>-9.4595778225453255</v>
      </c>
      <c r="M2001" s="11">
        <f>ABS(L2001/$U$6)</f>
        <v>2.7578944089053429E-2</v>
      </c>
      <c r="N2001" s="12">
        <f>L2001*SIN(RADIANS(K2001))</f>
        <v>-4.2945584629824856</v>
      </c>
      <c r="O2001" s="12">
        <f>L2001*COS(RADIANS(K2001))</f>
        <v>-8.4285455559554805</v>
      </c>
      <c r="P2001" s="5">
        <v>3.7665094592586854</v>
      </c>
      <c r="Q2001" s="5">
        <v>0.15043023820150639</v>
      </c>
      <c r="R2001" s="6">
        <f>P2001/Q2001</f>
        <v>25.038246992691182</v>
      </c>
    </row>
    <row r="2002" spans="1:18" x14ac:dyDescent="0.35">
      <c r="A2002" s="9">
        <v>2003</v>
      </c>
      <c r="B2002" s="5">
        <v>0.1</v>
      </c>
      <c r="C2002" s="5">
        <v>2000000</v>
      </c>
      <c r="D2002" s="5">
        <v>5</v>
      </c>
      <c r="E2002" s="5">
        <v>0.25</v>
      </c>
      <c r="F2002" s="5">
        <v>0.05</v>
      </c>
      <c r="G2002" s="12">
        <f>(C2002*$U$4)/($U$5*$U$3)</f>
        <v>29.387755102040813</v>
      </c>
      <c r="H2002" s="11">
        <f>G2002*COS(RADIANS(D2002))</f>
        <v>29.275925821471702</v>
      </c>
      <c r="I2002" s="11">
        <f>G2002*SIN(RADIANS(D2002))</f>
        <v>2.5613116236046478</v>
      </c>
      <c r="J2002" s="11">
        <v>0.1661</v>
      </c>
      <c r="K2002" s="12">
        <v>80</v>
      </c>
      <c r="L2002" s="12">
        <f>-(F2002*G2002*$U$3)/J2002</f>
        <v>-8.8464043052500951</v>
      </c>
      <c r="M2002" s="11">
        <f>ABS(L2002/$U$6)</f>
        <v>2.5791266196064418E-2</v>
      </c>
      <c r="N2002" s="12">
        <f>L2002*SIN(RADIANS(K2002))</f>
        <v>-8.7120075460908701</v>
      </c>
      <c r="O2002" s="12">
        <f>L2002*COS(RADIANS(K2002))</f>
        <v>-1.5361619865115665</v>
      </c>
      <c r="P2002" s="5">
        <v>1.6263074595406548</v>
      </c>
      <c r="Q2002" s="5">
        <v>0.34686493634672316</v>
      </c>
      <c r="R2002" s="6">
        <f>P2002/Q2002</f>
        <v>4.6885899643514621</v>
      </c>
    </row>
    <row r="2003" spans="1:18" x14ac:dyDescent="0.35">
      <c r="A2003" s="9">
        <v>2004</v>
      </c>
      <c r="B2003" s="5">
        <v>0.5</v>
      </c>
      <c r="C2003" s="5">
        <v>2000000</v>
      </c>
      <c r="D2003" s="5">
        <v>5</v>
      </c>
      <c r="E2003" s="5">
        <v>0</v>
      </c>
      <c r="F2003" s="5">
        <v>1.4999999999999999E-2</v>
      </c>
      <c r="G2003" s="12">
        <f>(C2003*$U$4)/($U$5*$U$3)</f>
        <v>29.387755102040813</v>
      </c>
      <c r="H2003" s="11">
        <f>G2003*COS(RADIANS(D2003))</f>
        <v>29.275925821471702</v>
      </c>
      <c r="I2003" s="11">
        <f>G2003*SIN(RADIANS(D2003))</f>
        <v>2.5613116236046478</v>
      </c>
      <c r="J2003" s="12">
        <v>0.23230000000000001</v>
      </c>
      <c r="K2003" s="12">
        <v>0</v>
      </c>
      <c r="L2003" s="12">
        <f>-(F2003*G2003*$U$3)/J2003</f>
        <v>-1.8976165584615248</v>
      </c>
      <c r="M2003" s="11">
        <f>ABS(L2003/$U$6)</f>
        <v>5.5324097914330166E-3</v>
      </c>
      <c r="N2003" s="12">
        <f>L2003*SIN(RADIANS(K2003))</f>
        <v>0</v>
      </c>
      <c r="O2003" s="12">
        <f>L2003*COS(RADIANS(K2003))</f>
        <v>-1.8976165584615248</v>
      </c>
      <c r="P2003" s="5">
        <v>3.166595337069579</v>
      </c>
      <c r="Q2003" s="5">
        <v>0.53600185779879583</v>
      </c>
      <c r="R2003" s="6">
        <f>P2003/Q2003</f>
        <v>5.9078066446893818</v>
      </c>
    </row>
    <row r="2004" spans="1:18" x14ac:dyDescent="0.35">
      <c r="A2004" s="9">
        <v>2005</v>
      </c>
      <c r="B2004" s="5">
        <v>0.25</v>
      </c>
      <c r="C2004" s="5">
        <v>2000000</v>
      </c>
      <c r="D2004" s="5">
        <v>15</v>
      </c>
      <c r="E2004" s="5">
        <v>0.125</v>
      </c>
      <c r="F2004" s="5">
        <v>0.1</v>
      </c>
      <c r="G2004" s="12">
        <f>(C2004*$U$4)/($U$5*$U$3)</f>
        <v>29.387755102040813</v>
      </c>
      <c r="H2004" s="11">
        <f>G2004*COS(RADIANS(D2004))</f>
        <v>28.386391629719554</v>
      </c>
      <c r="I2004" s="11">
        <f>G2004*SIN(RADIANS(D2004))</f>
        <v>7.6061107132169354</v>
      </c>
      <c r="J2004" s="11">
        <v>0.19020000000000001</v>
      </c>
      <c r="K2004" s="12">
        <v>46</v>
      </c>
      <c r="L2004" s="12">
        <f>-(F2004*G2004*$U$3)/J2004</f>
        <v>-15.450975342818513</v>
      </c>
      <c r="M2004" s="11">
        <f>ABS(L2004/$U$6)</f>
        <v>4.5046575343494204E-2</v>
      </c>
      <c r="N2004" s="12">
        <f>L2004*SIN(RADIANS(K2004))</f>
        <v>-11.114501518140489</v>
      </c>
      <c r="O2004" s="12">
        <f>L2004*COS(RADIANS(K2004))</f>
        <v>-10.733149353644455</v>
      </c>
      <c r="P2004" s="5">
        <v>2.5519766227751348</v>
      </c>
      <c r="Q2004" s="5">
        <v>0.53745743894447418</v>
      </c>
      <c r="R2004" s="6">
        <f>P2004/Q2004</f>
        <v>4.7482394657836053</v>
      </c>
    </row>
    <row r="2005" spans="1:18" x14ac:dyDescent="0.35">
      <c r="A2005" s="9">
        <v>2006</v>
      </c>
      <c r="B2005" s="5">
        <v>1</v>
      </c>
      <c r="C2005" s="5">
        <v>2000000</v>
      </c>
      <c r="D2005" s="5">
        <v>5</v>
      </c>
      <c r="E2005" s="5">
        <v>0.375</v>
      </c>
      <c r="F2005" s="5">
        <v>2.5000000000000001E-2</v>
      </c>
      <c r="G2005" s="12">
        <f>(C2005*$U$4)/($U$5*$U$3)</f>
        <v>29.387755102040813</v>
      </c>
      <c r="H2005" s="11">
        <f>G2005*COS(RADIANS(D2005))</f>
        <v>29.275925821471702</v>
      </c>
      <c r="I2005" s="11">
        <f>G2005*SIN(RADIANS(D2005))</f>
        <v>2.5613116236046478</v>
      </c>
      <c r="J2005" s="12">
        <v>0.33379999999999999</v>
      </c>
      <c r="K2005" s="11">
        <v>49</v>
      </c>
      <c r="L2005" s="12">
        <f>-(F2005*G2005*$U$3)/J2005</f>
        <v>-2.2010002323278024</v>
      </c>
      <c r="M2005" s="11">
        <f>ABS(L2005/$U$6)</f>
        <v>6.4169102983317851E-3</v>
      </c>
      <c r="N2005" s="12">
        <f>L2005*SIN(RADIANS(K2005))</f>
        <v>-1.6611159614103395</v>
      </c>
      <c r="O2005" s="12">
        <f>L2005*COS(RADIANS(K2005))</f>
        <v>-1.4439860752288589</v>
      </c>
      <c r="P2005" s="5">
        <v>4.8991270132137616</v>
      </c>
      <c r="Q2005" s="5">
        <v>-0.20053038460992248</v>
      </c>
      <c r="R2005" s="6">
        <f>P2005/Q2005</f>
        <v>-24.430846341534156</v>
      </c>
    </row>
    <row r="2006" spans="1:18" x14ac:dyDescent="0.35">
      <c r="A2006" s="9">
        <v>2007</v>
      </c>
      <c r="B2006" s="5">
        <v>1</v>
      </c>
      <c r="C2006" s="5">
        <v>6000000</v>
      </c>
      <c r="D2006" s="5">
        <v>30</v>
      </c>
      <c r="E2006" s="5">
        <v>0.375</v>
      </c>
      <c r="F2006" s="5">
        <v>0.1</v>
      </c>
      <c r="G2006" s="12">
        <f>(C2006*$U$4)/($U$5*$U$3)</f>
        <v>88.16326530612244</v>
      </c>
      <c r="H2006" s="11">
        <f>G2006*COS(RADIANS(D2006))</f>
        <v>76.351627435689281</v>
      </c>
      <c r="I2006" s="11">
        <f>G2006*SIN(RADIANS(D2006))</f>
        <v>44.081632653061213</v>
      </c>
      <c r="J2006" s="12">
        <v>0.33379999999999999</v>
      </c>
      <c r="K2006" s="11">
        <v>49</v>
      </c>
      <c r="L2006" s="12">
        <f>-(F2006*G2006*$U$3)/J2006</f>
        <v>-26.412002787933627</v>
      </c>
      <c r="M2006" s="11">
        <f>ABS(L2006/$U$6)</f>
        <v>7.7002923579981425E-2</v>
      </c>
      <c r="N2006" s="12">
        <f>L2006*SIN(RADIANS(K2006))</f>
        <v>-19.933391536924074</v>
      </c>
      <c r="O2006" s="12">
        <f>L2006*COS(RADIANS(K2006))</f>
        <v>-17.327832902746305</v>
      </c>
      <c r="P2006" s="5">
        <v>7.4863963763627179</v>
      </c>
      <c r="Q2006" s="5">
        <v>1.6450635653518049</v>
      </c>
      <c r="R2006" s="6">
        <f>P2006/Q2006</f>
        <v>4.5508249857577479</v>
      </c>
    </row>
    <row r="2007" spans="1:18" x14ac:dyDescent="0.35">
      <c r="A2007" s="9">
        <v>2008</v>
      </c>
      <c r="B2007" s="5">
        <v>0.5</v>
      </c>
      <c r="C2007" s="5">
        <v>2000000</v>
      </c>
      <c r="D2007" s="5">
        <v>20</v>
      </c>
      <c r="E2007" s="5">
        <v>0</v>
      </c>
      <c r="F2007" s="5">
        <v>0</v>
      </c>
      <c r="G2007" s="12">
        <f>(C2007*$U$4)/($U$5*$U$3)</f>
        <v>29.387755102040813</v>
      </c>
      <c r="H2007" s="11">
        <f>G2007*COS(RADIANS(D2007))</f>
        <v>27.615456610851183</v>
      </c>
      <c r="I2007" s="11">
        <f>G2007*SIN(RADIANS(D2007))</f>
        <v>10.051204212019652</v>
      </c>
      <c r="J2007" s="12">
        <v>0.23230000000000001</v>
      </c>
      <c r="K2007" s="12">
        <v>0</v>
      </c>
      <c r="L2007" s="12">
        <f>-(F2007*G2007*$U$3)/J2007</f>
        <v>0</v>
      </c>
      <c r="M2007" s="11">
        <f>ABS(L2007/$U$6)</f>
        <v>0</v>
      </c>
      <c r="N2007" s="12">
        <f>L2007*SIN(RADIANS(K2007))</f>
        <v>0</v>
      </c>
      <c r="O2007" s="12">
        <f>L2007*COS(RADIANS(K2007))</f>
        <v>0</v>
      </c>
      <c r="P2007" s="5">
        <v>3.3500790358612527</v>
      </c>
      <c r="Q2007" s="5">
        <v>1.2356348317553671</v>
      </c>
      <c r="R2007" s="6">
        <f>P2007/Q2007</f>
        <v>2.711220944704241</v>
      </c>
    </row>
    <row r="2008" spans="1:18" x14ac:dyDescent="0.35">
      <c r="A2008" s="9">
        <v>1670</v>
      </c>
      <c r="B2008" s="5">
        <v>0.5</v>
      </c>
      <c r="C2008" s="5">
        <v>4000000</v>
      </c>
      <c r="D2008" s="5">
        <v>15</v>
      </c>
      <c r="E2008" s="5">
        <v>0.375</v>
      </c>
      <c r="F2008" s="5">
        <v>0.15</v>
      </c>
      <c r="G2008" s="12">
        <f>(C2008*$U$4)/($U$5*$U$3)</f>
        <v>58.775510204081627</v>
      </c>
      <c r="H2008" s="11">
        <f>G2008*COS(RADIANS(D2008))</f>
        <v>56.772783259439109</v>
      </c>
      <c r="I2008" s="11">
        <f>G2008*SIN(RADIANS(D2008))</f>
        <v>15.212221426433871</v>
      </c>
      <c r="J2008" s="19">
        <v>0.24809999999999999</v>
      </c>
      <c r="K2008" s="12">
        <v>67</v>
      </c>
      <c r="L2008" s="12">
        <f>-(F2008*G2008*$U$3)/J2008</f>
        <v>-35.535374972237989</v>
      </c>
      <c r="M2008" s="11">
        <f>ABS(L2008/$U$6)</f>
        <v>0.10360167630390084</v>
      </c>
      <c r="N2008" s="12">
        <f>L2008*SIN(RADIANS(K2008))</f>
        <v>-32.710485131197444</v>
      </c>
      <c r="O2008" s="12">
        <f>L2008*COS(RADIANS(K2008))</f>
        <v>-13.884777164192043</v>
      </c>
      <c r="P2008" s="5">
        <v>4.9971063045669517</v>
      </c>
      <c r="Q2008" s="5">
        <v>0.28606393663783342</v>
      </c>
      <c r="R2008" s="6">
        <f>P2008/Q2008</f>
        <v>17.468494502658881</v>
      </c>
    </row>
    <row r="2009" spans="1:18" x14ac:dyDescent="0.35">
      <c r="A2009" s="9">
        <v>2010</v>
      </c>
      <c r="B2009" s="5">
        <v>0.25</v>
      </c>
      <c r="C2009" s="5">
        <v>4000000</v>
      </c>
      <c r="D2009" s="5">
        <v>15</v>
      </c>
      <c r="E2009" s="5">
        <v>0</v>
      </c>
      <c r="F2009" s="5">
        <v>2.5000000000000001E-2</v>
      </c>
      <c r="G2009" s="12">
        <f>(C2009*$U$4)/($U$5*$U$3)</f>
        <v>58.775510204081627</v>
      </c>
      <c r="H2009" s="11">
        <f>G2009*COS(RADIANS(D2009))</f>
        <v>56.772783259439109</v>
      </c>
      <c r="I2009" s="11">
        <f>G2009*SIN(RADIANS(D2009))</f>
        <v>15.212221426433871</v>
      </c>
      <c r="J2009" s="12">
        <v>0.18990000000000001</v>
      </c>
      <c r="K2009" s="12">
        <v>0</v>
      </c>
      <c r="L2009" s="12">
        <f>-(F2009*G2009*$U$3)/J2009</f>
        <v>-7.73769223329142</v>
      </c>
      <c r="M2009" s="11">
        <f>ABS(L2009/$U$6)</f>
        <v>2.2558869484814635E-2</v>
      </c>
      <c r="N2009" s="12">
        <f>L2009*SIN(RADIANS(K2009))</f>
        <v>0</v>
      </c>
      <c r="O2009" s="12">
        <f>L2009*COS(RADIANS(K2009))</f>
        <v>-7.73769223329142</v>
      </c>
      <c r="P2009" s="5">
        <v>2.0765201648537412</v>
      </c>
      <c r="Q2009" s="5">
        <v>0.54421662285910777</v>
      </c>
      <c r="R2009" s="6">
        <f>P2009/Q2009</f>
        <v>3.8156132643367116</v>
      </c>
    </row>
    <row r="2010" spans="1:18" x14ac:dyDescent="0.35">
      <c r="A2010" s="9">
        <v>2011</v>
      </c>
      <c r="B2010" s="5">
        <v>1</v>
      </c>
      <c r="C2010" s="5">
        <v>4000000</v>
      </c>
      <c r="D2010" s="5">
        <v>15</v>
      </c>
      <c r="E2010" s="5">
        <v>0</v>
      </c>
      <c r="F2010" s="5">
        <v>3.5000000000000003E-2</v>
      </c>
      <c r="G2010" s="12">
        <f>(C2010*$U$4)/($U$5*$U$3)</f>
        <v>58.775510204081627</v>
      </c>
      <c r="H2010" s="11">
        <f>G2010*COS(RADIANS(D2010))</f>
        <v>56.772783259439109</v>
      </c>
      <c r="I2010" s="11">
        <f>G2010*SIN(RADIANS(D2010))</f>
        <v>15.212221426433871</v>
      </c>
      <c r="J2010" s="11">
        <v>0.33379999999999999</v>
      </c>
      <c r="K2010" s="12">
        <v>0</v>
      </c>
      <c r="L2010" s="12">
        <f>-(F2010*G2010*$U$3)/J2010</f>
        <v>-6.1628006505178465</v>
      </c>
      <c r="M2010" s="11">
        <f>ABS(L2010/$U$6)</f>
        <v>1.7967348835328998E-2</v>
      </c>
      <c r="N2010" s="12">
        <f>L2010*SIN(RADIANS(K2010))</f>
        <v>0</v>
      </c>
      <c r="O2010" s="12">
        <f>L2010*COS(RADIANS(K2010))</f>
        <v>-6.1628006505178465</v>
      </c>
      <c r="P2010" s="5">
        <v>0.54200731088382559</v>
      </c>
      <c r="Q2010" s="5">
        <v>2.231703814843089</v>
      </c>
      <c r="R2010" s="6">
        <f>P2010/Q2010</f>
        <v>0.24286704502583562</v>
      </c>
    </row>
    <row r="2011" spans="1:18" x14ac:dyDescent="0.35">
      <c r="A2011" s="9">
        <v>2012</v>
      </c>
      <c r="B2011" s="5">
        <v>0.75</v>
      </c>
      <c r="C2011" s="5">
        <v>2000000</v>
      </c>
      <c r="D2011" s="5">
        <v>0</v>
      </c>
      <c r="E2011" s="5">
        <v>0</v>
      </c>
      <c r="F2011" s="5">
        <v>0.1</v>
      </c>
      <c r="G2011" s="12">
        <f>(C2011*$U$4)/($U$5*$U$3)</f>
        <v>29.387755102040813</v>
      </c>
      <c r="H2011" s="11">
        <f>G2011*COS(RADIANS(D2011))</f>
        <v>29.387755102040813</v>
      </c>
      <c r="I2011" s="11">
        <f>G2011*SIN(RADIANS(D2011))</f>
        <v>0</v>
      </c>
      <c r="J2011" s="11">
        <v>0.27929999999999999</v>
      </c>
      <c r="K2011" s="12">
        <v>0</v>
      </c>
      <c r="L2011" s="12">
        <f>-(F2011*G2011*$U$3)/J2011</f>
        <v>-10.521931651285648</v>
      </c>
      <c r="M2011" s="11">
        <f>ABS(L2011/$U$6)</f>
        <v>3.0676185572261365E-2</v>
      </c>
      <c r="N2011" s="12">
        <f>L2011*SIN(RADIANS(K2011))</f>
        <v>0</v>
      </c>
      <c r="O2011" s="12">
        <f>L2011*COS(RADIANS(K2011))</f>
        <v>-10.521931651285648</v>
      </c>
      <c r="P2011" s="5">
        <v>3.3961058488525926</v>
      </c>
      <c r="Q2011" s="5">
        <v>0.36841082686126203</v>
      </c>
      <c r="R2011" s="6">
        <f>P2011/Q2011</f>
        <v>9.218257448583385</v>
      </c>
    </row>
    <row r="2012" spans="1:18" x14ac:dyDescent="0.35">
      <c r="A2012" s="9">
        <v>2013</v>
      </c>
      <c r="B2012" s="5">
        <v>1</v>
      </c>
      <c r="C2012" s="5">
        <v>2000000</v>
      </c>
      <c r="D2012" s="5">
        <v>30</v>
      </c>
      <c r="E2012" s="5">
        <v>0.25</v>
      </c>
      <c r="F2012" s="5">
        <v>3.5000000000000003E-2</v>
      </c>
      <c r="G2012" s="12">
        <f>(C2012*$U$4)/($U$5*$U$3)</f>
        <v>29.387755102040813</v>
      </c>
      <c r="H2012" s="11">
        <f>G2012*COS(RADIANS(D2012))</f>
        <v>25.450542478563094</v>
      </c>
      <c r="I2012" s="11">
        <f>G2012*SIN(RADIANS(D2012))</f>
        <v>14.693877551020405</v>
      </c>
      <c r="J2012" s="13">
        <v>0.33379999999999999</v>
      </c>
      <c r="K2012" s="12">
        <v>30</v>
      </c>
      <c r="L2012" s="12">
        <f>-(F2012*G2012*$U$3)/J2012</f>
        <v>-3.0814003252589233</v>
      </c>
      <c r="M2012" s="11">
        <f>ABS(L2012/$U$6)</f>
        <v>8.983674417664499E-3</v>
      </c>
      <c r="N2012" s="12">
        <f>L2012*SIN(RADIANS(K2012))</f>
        <v>-1.5407001626294614</v>
      </c>
      <c r="O2012" s="12">
        <f>L2012*COS(RADIANS(K2012))</f>
        <v>-2.6685709609038599</v>
      </c>
      <c r="P2012" s="5">
        <v>3.4296875011175572</v>
      </c>
      <c r="Q2012" s="5">
        <v>1.5514734560628913</v>
      </c>
      <c r="R2012" s="6">
        <f>P2012/Q2012</f>
        <v>2.2106001799224657</v>
      </c>
    </row>
    <row r="2013" spans="1:18" x14ac:dyDescent="0.35">
      <c r="A2013" s="9">
        <v>2014</v>
      </c>
      <c r="B2013" s="5">
        <v>0.75</v>
      </c>
      <c r="C2013" s="5">
        <v>4000000</v>
      </c>
      <c r="D2013" s="5">
        <v>15</v>
      </c>
      <c r="E2013" s="5">
        <v>0</v>
      </c>
      <c r="F2013" s="5">
        <v>1.4999999999999999E-2</v>
      </c>
      <c r="G2013" s="12">
        <f>(C2013*$U$4)/($U$5*$U$3)</f>
        <v>58.775510204081627</v>
      </c>
      <c r="H2013" s="11">
        <f>G2013*COS(RADIANS(D2013))</f>
        <v>56.772783259439109</v>
      </c>
      <c r="I2013" s="11">
        <f>G2013*SIN(RADIANS(D2013))</f>
        <v>15.212221426433871</v>
      </c>
      <c r="J2013" s="11">
        <v>0.27929999999999999</v>
      </c>
      <c r="K2013" s="12">
        <v>0</v>
      </c>
      <c r="L2013" s="12">
        <f>-(F2013*G2013*$U$3)/J2013</f>
        <v>-3.1565794953856945</v>
      </c>
      <c r="M2013" s="11">
        <f>ABS(L2013/$U$6)</f>
        <v>9.2028556716784102E-3</v>
      </c>
      <c r="N2013" s="12">
        <f>L2013*SIN(RADIANS(K2013))</f>
        <v>0</v>
      </c>
      <c r="O2013" s="12">
        <f>L2013*COS(RADIANS(K2013))</f>
        <v>-3.1565794953856945</v>
      </c>
      <c r="P2013" s="5">
        <v>2.4070421193871878</v>
      </c>
      <c r="Q2013" s="5">
        <v>1.2585369437843759</v>
      </c>
      <c r="R2013" s="6">
        <f>P2013/Q2013</f>
        <v>1.9125716819637393</v>
      </c>
    </row>
    <row r="2014" spans="1:18" x14ac:dyDescent="0.35">
      <c r="A2014" s="9">
        <v>2015</v>
      </c>
      <c r="B2014" s="5">
        <v>0.75</v>
      </c>
      <c r="C2014" s="5">
        <v>4000000</v>
      </c>
      <c r="D2014" s="5">
        <v>5</v>
      </c>
      <c r="E2014" s="5">
        <v>0.125</v>
      </c>
      <c r="F2014" s="5">
        <v>0</v>
      </c>
      <c r="G2014" s="12">
        <f>(C2014*$U$4)/($U$5*$U$3)</f>
        <v>58.775510204081627</v>
      </c>
      <c r="H2014" s="11">
        <f>G2014*COS(RADIANS(D2014))</f>
        <v>58.551851642943404</v>
      </c>
      <c r="I2014" s="11">
        <f>G2014*SIN(RADIANS(D2014))</f>
        <v>5.1226232472092956</v>
      </c>
      <c r="J2014" s="12">
        <v>0.2802</v>
      </c>
      <c r="K2014" s="12">
        <v>19</v>
      </c>
      <c r="L2014" s="12">
        <f>-(F2014*G2014*$U$3)/J2014</f>
        <v>0</v>
      </c>
      <c r="M2014" s="11">
        <f>ABS(L2014/$U$6)</f>
        <v>0</v>
      </c>
      <c r="N2014" s="12">
        <f>L2014*SIN(RADIANS(K2014))</f>
        <v>0</v>
      </c>
      <c r="O2014" s="12">
        <f>L2014*COS(RADIANS(K2014))</f>
        <v>0</v>
      </c>
      <c r="P2014" s="5">
        <v>5.3526395937450015</v>
      </c>
      <c r="Q2014" s="5">
        <v>1.0670559978785743</v>
      </c>
      <c r="R2014" s="6">
        <f>P2014/Q2014</f>
        <v>5.0162686910402483</v>
      </c>
    </row>
    <row r="2015" spans="1:18" x14ac:dyDescent="0.35">
      <c r="A2015" s="9">
        <v>2016</v>
      </c>
      <c r="B2015" s="5">
        <v>1</v>
      </c>
      <c r="C2015" s="5">
        <v>4000000</v>
      </c>
      <c r="D2015" s="5">
        <v>30</v>
      </c>
      <c r="E2015" s="5">
        <v>0.125</v>
      </c>
      <c r="F2015" s="5">
        <v>0.1</v>
      </c>
      <c r="G2015" s="12">
        <f>(C2015*$U$4)/($U$5*$U$3)</f>
        <v>58.775510204081627</v>
      </c>
      <c r="H2015" s="11">
        <f>G2015*COS(RADIANS(D2015))</f>
        <v>50.901084957126187</v>
      </c>
      <c r="I2015" s="11">
        <f>G2015*SIN(RADIANS(D2015))</f>
        <v>29.38775510204081</v>
      </c>
      <c r="J2015" s="11">
        <v>0.33379999999999999</v>
      </c>
      <c r="K2015" s="12">
        <v>14</v>
      </c>
      <c r="L2015" s="12">
        <f>-(F2015*G2015*$U$3)/J2015</f>
        <v>-17.608001858622419</v>
      </c>
      <c r="M2015" s="11">
        <f>ABS(L2015/$U$6)</f>
        <v>5.1335282386654281E-2</v>
      </c>
      <c r="N2015" s="12">
        <f>L2015*SIN(RADIANS(K2015))</f>
        <v>-4.2597611873604082</v>
      </c>
      <c r="O2015" s="12">
        <f>L2015*COS(RADIANS(K2015))</f>
        <v>-17.084968951681137</v>
      </c>
      <c r="P2015" s="5">
        <v>2.8097487593862409</v>
      </c>
      <c r="Q2015" s="5">
        <v>1.3988970765868505</v>
      </c>
      <c r="R2015" s="6">
        <f>P2015/Q2015</f>
        <v>2.0085457367898059</v>
      </c>
    </row>
    <row r="2016" spans="1:18" x14ac:dyDescent="0.35">
      <c r="A2016" s="9">
        <v>2017</v>
      </c>
      <c r="B2016" s="5">
        <v>0.5</v>
      </c>
      <c r="C2016" s="5">
        <v>4000000</v>
      </c>
      <c r="D2016" s="5">
        <v>20</v>
      </c>
      <c r="E2016" s="5">
        <v>0</v>
      </c>
      <c r="F2016" s="5">
        <v>3.5000000000000003E-2</v>
      </c>
      <c r="G2016" s="12">
        <f>(C2016*$U$4)/($U$5*$U$3)</f>
        <v>58.775510204081627</v>
      </c>
      <c r="H2016" s="11">
        <f>G2016*COS(RADIANS(D2016))</f>
        <v>55.230913221702366</v>
      </c>
      <c r="I2016" s="11">
        <f>G2016*SIN(RADIANS(D2016))</f>
        <v>20.102408424039304</v>
      </c>
      <c r="J2016" s="12">
        <v>0.23230000000000001</v>
      </c>
      <c r="K2016" s="12">
        <v>0</v>
      </c>
      <c r="L2016" s="12">
        <f>-(F2016*G2016*$U$3)/J2016</f>
        <v>-8.8555439394871147</v>
      </c>
      <c r="M2016" s="11">
        <f>ABS(L2016/$U$6)</f>
        <v>2.5817912360020744E-2</v>
      </c>
      <c r="N2016" s="12">
        <f>L2016*SIN(RADIANS(K2016))</f>
        <v>0</v>
      </c>
      <c r="O2016" s="12">
        <f>L2016*COS(RADIANS(K2016))</f>
        <v>-8.8555439394871147</v>
      </c>
      <c r="P2016" s="5">
        <v>2.8597227989336678</v>
      </c>
      <c r="Q2016" s="5">
        <v>0.93897491822729895</v>
      </c>
      <c r="R2016" s="6">
        <f>P2016/Q2016</f>
        <v>3.0455795393689216</v>
      </c>
    </row>
    <row r="2017" spans="1:18" x14ac:dyDescent="0.35">
      <c r="A2017" s="9">
        <v>2018</v>
      </c>
      <c r="B2017" s="5">
        <v>1</v>
      </c>
      <c r="C2017" s="5">
        <v>6000000</v>
      </c>
      <c r="D2017" s="5">
        <v>15</v>
      </c>
      <c r="E2017" s="5">
        <v>0.375</v>
      </c>
      <c r="F2017" s="5">
        <v>1.4999999999999999E-2</v>
      </c>
      <c r="G2017" s="12">
        <f>(C2017*$U$4)/($U$5*$U$3)</f>
        <v>88.16326530612244</v>
      </c>
      <c r="H2017" s="11">
        <f>G2017*COS(RADIANS(D2017))</f>
        <v>85.159174889158663</v>
      </c>
      <c r="I2017" s="11">
        <f>G2017*SIN(RADIANS(D2017))</f>
        <v>22.818332139650806</v>
      </c>
      <c r="J2017" s="12">
        <v>0.33379999999999999</v>
      </c>
      <c r="K2017" s="11">
        <v>49</v>
      </c>
      <c r="L2017" s="12">
        <f>-(F2017*G2017*$U$3)/J2017</f>
        <v>-3.9618004181900441</v>
      </c>
      <c r="M2017" s="11">
        <f>ABS(L2017/$U$6)</f>
        <v>1.1550438536997214E-2</v>
      </c>
      <c r="N2017" s="12">
        <f>L2017*SIN(RADIANS(K2017))</f>
        <v>-2.9900087305386109</v>
      </c>
      <c r="O2017" s="12">
        <f>L2017*COS(RADIANS(K2017))</f>
        <v>-2.5991749354119462</v>
      </c>
      <c r="P2017" s="5">
        <v>5.2464704763787005</v>
      </c>
      <c r="Q2017" s="5">
        <v>0.39117506190414231</v>
      </c>
      <c r="R2017" s="6">
        <f>P2017/Q2017</f>
        <v>13.41207808810765</v>
      </c>
    </row>
    <row r="2018" spans="1:18" x14ac:dyDescent="0.35">
      <c r="A2018" s="9">
        <v>2019</v>
      </c>
      <c r="B2018" s="5">
        <v>0.75</v>
      </c>
      <c r="C2018" s="5">
        <v>6000000</v>
      </c>
      <c r="D2018" s="5">
        <v>20</v>
      </c>
      <c r="E2018" s="5">
        <v>0</v>
      </c>
      <c r="F2018" s="5">
        <v>2.5000000000000001E-2</v>
      </c>
      <c r="G2018" s="12">
        <f>(C2018*$U$4)/($U$5*$U$3)</f>
        <v>88.16326530612244</v>
      </c>
      <c r="H2018" s="11">
        <f>G2018*COS(RADIANS(D2018))</f>
        <v>82.846369832553549</v>
      </c>
      <c r="I2018" s="11">
        <f>G2018*SIN(RADIANS(D2018))</f>
        <v>30.153612636058952</v>
      </c>
      <c r="J2018" s="11">
        <v>0.27929999999999999</v>
      </c>
      <c r="K2018" s="12">
        <v>0</v>
      </c>
      <c r="L2018" s="12">
        <f>-(F2018*G2018*$U$3)/J2018</f>
        <v>-7.891448738464236</v>
      </c>
      <c r="M2018" s="11">
        <f>ABS(L2018/$U$6)</f>
        <v>2.3007139179196022E-2</v>
      </c>
      <c r="N2018" s="12">
        <f>L2018*SIN(RADIANS(K2018))</f>
        <v>0</v>
      </c>
      <c r="O2018" s="12">
        <f>L2018*COS(RADIANS(K2018))</f>
        <v>-7.891448738464236</v>
      </c>
      <c r="P2018" s="5">
        <v>1.0447336332806665</v>
      </c>
      <c r="Q2018" s="5">
        <v>1.3781314187888174</v>
      </c>
      <c r="R2018" s="6">
        <f>P2018/Q2018</f>
        <v>0.75807983116649325</v>
      </c>
    </row>
    <row r="2019" spans="1:18" x14ac:dyDescent="0.35">
      <c r="A2019" s="9">
        <v>2020</v>
      </c>
      <c r="B2019" s="5">
        <v>1</v>
      </c>
      <c r="C2019" s="5">
        <v>6000000</v>
      </c>
      <c r="D2019" s="5">
        <v>30</v>
      </c>
      <c r="E2019" s="5">
        <v>0.375</v>
      </c>
      <c r="F2019" s="5">
        <v>7.4999999999999997E-2</v>
      </c>
      <c r="G2019" s="12">
        <f>(C2019*$U$4)/($U$5*$U$3)</f>
        <v>88.16326530612244</v>
      </c>
      <c r="H2019" s="11">
        <f>G2019*COS(RADIANS(D2019))</f>
        <v>76.351627435689281</v>
      </c>
      <c r="I2019" s="11">
        <f>G2019*SIN(RADIANS(D2019))</f>
        <v>44.081632653061213</v>
      </c>
      <c r="J2019" s="12">
        <v>0.33379999999999999</v>
      </c>
      <c r="K2019" s="11">
        <v>49</v>
      </c>
      <c r="L2019" s="12">
        <f>-(F2019*G2019*$U$3)/J2019</f>
        <v>-19.809002090950219</v>
      </c>
      <c r="M2019" s="11">
        <f>ABS(L2019/$U$6)</f>
        <v>5.7752192684986062E-2</v>
      </c>
      <c r="N2019" s="12">
        <f>L2019*SIN(RADIANS(K2019))</f>
        <v>-14.950043652693052</v>
      </c>
      <c r="O2019" s="12">
        <f>L2019*COS(RADIANS(K2019))</f>
        <v>-12.99587467705973</v>
      </c>
      <c r="P2019" s="5">
        <v>6.4288077756510047</v>
      </c>
      <c r="Q2019" s="5">
        <v>1.5514297649904378</v>
      </c>
      <c r="R2019" s="6">
        <f>P2019/Q2019</f>
        <v>4.1437955624698413</v>
      </c>
    </row>
    <row r="2020" spans="1:18" x14ac:dyDescent="0.35">
      <c r="A2020" s="9">
        <v>2021</v>
      </c>
      <c r="B2020" s="5">
        <v>0.75</v>
      </c>
      <c r="C2020" s="5">
        <v>4000000</v>
      </c>
      <c r="D2020" s="5">
        <v>30</v>
      </c>
      <c r="E2020" s="5">
        <v>0.25</v>
      </c>
      <c r="F2020" s="5">
        <v>0</v>
      </c>
      <c r="G2020" s="12">
        <f>(C2020*$U$4)/($U$5*$U$3)</f>
        <v>58.775510204081627</v>
      </c>
      <c r="H2020" s="11">
        <f>G2020*COS(RADIANS(D2020))</f>
        <v>50.901084957126187</v>
      </c>
      <c r="I2020" s="11">
        <f>G2020*SIN(RADIANS(D2020))</f>
        <v>29.38775510204081</v>
      </c>
      <c r="J2020" s="12">
        <v>0.28370000000000001</v>
      </c>
      <c r="K2020" s="11">
        <v>38</v>
      </c>
      <c r="L2020" s="12">
        <f>-(F2020*G2020*$U$3)/J2020</f>
        <v>0</v>
      </c>
      <c r="M2020" s="11">
        <f>ABS(L2020/$U$6)</f>
        <v>0</v>
      </c>
      <c r="N2020" s="12">
        <f>L2020*SIN(RADIANS(K2020))</f>
        <v>0</v>
      </c>
      <c r="O2020" s="12">
        <f>L2020*COS(RADIANS(K2020))</f>
        <v>0</v>
      </c>
      <c r="P2020" s="5">
        <v>5.0338216633955888</v>
      </c>
      <c r="Q2020" s="5">
        <v>2.5032767023065285</v>
      </c>
      <c r="R2020" s="6">
        <f>P2020/Q2020</f>
        <v>2.0108930262313418</v>
      </c>
    </row>
    <row r="2021" spans="1:18" x14ac:dyDescent="0.35">
      <c r="A2021" s="9">
        <v>2022</v>
      </c>
      <c r="B2021" s="5">
        <v>1</v>
      </c>
      <c r="C2021" s="5">
        <v>4000000</v>
      </c>
      <c r="D2021" s="5">
        <v>0</v>
      </c>
      <c r="E2021" s="5">
        <v>0.25</v>
      </c>
      <c r="F2021" s="5">
        <v>0.1</v>
      </c>
      <c r="G2021" s="12">
        <f>(C2021*$U$4)/($U$5*$U$3)</f>
        <v>58.775510204081627</v>
      </c>
      <c r="H2021" s="11">
        <f>G2021*COS(RADIANS(D2021))</f>
        <v>58.775510204081627</v>
      </c>
      <c r="I2021" s="11">
        <f>G2021*SIN(RADIANS(D2021))</f>
        <v>0</v>
      </c>
      <c r="J2021" s="13">
        <v>0.33379999999999999</v>
      </c>
      <c r="K2021" s="12">
        <v>30</v>
      </c>
      <c r="L2021" s="12">
        <f>-(F2021*G2021*$U$3)/J2021</f>
        <v>-17.608001858622419</v>
      </c>
      <c r="M2021" s="11">
        <f>ABS(L2021/$U$6)</f>
        <v>5.1335282386654281E-2</v>
      </c>
      <c r="N2021" s="12">
        <f>L2021*SIN(RADIANS(K2021))</f>
        <v>-8.8040009293112078</v>
      </c>
      <c r="O2021" s="12">
        <f>L2021*COS(RADIANS(K2021))</f>
        <v>-15.248976919450628</v>
      </c>
      <c r="P2021" s="5">
        <v>9.3210376611356871</v>
      </c>
      <c r="Q2021" s="5">
        <v>-1.7931445638375287</v>
      </c>
      <c r="R2021" s="6">
        <f>P2021/Q2021</f>
        <v>-5.1981518105755118</v>
      </c>
    </row>
    <row r="2022" spans="1:18" x14ac:dyDescent="0.35">
      <c r="A2022" s="9">
        <v>1701</v>
      </c>
      <c r="B2022" s="5">
        <v>0.5</v>
      </c>
      <c r="C2022" s="5">
        <v>4000000</v>
      </c>
      <c r="D2022" s="5">
        <v>10</v>
      </c>
      <c r="E2022" s="5">
        <v>0.375</v>
      </c>
      <c r="F2022" s="5">
        <v>0.15</v>
      </c>
      <c r="G2022" s="12">
        <f>(C2022*$U$4)/($U$5*$U$3)</f>
        <v>58.775510204081627</v>
      </c>
      <c r="H2022" s="11">
        <f>G2022*COS(RADIANS(D2022))</f>
        <v>57.882578136227728</v>
      </c>
      <c r="I2022" s="11">
        <f>G2022*SIN(RADIANS(D2022))</f>
        <v>10.206260238382843</v>
      </c>
      <c r="J2022" s="19">
        <v>0.24809999999999999</v>
      </c>
      <c r="K2022" s="12">
        <v>67</v>
      </c>
      <c r="L2022" s="12">
        <f>-(F2022*G2022*$U$3)/J2022</f>
        <v>-35.535374972237989</v>
      </c>
      <c r="M2022" s="11">
        <f>ABS(L2022/$U$6)</f>
        <v>0.10360167630390084</v>
      </c>
      <c r="N2022" s="12">
        <f>L2022*SIN(RADIANS(K2022))</f>
        <v>-32.710485131197444</v>
      </c>
      <c r="O2022" s="12">
        <f>L2022*COS(RADIANS(K2022))</f>
        <v>-13.884777164192043</v>
      </c>
      <c r="P2022" s="5">
        <v>4.8600785562730637</v>
      </c>
      <c r="Q2022" s="5">
        <v>-2.4237273505468976E-2</v>
      </c>
      <c r="R2022" s="6">
        <f>P2022/Q2022</f>
        <v>-200.52084468892181</v>
      </c>
    </row>
    <row r="2023" spans="1:18" x14ac:dyDescent="0.35">
      <c r="A2023" s="9">
        <v>2024</v>
      </c>
      <c r="B2023" s="5">
        <v>1</v>
      </c>
      <c r="C2023" s="5">
        <v>4000000</v>
      </c>
      <c r="D2023" s="5">
        <v>0</v>
      </c>
      <c r="E2023" s="5">
        <v>0.125</v>
      </c>
      <c r="F2023" s="5">
        <v>2.5000000000000001E-2</v>
      </c>
      <c r="G2023" s="12">
        <f>(C2023*$U$4)/($U$5*$U$3)</f>
        <v>58.775510204081627</v>
      </c>
      <c r="H2023" s="11">
        <f>G2023*COS(RADIANS(D2023))</f>
        <v>58.775510204081627</v>
      </c>
      <c r="I2023" s="11">
        <f>G2023*SIN(RADIANS(D2023))</f>
        <v>0</v>
      </c>
      <c r="J2023" s="11">
        <v>0.33379999999999999</v>
      </c>
      <c r="K2023" s="12">
        <v>14</v>
      </c>
      <c r="L2023" s="12">
        <f>-(F2023*G2023*$U$3)/J2023</f>
        <v>-4.4020004646556048</v>
      </c>
      <c r="M2023" s="11">
        <f>ABS(L2023/$U$6)</f>
        <v>1.283382059666357E-2</v>
      </c>
      <c r="N2023" s="12">
        <f>L2023*SIN(RADIANS(K2023))</f>
        <v>-1.0649402968401021</v>
      </c>
      <c r="O2023" s="12">
        <f>L2023*COS(RADIANS(K2023))</f>
        <v>-4.2712422379202843</v>
      </c>
      <c r="P2023" s="5">
        <v>3.8429276249830644</v>
      </c>
      <c r="Q2023" s="5">
        <v>0.48387371991343914</v>
      </c>
      <c r="R2023" s="6">
        <f>P2023/Q2023</f>
        <v>7.9420052522598894</v>
      </c>
    </row>
    <row r="2024" spans="1:18" x14ac:dyDescent="0.35">
      <c r="A2024" s="9">
        <v>2025</v>
      </c>
      <c r="B2024" s="5">
        <v>0.5</v>
      </c>
      <c r="C2024" s="5">
        <v>2000000</v>
      </c>
      <c r="D2024" s="5">
        <v>20</v>
      </c>
      <c r="E2024" s="5">
        <v>0.25</v>
      </c>
      <c r="F2024" s="5">
        <v>2.5000000000000001E-2</v>
      </c>
      <c r="G2024" s="12">
        <f>(C2024*$U$4)/($U$5*$U$3)</f>
        <v>29.387755102040813</v>
      </c>
      <c r="H2024" s="11">
        <f>G2024*COS(RADIANS(D2024))</f>
        <v>27.615456610851183</v>
      </c>
      <c r="I2024" s="11">
        <f>G2024*SIN(RADIANS(D2024))</f>
        <v>10.051204212019652</v>
      </c>
      <c r="J2024" s="11">
        <v>0.23580000000000001</v>
      </c>
      <c r="K2024" s="11">
        <v>49</v>
      </c>
      <c r="L2024" s="12">
        <f>-(F2024*G2024*$U$3)/J2024</f>
        <v>-3.115750116840629</v>
      </c>
      <c r="M2024" s="11">
        <f>ABS(L2024/$U$6)</f>
        <v>9.083819582625741E-3</v>
      </c>
      <c r="N2024" s="12">
        <f>L2024*SIN(RADIANS(K2024))</f>
        <v>-2.3514864627598437</v>
      </c>
      <c r="O2024" s="12">
        <f>L2024*COS(RADIANS(K2024))</f>
        <v>-2.0441159962315227</v>
      </c>
      <c r="P2024" s="5">
        <v>2.7842115242726826</v>
      </c>
      <c r="Q2024" s="5">
        <v>0.80811778101456355</v>
      </c>
      <c r="R2024" s="6">
        <f>P2024/Q2024</f>
        <v>3.4453041248234912</v>
      </c>
    </row>
    <row r="2025" spans="1:18" x14ac:dyDescent="0.35">
      <c r="A2025" s="9">
        <v>2026</v>
      </c>
      <c r="B2025" s="5">
        <v>1</v>
      </c>
      <c r="C2025" s="5">
        <v>6000000</v>
      </c>
      <c r="D2025" s="5">
        <v>15</v>
      </c>
      <c r="E2025" s="5">
        <v>0</v>
      </c>
      <c r="F2025" s="5">
        <v>0</v>
      </c>
      <c r="G2025" s="12">
        <f>(C2025*$U$4)/($U$5*$U$3)</f>
        <v>88.16326530612244</v>
      </c>
      <c r="H2025" s="11">
        <f>G2025*COS(RADIANS(D2025))</f>
        <v>85.159174889158663</v>
      </c>
      <c r="I2025" s="11">
        <f>G2025*SIN(RADIANS(D2025))</f>
        <v>22.818332139650806</v>
      </c>
      <c r="J2025" s="11">
        <v>0.33379999999999999</v>
      </c>
      <c r="K2025" s="12">
        <v>0</v>
      </c>
      <c r="L2025" s="12">
        <f>-(F2025*G2025*$U$3)/J2025</f>
        <v>0</v>
      </c>
      <c r="M2025" s="11">
        <f>ABS(L2025/$U$6)</f>
        <v>0</v>
      </c>
      <c r="N2025" s="12">
        <f>L2025*SIN(RADIANS(K2025))</f>
        <v>0</v>
      </c>
      <c r="O2025" s="12">
        <f>L2025*COS(RADIANS(K2025))</f>
        <v>0</v>
      </c>
      <c r="P2025" s="5">
        <v>5.9781108134688159</v>
      </c>
      <c r="Q2025" s="5">
        <v>2.2252799273188648</v>
      </c>
      <c r="R2025" s="6">
        <f>P2025/Q2025</f>
        <v>2.6864533940552642</v>
      </c>
    </row>
    <row r="2026" spans="1:18" x14ac:dyDescent="0.35">
      <c r="A2026" s="9">
        <v>2027</v>
      </c>
      <c r="B2026" s="5">
        <v>0.1</v>
      </c>
      <c r="C2026" s="5">
        <v>2000000</v>
      </c>
      <c r="D2026" s="5">
        <v>30</v>
      </c>
      <c r="E2026" s="5">
        <v>0.125</v>
      </c>
      <c r="F2026" s="5">
        <v>3.5000000000000003E-2</v>
      </c>
      <c r="G2026" s="12">
        <f>(C2026*$U$4)/($U$5*$U$3)</f>
        <v>29.387755102040813</v>
      </c>
      <c r="H2026" s="11">
        <f>G2026*COS(RADIANS(D2026))</f>
        <v>25.450542478563094</v>
      </c>
      <c r="I2026" s="11">
        <f>G2026*SIN(RADIANS(D2026))</f>
        <v>14.693877551020405</v>
      </c>
      <c r="J2026" s="12">
        <v>0.1658</v>
      </c>
      <c r="K2026" s="12">
        <v>69</v>
      </c>
      <c r="L2026" s="12">
        <f>-(F2026*G2026*$U$3)/J2026</f>
        <v>-6.2036877477166978</v>
      </c>
      <c r="M2026" s="11">
        <f>ABS(L2026/$U$6)</f>
        <v>1.8086553200340225E-2</v>
      </c>
      <c r="N2026" s="12">
        <f>L2026*SIN(RADIANS(K2026))</f>
        <v>-5.7916414533688201</v>
      </c>
      <c r="O2026" s="12">
        <f>L2026*COS(RADIANS(K2026))</f>
        <v>-2.2232028577685359</v>
      </c>
      <c r="P2026" s="5">
        <v>1.0943746836734871</v>
      </c>
      <c r="Q2026" s="5">
        <v>0.89584709581360644</v>
      </c>
      <c r="R2026" s="6">
        <f>P2026/Q2026</f>
        <v>1.2216087865748768</v>
      </c>
    </row>
    <row r="2027" spans="1:18" x14ac:dyDescent="0.35">
      <c r="A2027" s="9">
        <v>2028</v>
      </c>
      <c r="B2027" s="5">
        <v>0.1</v>
      </c>
      <c r="C2027" s="5">
        <v>2000000</v>
      </c>
      <c r="D2027" s="5">
        <v>20</v>
      </c>
      <c r="E2027" s="5">
        <v>0.25</v>
      </c>
      <c r="F2027" s="5">
        <v>3.5000000000000003E-2</v>
      </c>
      <c r="G2027" s="12">
        <f>(C2027*$U$4)/($U$5*$U$3)</f>
        <v>29.387755102040813</v>
      </c>
      <c r="H2027" s="11">
        <f>G2027*COS(RADIANS(D2027))</f>
        <v>27.615456610851183</v>
      </c>
      <c r="I2027" s="11">
        <f>G2027*SIN(RADIANS(D2027))</f>
        <v>10.051204212019652</v>
      </c>
      <c r="J2027" s="11">
        <v>0.1661</v>
      </c>
      <c r="K2027" s="12">
        <v>80</v>
      </c>
      <c r="L2027" s="12">
        <f>-(F2027*G2027*$U$3)/J2027</f>
        <v>-6.1924830136750657</v>
      </c>
      <c r="M2027" s="11">
        <f>ABS(L2027/$U$6)</f>
        <v>1.8053886337245091E-2</v>
      </c>
      <c r="N2027" s="12">
        <f>L2027*SIN(RADIANS(K2027))</f>
        <v>-6.0984052822636077</v>
      </c>
      <c r="O2027" s="12">
        <f>L2027*COS(RADIANS(K2027))</f>
        <v>-1.0753133905580965</v>
      </c>
      <c r="P2027" s="5">
        <v>1.517910102005305</v>
      </c>
      <c r="Q2027" s="5">
        <v>0.76802308124326601</v>
      </c>
      <c r="R2027" s="6">
        <f>P2027/Q2027</f>
        <v>1.9763860476017614</v>
      </c>
    </row>
    <row r="2028" spans="1:18" x14ac:dyDescent="0.35">
      <c r="A2028" s="9">
        <v>2029</v>
      </c>
      <c r="B2028" s="5">
        <v>1</v>
      </c>
      <c r="C2028" s="5">
        <v>6000000</v>
      </c>
      <c r="D2028" s="5">
        <v>0</v>
      </c>
      <c r="E2028" s="5">
        <v>0</v>
      </c>
      <c r="F2028" s="5">
        <v>2.5000000000000001E-2</v>
      </c>
      <c r="G2028" s="12">
        <f>(C2028*$U$4)/($U$5*$U$3)</f>
        <v>88.16326530612244</v>
      </c>
      <c r="H2028" s="11">
        <f>G2028*COS(RADIANS(D2028))</f>
        <v>88.16326530612244</v>
      </c>
      <c r="I2028" s="11">
        <f>G2028*SIN(RADIANS(D2028))</f>
        <v>0</v>
      </c>
      <c r="J2028" s="11">
        <v>0.33379999999999999</v>
      </c>
      <c r="K2028" s="12">
        <v>0</v>
      </c>
      <c r="L2028" s="12">
        <f>-(F2028*G2028*$U$3)/J2028</f>
        <v>-6.6030006969834067</v>
      </c>
      <c r="M2028" s="11">
        <f>ABS(L2028/$U$6)</f>
        <v>1.9250730894995356E-2</v>
      </c>
      <c r="N2028" s="12">
        <f>L2028*SIN(RADIANS(K2028))</f>
        <v>0</v>
      </c>
      <c r="O2028" s="12">
        <f>L2028*COS(RADIANS(K2028))</f>
        <v>-6.6030006969834067</v>
      </c>
      <c r="P2028" s="5">
        <v>3.9739040067306277</v>
      </c>
      <c r="Q2028" s="5">
        <v>0.90992803792845944</v>
      </c>
      <c r="R2028" s="6">
        <f>P2028/Q2028</f>
        <v>4.3672728403639596</v>
      </c>
    </row>
    <row r="2029" spans="1:18" x14ac:dyDescent="0.35">
      <c r="A2029" s="9">
        <v>1885</v>
      </c>
      <c r="B2029" s="5">
        <v>0.5</v>
      </c>
      <c r="C2029" s="5">
        <v>6000000</v>
      </c>
      <c r="D2029" s="5">
        <v>20</v>
      </c>
      <c r="E2029" s="5">
        <v>0.375</v>
      </c>
      <c r="F2029" s="5">
        <v>0.1</v>
      </c>
      <c r="G2029" s="12">
        <f>(C2029*$U$4)/($U$5*$U$3)</f>
        <v>88.16326530612244</v>
      </c>
      <c r="H2029" s="11">
        <f>G2029*COS(RADIANS(D2029))</f>
        <v>82.846369832553549</v>
      </c>
      <c r="I2029" s="11">
        <f>G2029*SIN(RADIANS(D2029))</f>
        <v>30.153612636058952</v>
      </c>
      <c r="J2029" s="19">
        <v>0.24809999999999999</v>
      </c>
      <c r="K2029" s="12">
        <v>67</v>
      </c>
      <c r="L2029" s="12">
        <f>-(F2029*G2029*$U$3)/J2029</f>
        <v>-35.535374972237989</v>
      </c>
      <c r="M2029" s="11">
        <f>ABS(L2029/$U$6)</f>
        <v>0.10360167630390084</v>
      </c>
      <c r="N2029" s="12">
        <f>L2029*SIN(RADIANS(K2029))</f>
        <v>-32.710485131197444</v>
      </c>
      <c r="O2029" s="12">
        <f>L2029*COS(RADIANS(K2029))</f>
        <v>-13.884777164192043</v>
      </c>
      <c r="P2029" s="5">
        <v>4.3481440676765279</v>
      </c>
      <c r="Q2029" s="5">
        <v>0.62568952242426834</v>
      </c>
      <c r="R2029" s="6">
        <f>P2029/Q2029</f>
        <v>6.9493637208905232</v>
      </c>
    </row>
    <row r="2030" spans="1:18" x14ac:dyDescent="0.35">
      <c r="A2030" s="9">
        <v>2031</v>
      </c>
      <c r="B2030" s="5">
        <v>0.1</v>
      </c>
      <c r="C2030" s="5">
        <v>4000000</v>
      </c>
      <c r="D2030" s="5">
        <v>20</v>
      </c>
      <c r="E2030" s="5">
        <v>0.375</v>
      </c>
      <c r="F2030" s="5">
        <v>2.5000000000000001E-2</v>
      </c>
      <c r="G2030" s="12">
        <f>(C2030*$U$4)/($U$5*$U$3)</f>
        <v>58.775510204081627</v>
      </c>
      <c r="H2030" s="11">
        <f>G2030*COS(RADIANS(D2030))</f>
        <v>55.230913221702366</v>
      </c>
      <c r="I2030" s="11">
        <f>G2030*SIN(RADIANS(D2030))</f>
        <v>20.102408424039304</v>
      </c>
      <c r="J2030" s="12">
        <v>0.16789999999999999</v>
      </c>
      <c r="K2030" s="11">
        <v>85</v>
      </c>
      <c r="L2030" s="12">
        <f>-(F2030*G2030*$U$3)/J2030</f>
        <v>-8.7515649499823756</v>
      </c>
      <c r="M2030" s="11">
        <f>ABS(L2030/$U$6)</f>
        <v>2.5514766618024418E-2</v>
      </c>
      <c r="N2030" s="12">
        <f>L2030*SIN(RADIANS(K2030))</f>
        <v>-8.718262603177994</v>
      </c>
      <c r="O2030" s="12">
        <f>L2030*COS(RADIANS(K2030))</f>
        <v>-0.7627491434200856</v>
      </c>
      <c r="P2030" s="5">
        <v>1.7456264814771141</v>
      </c>
      <c r="Q2030" s="5">
        <v>0.84536234949717115</v>
      </c>
      <c r="R2030" s="6">
        <f>P2030/Q2030</f>
        <v>2.0649446743345359</v>
      </c>
    </row>
    <row r="2031" spans="1:18" x14ac:dyDescent="0.35">
      <c r="A2031" s="9">
        <v>2032</v>
      </c>
      <c r="B2031" s="5">
        <v>0.75</v>
      </c>
      <c r="C2031" s="5">
        <v>6000000</v>
      </c>
      <c r="D2031" s="5">
        <v>15</v>
      </c>
      <c r="E2031" s="5">
        <v>0.125</v>
      </c>
      <c r="F2031" s="5">
        <v>1.4999999999999999E-2</v>
      </c>
      <c r="G2031" s="12">
        <f>(C2031*$U$4)/($U$5*$U$3)</f>
        <v>88.16326530612244</v>
      </c>
      <c r="H2031" s="11">
        <f>G2031*COS(RADIANS(D2031))</f>
        <v>85.159174889158663</v>
      </c>
      <c r="I2031" s="11">
        <f>G2031*SIN(RADIANS(D2031))</f>
        <v>22.818332139650806</v>
      </c>
      <c r="J2031" s="12">
        <v>0.2802</v>
      </c>
      <c r="K2031" s="12">
        <v>19</v>
      </c>
      <c r="L2031" s="12">
        <f>-(F2031*G2031*$U$3)/J2031</f>
        <v>-4.7196608836253979</v>
      </c>
      <c r="M2031" s="11">
        <f>ABS(L2031/$U$6)</f>
        <v>1.375994426712944E-2</v>
      </c>
      <c r="N2031" s="12">
        <f>L2031*SIN(RADIANS(K2031))</f>
        <v>-1.5365712835455543</v>
      </c>
      <c r="O2031" s="12">
        <f>L2031*COS(RADIANS(K2031))</f>
        <v>-4.4625270359972991</v>
      </c>
      <c r="P2031" s="5">
        <v>3.8045282698994192</v>
      </c>
      <c r="Q2031" s="5">
        <v>0.90636779887242946</v>
      </c>
      <c r="R2031" s="6">
        <f>P2031/Q2031</f>
        <v>4.1975545409186621</v>
      </c>
    </row>
    <row r="2032" spans="1:18" x14ac:dyDescent="0.35">
      <c r="A2032" s="9">
        <v>2033</v>
      </c>
      <c r="B2032" s="5">
        <v>0.1</v>
      </c>
      <c r="C2032" s="5">
        <v>2000000</v>
      </c>
      <c r="D2032" s="5">
        <v>0</v>
      </c>
      <c r="E2032" s="5">
        <v>0.25</v>
      </c>
      <c r="F2032" s="5">
        <v>0.1</v>
      </c>
      <c r="G2032" s="12">
        <f>(C2032*$U$4)/($U$5*$U$3)</f>
        <v>29.387755102040813</v>
      </c>
      <c r="H2032" s="11">
        <f>G2032*COS(RADIANS(D2032))</f>
        <v>29.387755102040813</v>
      </c>
      <c r="I2032" s="11">
        <f>G2032*SIN(RADIANS(D2032))</f>
        <v>0</v>
      </c>
      <c r="J2032" s="11">
        <v>0.1661</v>
      </c>
      <c r="K2032" s="12">
        <v>80</v>
      </c>
      <c r="L2032" s="12">
        <f>-(F2032*G2032*$U$3)/J2032</f>
        <v>-17.69280861050019</v>
      </c>
      <c r="M2032" s="11">
        <f>ABS(L2032/$U$6)</f>
        <v>5.1582532392128837E-2</v>
      </c>
      <c r="N2032" s="12">
        <f>L2032*SIN(RADIANS(K2032))</f>
        <v>-17.42401509218174</v>
      </c>
      <c r="O2032" s="12">
        <f>L2032*COS(RADIANS(K2032))</f>
        <v>-3.0723239730231331</v>
      </c>
      <c r="P2032" s="5">
        <v>1.5661921414855042</v>
      </c>
      <c r="Q2032" s="5">
        <v>0.21419021471151048</v>
      </c>
      <c r="R2032" s="6">
        <f>P2032/Q2032</f>
        <v>7.3121554296725666</v>
      </c>
    </row>
    <row r="2033" spans="1:18" x14ac:dyDescent="0.35">
      <c r="A2033" s="9">
        <v>2034</v>
      </c>
      <c r="B2033" s="5">
        <v>0.25</v>
      </c>
      <c r="C2033" s="5">
        <v>4000000</v>
      </c>
      <c r="D2033" s="5">
        <v>10</v>
      </c>
      <c r="E2033" s="5">
        <v>0</v>
      </c>
      <c r="F2033" s="5">
        <v>0.05</v>
      </c>
      <c r="G2033" s="12">
        <f>(C2033*$U$4)/($U$5*$U$3)</f>
        <v>58.775510204081627</v>
      </c>
      <c r="H2033" s="11">
        <f>G2033*COS(RADIANS(D2033))</f>
        <v>57.882578136227728</v>
      </c>
      <c r="I2033" s="11">
        <f>G2033*SIN(RADIANS(D2033))</f>
        <v>10.206260238382843</v>
      </c>
      <c r="J2033" s="12">
        <v>0.18990000000000001</v>
      </c>
      <c r="K2033" s="12">
        <v>0</v>
      </c>
      <c r="L2033" s="12">
        <f>-(F2033*G2033*$U$3)/J2033</f>
        <v>-15.47538446658284</v>
      </c>
      <c r="M2033" s="11">
        <f>ABS(L2033/$U$6)</f>
        <v>4.511773896962927E-2</v>
      </c>
      <c r="N2033" s="12">
        <f>L2033*SIN(RADIANS(K2033))</f>
        <v>0</v>
      </c>
      <c r="O2033" s="12">
        <f>L2033*COS(RADIANS(K2033))</f>
        <v>-15.47538446658284</v>
      </c>
      <c r="P2033" s="5">
        <v>2.2387791552695826</v>
      </c>
      <c r="Q2033" s="5">
        <v>0.40139902341763556</v>
      </c>
      <c r="R2033" s="6">
        <f>P2033/Q2033</f>
        <v>5.5774404636262531</v>
      </c>
    </row>
    <row r="2034" spans="1:18" x14ac:dyDescent="0.35">
      <c r="A2034" s="9">
        <v>2035</v>
      </c>
      <c r="B2034" s="5">
        <v>0.75</v>
      </c>
      <c r="C2034" s="5">
        <v>2000000</v>
      </c>
      <c r="D2034" s="5">
        <v>15</v>
      </c>
      <c r="E2034" s="5">
        <v>0</v>
      </c>
      <c r="F2034" s="5">
        <v>7.4999999999999997E-2</v>
      </c>
      <c r="G2034" s="12">
        <f>(C2034*$U$4)/($U$5*$U$3)</f>
        <v>29.387755102040813</v>
      </c>
      <c r="H2034" s="11">
        <f>G2034*COS(RADIANS(D2034))</f>
        <v>28.386391629719554</v>
      </c>
      <c r="I2034" s="11">
        <f>G2034*SIN(RADIANS(D2034))</f>
        <v>7.6061107132169354</v>
      </c>
      <c r="J2034" s="11">
        <v>0.27929999999999999</v>
      </c>
      <c r="K2034" s="12">
        <v>0</v>
      </c>
      <c r="L2034" s="12">
        <f>-(F2034*G2034*$U$3)/J2034</f>
        <v>-7.891448738464236</v>
      </c>
      <c r="M2034" s="11">
        <f>ABS(L2034/$U$6)</f>
        <v>2.3007139179196022E-2</v>
      </c>
      <c r="N2034" s="12">
        <f>L2034*SIN(RADIANS(K2034))</f>
        <v>0</v>
      </c>
      <c r="O2034" s="12">
        <f>L2034*COS(RADIANS(K2034))</f>
        <v>-7.891448738464236</v>
      </c>
      <c r="P2034" s="5">
        <v>2.448957307813814</v>
      </c>
      <c r="Q2034" s="5">
        <v>1.0801510210565022</v>
      </c>
      <c r="R2034" s="6">
        <f>P2034/Q2034</f>
        <v>2.2672360254017758</v>
      </c>
    </row>
    <row r="2035" spans="1:18" x14ac:dyDescent="0.35">
      <c r="A2035" s="9">
        <v>2036</v>
      </c>
      <c r="B2035" s="5">
        <v>0.25</v>
      </c>
      <c r="C2035" s="5">
        <v>2000000</v>
      </c>
      <c r="D2035" s="5">
        <v>30</v>
      </c>
      <c r="E2035" s="5">
        <v>0.375</v>
      </c>
      <c r="F2035" s="5">
        <v>0</v>
      </c>
      <c r="G2035" s="12">
        <f>(C2035*$U$4)/($U$5*$U$3)</f>
        <v>29.387755102040813</v>
      </c>
      <c r="H2035" s="11">
        <f>G2035*COS(RADIANS(D2035))</f>
        <v>25.450542478563094</v>
      </c>
      <c r="I2035" s="11">
        <f>G2035*SIN(RADIANS(D2035))</f>
        <v>14.693877551020405</v>
      </c>
      <c r="J2035" s="11">
        <v>0.1976</v>
      </c>
      <c r="K2035" s="12">
        <v>78</v>
      </c>
      <c r="L2035" s="12">
        <f>-(F2035*G2035*$U$3)/J2035</f>
        <v>0</v>
      </c>
      <c r="M2035" s="11">
        <f>ABS(L2035/$U$6)</f>
        <v>0</v>
      </c>
      <c r="N2035" s="12">
        <f>L2035*SIN(RADIANS(K2035))</f>
        <v>0</v>
      </c>
      <c r="O2035" s="12">
        <f>L2035*COS(RADIANS(K2035))</f>
        <v>0</v>
      </c>
      <c r="P2035" s="5">
        <v>2.7794323297861534</v>
      </c>
      <c r="Q2035" s="5">
        <v>1.3515915745675904</v>
      </c>
      <c r="R2035" s="6">
        <f>P2035/Q2035</f>
        <v>2.0564143651719395</v>
      </c>
    </row>
    <row r="2036" spans="1:18" x14ac:dyDescent="0.35">
      <c r="A2036" s="9">
        <v>2037</v>
      </c>
      <c r="B2036" s="5">
        <v>0.75</v>
      </c>
      <c r="C2036" s="5">
        <v>4000000</v>
      </c>
      <c r="D2036" s="5">
        <v>20</v>
      </c>
      <c r="E2036" s="5">
        <v>0.125</v>
      </c>
      <c r="F2036" s="5">
        <v>2.5000000000000001E-2</v>
      </c>
      <c r="G2036" s="12">
        <f>(C2036*$U$4)/($U$5*$U$3)</f>
        <v>58.775510204081627</v>
      </c>
      <c r="H2036" s="11">
        <f>G2036*COS(RADIANS(D2036))</f>
        <v>55.230913221702366</v>
      </c>
      <c r="I2036" s="11">
        <f>G2036*SIN(RADIANS(D2036))</f>
        <v>20.102408424039304</v>
      </c>
      <c r="J2036" s="12">
        <v>0.2802</v>
      </c>
      <c r="K2036" s="12">
        <v>19</v>
      </c>
      <c r="L2036" s="12">
        <f>-(F2036*G2036*$U$3)/J2036</f>
        <v>-5.2440676484726643</v>
      </c>
      <c r="M2036" s="11">
        <f>ABS(L2036/$U$6)</f>
        <v>1.5288826963477156E-2</v>
      </c>
      <c r="N2036" s="12">
        <f>L2036*SIN(RADIANS(K2036))</f>
        <v>-1.707301426161727</v>
      </c>
      <c r="O2036" s="12">
        <f>L2036*COS(RADIANS(K2036))</f>
        <v>-4.9583633733303323</v>
      </c>
      <c r="P2036" s="5">
        <v>3.9102026776631829</v>
      </c>
      <c r="Q2036" s="5">
        <v>1.0259489155705708</v>
      </c>
      <c r="R2036" s="6">
        <f>P2036/Q2036</f>
        <v>3.8113034853090757</v>
      </c>
    </row>
    <row r="2037" spans="1:18" x14ac:dyDescent="0.35">
      <c r="A2037" s="9">
        <v>2038</v>
      </c>
      <c r="B2037" s="5">
        <v>1</v>
      </c>
      <c r="C2037" s="5">
        <v>2000000</v>
      </c>
      <c r="D2037" s="5">
        <v>0</v>
      </c>
      <c r="E2037" s="5">
        <v>0</v>
      </c>
      <c r="F2037" s="5">
        <v>0.15</v>
      </c>
      <c r="G2037" s="12">
        <f>(C2037*$U$4)/($U$5*$U$3)</f>
        <v>29.387755102040813</v>
      </c>
      <c r="H2037" s="11">
        <f>G2037*COS(RADIANS(D2037))</f>
        <v>29.387755102040813</v>
      </c>
      <c r="I2037" s="11">
        <f>G2037*SIN(RADIANS(D2037))</f>
        <v>0</v>
      </c>
      <c r="J2037" s="11">
        <v>0.33379999999999999</v>
      </c>
      <c r="K2037" s="12">
        <v>0</v>
      </c>
      <c r="L2037" s="12">
        <f>-(F2037*G2037*$U$3)/J2037</f>
        <v>-13.206001393966813</v>
      </c>
      <c r="M2037" s="11">
        <f>ABS(L2037/$U$6)</f>
        <v>3.8501461789990712E-2</v>
      </c>
      <c r="N2037" s="12">
        <f>L2037*SIN(RADIANS(K2037))</f>
        <v>0</v>
      </c>
      <c r="O2037" s="12">
        <f>L2037*COS(RADIANS(K2037))</f>
        <v>-13.206001393966813</v>
      </c>
      <c r="P2037" s="5">
        <v>2.393045535607305</v>
      </c>
      <c r="Q2037" s="5">
        <v>1.1838147206087439</v>
      </c>
      <c r="R2037" s="6">
        <f>P2037/Q2037</f>
        <v>2.0214696556372838</v>
      </c>
    </row>
    <row r="2038" spans="1:18" x14ac:dyDescent="0.35">
      <c r="A2038" s="9">
        <v>2039</v>
      </c>
      <c r="B2038" s="5">
        <v>0.5</v>
      </c>
      <c r="C2038" s="5">
        <v>2000000</v>
      </c>
      <c r="D2038" s="5">
        <v>10</v>
      </c>
      <c r="E2038" s="5">
        <v>0.125</v>
      </c>
      <c r="F2038" s="5">
        <v>7.4999999999999997E-2</v>
      </c>
      <c r="G2038" s="12">
        <f>(C2038*$U$4)/($U$5*$U$3)</f>
        <v>29.387755102040813</v>
      </c>
      <c r="H2038" s="11">
        <f>G2038*COS(RADIANS(D2038))</f>
        <v>28.941289068113864</v>
      </c>
      <c r="I2038" s="11">
        <f>G2038*SIN(RADIANS(D2038))</f>
        <v>5.1031301191914213</v>
      </c>
      <c r="J2038" s="12">
        <v>0.23300000000000001</v>
      </c>
      <c r="K2038" s="11">
        <v>27</v>
      </c>
      <c r="L2038" s="12">
        <f>-(F2038*G2038*$U$3)/J2038</f>
        <v>-9.4595778225453255</v>
      </c>
      <c r="M2038" s="11">
        <f>ABS(L2038/$U$6)</f>
        <v>2.7578944089053429E-2</v>
      </c>
      <c r="N2038" s="12">
        <f>L2038*SIN(RADIANS(K2038))</f>
        <v>-4.2945584629824856</v>
      </c>
      <c r="O2038" s="12">
        <f>L2038*COS(RADIANS(K2038))</f>
        <v>-8.4285455559554805</v>
      </c>
      <c r="P2038" s="5">
        <v>4.6295824714852518</v>
      </c>
      <c r="Q2038" s="5">
        <v>0.48352915728348261</v>
      </c>
      <c r="R2038" s="6">
        <f>P2038/Q2038</f>
        <v>9.5745673280484898</v>
      </c>
    </row>
    <row r="2039" spans="1:18" x14ac:dyDescent="0.35">
      <c r="A2039" s="9">
        <v>98</v>
      </c>
      <c r="B2039" s="5">
        <v>0.1</v>
      </c>
      <c r="C2039" s="5">
        <v>4000000</v>
      </c>
      <c r="D2039" s="5">
        <v>20</v>
      </c>
      <c r="E2039" s="5">
        <v>0</v>
      </c>
      <c r="F2039" s="5">
        <v>0.1</v>
      </c>
      <c r="G2039" s="12">
        <f>(C2039*$U$4)/($U$5*$U$3)</f>
        <v>58.775510204081627</v>
      </c>
      <c r="H2039" s="11">
        <f>G2039*COS(RADIANS(D2039))</f>
        <v>55.230913221702366</v>
      </c>
      <c r="I2039" s="11">
        <f>G2039*SIN(RADIANS(D2039))</f>
        <v>20.102408424039304</v>
      </c>
      <c r="J2039" s="20">
        <v>0.16569999999999999</v>
      </c>
      <c r="K2039" s="12">
        <v>0</v>
      </c>
      <c r="L2039" s="12">
        <f>-(F2039*G2039*$U$3)/J2039</f>
        <v>-35.471038143682335</v>
      </c>
      <c r="M2039" s="11">
        <f>ABS(L2039/$U$6)</f>
        <v>0.10341410537516715</v>
      </c>
      <c r="N2039" s="12">
        <f>L2039*SIN(RADIANS(K2039))</f>
        <v>0</v>
      </c>
      <c r="O2039" s="12">
        <f>L2039*COS(RADIANS(K2039))</f>
        <v>-35.471038143682335</v>
      </c>
      <c r="P2039" s="5">
        <v>1.766309525515646</v>
      </c>
      <c r="Q2039" s="5">
        <v>0.70903255068136628</v>
      </c>
      <c r="R2039" s="6">
        <f>P2039/Q2039</f>
        <v>2.4911543536587391</v>
      </c>
    </row>
    <row r="2040" spans="1:18" x14ac:dyDescent="0.35">
      <c r="A2040" s="9">
        <v>2041</v>
      </c>
      <c r="B2040" s="5">
        <v>0.1</v>
      </c>
      <c r="C2040" s="5">
        <v>4000000</v>
      </c>
      <c r="D2040" s="5">
        <v>20</v>
      </c>
      <c r="E2040" s="5">
        <v>0</v>
      </c>
      <c r="F2040" s="5">
        <v>3.5000000000000003E-2</v>
      </c>
      <c r="G2040" s="12">
        <f>(C2040*$U$4)/($U$5*$U$3)</f>
        <v>58.775510204081627</v>
      </c>
      <c r="H2040" s="11">
        <f>G2040*COS(RADIANS(D2040))</f>
        <v>55.230913221702366</v>
      </c>
      <c r="I2040" s="11">
        <f>G2040*SIN(RADIANS(D2040))</f>
        <v>20.102408424039304</v>
      </c>
      <c r="J2040" s="11">
        <v>0.16569999999999999</v>
      </c>
      <c r="K2040" s="12">
        <v>0</v>
      </c>
      <c r="L2040" s="12">
        <f>-(F2040*G2040*$U$3)/J2040</f>
        <v>-12.414863350288817</v>
      </c>
      <c r="M2040" s="11">
        <f>ABS(L2040/$U$6)</f>
        <v>3.6194936881308502E-2</v>
      </c>
      <c r="N2040" s="12">
        <f>L2040*SIN(RADIANS(K2040))</f>
        <v>0</v>
      </c>
      <c r="O2040" s="12">
        <f>L2040*COS(RADIANS(K2040))</f>
        <v>-12.414863350288817</v>
      </c>
      <c r="P2040" s="5">
        <v>1.4202536194889708</v>
      </c>
      <c r="Q2040" s="5">
        <v>0.63547413435307842</v>
      </c>
      <c r="R2040" s="6">
        <f>P2040/Q2040</f>
        <v>2.2349511061292979</v>
      </c>
    </row>
    <row r="2041" spans="1:18" x14ac:dyDescent="0.35">
      <c r="A2041" s="9">
        <v>2042</v>
      </c>
      <c r="B2041" s="5">
        <v>0.1</v>
      </c>
      <c r="C2041" s="5">
        <v>2000000</v>
      </c>
      <c r="D2041" s="5">
        <v>5</v>
      </c>
      <c r="E2041" s="5">
        <v>0.375</v>
      </c>
      <c r="F2041" s="5">
        <v>7.4999999999999997E-2</v>
      </c>
      <c r="G2041" s="12">
        <f>(C2041*$U$4)/($U$5*$U$3)</f>
        <v>29.387755102040813</v>
      </c>
      <c r="H2041" s="11">
        <f>G2041*COS(RADIANS(D2041))</f>
        <v>29.275925821471702</v>
      </c>
      <c r="I2041" s="11">
        <f>G2041*SIN(RADIANS(D2041))</f>
        <v>2.5613116236046478</v>
      </c>
      <c r="J2041" s="12">
        <v>0.16789999999999999</v>
      </c>
      <c r="K2041" s="11">
        <v>85</v>
      </c>
      <c r="L2041" s="12">
        <f>-(F2041*G2041*$U$3)/J2041</f>
        <v>-13.127347424973562</v>
      </c>
      <c r="M2041" s="11">
        <f>ABS(L2041/$U$6)</f>
        <v>3.8272149927036626E-2</v>
      </c>
      <c r="N2041" s="12">
        <f>L2041*SIN(RADIANS(K2041))</f>
        <v>-13.077393904766991</v>
      </c>
      <c r="O2041" s="12">
        <f>L2041*COS(RADIANS(K2041))</f>
        <v>-1.1441237151301282</v>
      </c>
      <c r="P2041" s="5">
        <v>1.900335723918257</v>
      </c>
      <c r="Q2041" s="5">
        <v>0.32865125559666969</v>
      </c>
      <c r="R2041" s="6">
        <f>P2041/Q2041</f>
        <v>5.7822256618742509</v>
      </c>
    </row>
    <row r="2042" spans="1:18" x14ac:dyDescent="0.35">
      <c r="A2042" s="9">
        <v>2043</v>
      </c>
      <c r="B2042" s="5">
        <v>0.25</v>
      </c>
      <c r="C2042" s="5">
        <v>4000000</v>
      </c>
      <c r="D2042" s="5">
        <v>15</v>
      </c>
      <c r="E2042" s="5">
        <v>0</v>
      </c>
      <c r="F2042" s="5">
        <v>0.1</v>
      </c>
      <c r="G2042" s="12">
        <f>(C2042*$U$4)/($U$5*$U$3)</f>
        <v>58.775510204081627</v>
      </c>
      <c r="H2042" s="11">
        <f>G2042*COS(RADIANS(D2042))</f>
        <v>56.772783259439109</v>
      </c>
      <c r="I2042" s="11">
        <f>G2042*SIN(RADIANS(D2042))</f>
        <v>15.212221426433871</v>
      </c>
      <c r="J2042" s="12">
        <v>0.18990000000000001</v>
      </c>
      <c r="K2042" s="12">
        <v>0</v>
      </c>
      <c r="L2042" s="12">
        <f>-(F2042*G2042*$U$3)/J2042</f>
        <v>-30.95076893316568</v>
      </c>
      <c r="M2042" s="11">
        <f>ABS(L2042/$U$6)</f>
        <v>9.023547793925854E-2</v>
      </c>
      <c r="N2042" s="12">
        <f>L2042*SIN(RADIANS(K2042))</f>
        <v>0</v>
      </c>
      <c r="O2042" s="12">
        <f>L2042*COS(RADIANS(K2042))</f>
        <v>-30.95076893316568</v>
      </c>
      <c r="P2042" s="5">
        <v>2.4252881425358157</v>
      </c>
      <c r="Q2042" s="5">
        <v>0.46816278782536974</v>
      </c>
      <c r="R2042" s="6">
        <f>P2042/Q2042</f>
        <v>5.1804376716939684</v>
      </c>
    </row>
    <row r="2043" spans="1:18" x14ac:dyDescent="0.35">
      <c r="A2043" s="9">
        <v>568</v>
      </c>
      <c r="B2043" s="5">
        <v>0.1</v>
      </c>
      <c r="C2043" s="5">
        <v>4000000</v>
      </c>
      <c r="D2043" s="5">
        <v>0</v>
      </c>
      <c r="E2043" s="5">
        <v>0</v>
      </c>
      <c r="F2043" s="5">
        <v>0.1</v>
      </c>
      <c r="G2043" s="12">
        <f>(C2043*$U$4)/($U$5*$U$3)</f>
        <v>58.775510204081627</v>
      </c>
      <c r="H2043" s="11">
        <f>G2043*COS(RADIANS(D2043))</f>
        <v>58.775510204081627</v>
      </c>
      <c r="I2043" s="11">
        <f>G2043*SIN(RADIANS(D2043))</f>
        <v>0</v>
      </c>
      <c r="J2043" s="11">
        <v>0.16569999999999999</v>
      </c>
      <c r="K2043" s="19">
        <v>0</v>
      </c>
      <c r="L2043" s="12">
        <f>-(F2043*G2043*$U$3)/J2043</f>
        <v>-35.471038143682335</v>
      </c>
      <c r="M2043" s="11">
        <f>ABS(L2043/$U$6)</f>
        <v>0.10341410537516715</v>
      </c>
      <c r="N2043" s="12">
        <f>L2043*SIN(RADIANS(K2043))</f>
        <v>0</v>
      </c>
      <c r="O2043" s="12">
        <f>L2043*COS(RADIANS(K2043))</f>
        <v>-35.471038143682335</v>
      </c>
      <c r="P2043" s="5">
        <v>1.3273283463592191</v>
      </c>
      <c r="Q2043" s="5">
        <v>0.18173818845135481</v>
      </c>
      <c r="R2043" s="6">
        <f>P2043/Q2043</f>
        <v>7.3035191869676872</v>
      </c>
    </row>
    <row r="2044" spans="1:18" x14ac:dyDescent="0.35">
      <c r="A2044" s="9">
        <v>2045</v>
      </c>
      <c r="B2044" s="5">
        <v>1</v>
      </c>
      <c r="C2044" s="5">
        <v>4000000</v>
      </c>
      <c r="D2044" s="5">
        <v>5</v>
      </c>
      <c r="E2044" s="5">
        <v>0.25</v>
      </c>
      <c r="F2044" s="5">
        <v>0.05</v>
      </c>
      <c r="G2044" s="12">
        <f>(C2044*$U$4)/($U$5*$U$3)</f>
        <v>58.775510204081627</v>
      </c>
      <c r="H2044" s="11">
        <f>G2044*COS(RADIANS(D2044))</f>
        <v>58.551851642943404</v>
      </c>
      <c r="I2044" s="11">
        <f>G2044*SIN(RADIANS(D2044))</f>
        <v>5.1226232472092956</v>
      </c>
      <c r="J2044" s="13">
        <v>0.33379999999999999</v>
      </c>
      <c r="K2044" s="12">
        <v>30</v>
      </c>
      <c r="L2044" s="12">
        <f>-(F2044*G2044*$U$3)/J2044</f>
        <v>-8.8040009293112096</v>
      </c>
      <c r="M2044" s="11">
        <f>ABS(L2044/$U$6)</f>
        <v>2.566764119332714E-2</v>
      </c>
      <c r="N2044" s="12">
        <f>L2044*SIN(RADIANS(K2044))</f>
        <v>-4.4020004646556039</v>
      </c>
      <c r="O2044" s="12">
        <f>L2044*COS(RADIANS(K2044))</f>
        <v>-7.6244884597253142</v>
      </c>
      <c r="P2044" s="5">
        <v>3.6575690057253514</v>
      </c>
      <c r="Q2044" s="5">
        <v>0.69153539860234847</v>
      </c>
      <c r="R2044" s="6">
        <f>P2044/Q2044</f>
        <v>5.2890553587243803</v>
      </c>
    </row>
    <row r="2045" spans="1:18" x14ac:dyDescent="0.35">
      <c r="A2045" s="9">
        <v>2046</v>
      </c>
      <c r="B2045" s="5">
        <v>0.5</v>
      </c>
      <c r="C2045" s="5">
        <v>6000000</v>
      </c>
      <c r="D2045" s="5">
        <v>20</v>
      </c>
      <c r="E2045" s="5">
        <v>0.25</v>
      </c>
      <c r="F2045" s="5">
        <v>1.4999999999999999E-2</v>
      </c>
      <c r="G2045" s="12">
        <f>(C2045*$U$4)/($U$5*$U$3)</f>
        <v>88.16326530612244</v>
      </c>
      <c r="H2045" s="11">
        <f>G2045*COS(RADIANS(D2045))</f>
        <v>82.846369832553549</v>
      </c>
      <c r="I2045" s="11">
        <f>G2045*SIN(RADIANS(D2045))</f>
        <v>30.153612636058952</v>
      </c>
      <c r="J2045" s="11">
        <v>0.23580000000000001</v>
      </c>
      <c r="K2045" s="11">
        <v>49</v>
      </c>
      <c r="L2045" s="12">
        <f>-(F2045*G2045*$U$3)/J2045</f>
        <v>-5.608350210313132</v>
      </c>
      <c r="M2045" s="11">
        <f>ABS(L2045/$U$6)</f>
        <v>1.6350875248726332E-2</v>
      </c>
      <c r="N2045" s="12">
        <f>L2045*SIN(RADIANS(K2045))</f>
        <v>-4.2326756329677186</v>
      </c>
      <c r="O2045" s="12">
        <f>L2045*COS(RADIANS(K2045))</f>
        <v>-3.6794087932167407</v>
      </c>
      <c r="P2045" s="5">
        <v>3.46934708891503</v>
      </c>
      <c r="Q2045" s="5">
        <v>0.86044883878483003</v>
      </c>
      <c r="R2045" s="6">
        <f>P2045/Q2045</f>
        <v>4.0320201882248101</v>
      </c>
    </row>
    <row r="2046" spans="1:18" x14ac:dyDescent="0.35">
      <c r="A2046" s="9">
        <v>2047</v>
      </c>
      <c r="B2046" s="5">
        <v>0.5</v>
      </c>
      <c r="C2046" s="5">
        <v>4000000</v>
      </c>
      <c r="D2046" s="5">
        <v>15</v>
      </c>
      <c r="E2046" s="5">
        <v>0.375</v>
      </c>
      <c r="F2046" s="5">
        <v>1.4999999999999999E-2</v>
      </c>
      <c r="G2046" s="12">
        <f>(C2046*$U$4)/($U$5*$U$3)</f>
        <v>58.775510204081627</v>
      </c>
      <c r="H2046" s="11">
        <f>G2046*COS(RADIANS(D2046))</f>
        <v>56.772783259439109</v>
      </c>
      <c r="I2046" s="11">
        <f>G2046*SIN(RADIANS(D2046))</f>
        <v>15.212221426433871</v>
      </c>
      <c r="J2046" s="12">
        <v>0.24809999999999999</v>
      </c>
      <c r="K2046" s="12">
        <v>67</v>
      </c>
      <c r="L2046" s="12">
        <f>-(F2046*G2046*$U$3)/J2046</f>
        <v>-3.5535374972237985</v>
      </c>
      <c r="M2046" s="11">
        <f>ABS(L2046/$U$6)</f>
        <v>1.0360167630390084E-2</v>
      </c>
      <c r="N2046" s="12">
        <f>L2046*SIN(RADIANS(K2046))</f>
        <v>-3.2710485131197444</v>
      </c>
      <c r="O2046" s="12">
        <f>L2046*COS(RADIANS(K2046))</f>
        <v>-1.3884777164192041</v>
      </c>
      <c r="P2046" s="5">
        <v>3.3386791872207366</v>
      </c>
      <c r="Q2046" s="5">
        <v>0.47115268272518607</v>
      </c>
      <c r="R2046" s="6">
        <f>P2046/Q2046</f>
        <v>7.0861937321666941</v>
      </c>
    </row>
    <row r="2047" spans="1:18" x14ac:dyDescent="0.35">
      <c r="A2047" s="9">
        <v>2048</v>
      </c>
      <c r="B2047" s="5">
        <v>0.75</v>
      </c>
      <c r="C2047" s="5">
        <v>6000000</v>
      </c>
      <c r="D2047" s="5">
        <v>15</v>
      </c>
      <c r="E2047" s="5">
        <v>0.375</v>
      </c>
      <c r="F2047" s="5">
        <v>7.4999999999999997E-2</v>
      </c>
      <c r="G2047" s="12">
        <f>(C2047*$U$4)/($U$5*$U$3)</f>
        <v>88.16326530612244</v>
      </c>
      <c r="H2047" s="11">
        <f>G2047*COS(RADIANS(D2047))</f>
        <v>85.159174889158663</v>
      </c>
      <c r="I2047" s="11">
        <f>G2047*SIN(RADIANS(D2047))</f>
        <v>22.818332139650806</v>
      </c>
      <c r="J2047" s="11">
        <v>0.29299999999999998</v>
      </c>
      <c r="K2047" s="12">
        <v>57</v>
      </c>
      <c r="L2047" s="12">
        <f>-(F2047*G2047*$U$3)/J2047</f>
        <v>-22.567388730236122</v>
      </c>
      <c r="M2047" s="11">
        <f>ABS(L2047/$U$6)</f>
        <v>6.5794136239755455E-2</v>
      </c>
      <c r="N2047" s="12">
        <f>L2047*SIN(RADIANS(K2047))</f>
        <v>-18.926604723432291</v>
      </c>
      <c r="O2047" s="12">
        <f>L2047*COS(RADIANS(K2047))</f>
        <v>-12.291080820844799</v>
      </c>
      <c r="P2047" s="5">
        <v>5.1115997592563369</v>
      </c>
      <c r="Q2047" s="5">
        <v>0.31570151548012049</v>
      </c>
      <c r="R2047" s="6">
        <f>P2047/Q2047</f>
        <v>16.191242387552652</v>
      </c>
    </row>
    <row r="2048" spans="1:18" x14ac:dyDescent="0.35">
      <c r="A2048" s="9">
        <v>2049</v>
      </c>
      <c r="B2048" s="5">
        <v>1</v>
      </c>
      <c r="C2048" s="5">
        <v>2000000</v>
      </c>
      <c r="D2048" s="5">
        <v>5</v>
      </c>
      <c r="E2048" s="5">
        <v>0.125</v>
      </c>
      <c r="F2048" s="5">
        <v>2.5000000000000001E-2</v>
      </c>
      <c r="G2048" s="12">
        <f>(C2048*$U$4)/($U$5*$U$3)</f>
        <v>29.387755102040813</v>
      </c>
      <c r="H2048" s="11">
        <f>G2048*COS(RADIANS(D2048))</f>
        <v>29.275925821471702</v>
      </c>
      <c r="I2048" s="11">
        <f>G2048*SIN(RADIANS(D2048))</f>
        <v>2.5613116236046478</v>
      </c>
      <c r="J2048" s="11">
        <v>0.33379999999999999</v>
      </c>
      <c r="K2048" s="12">
        <v>14</v>
      </c>
      <c r="L2048" s="12">
        <f>-(F2048*G2048*$U$3)/J2048</f>
        <v>-2.2010002323278024</v>
      </c>
      <c r="M2048" s="11">
        <f>ABS(L2048/$U$6)</f>
        <v>6.4169102983317851E-3</v>
      </c>
      <c r="N2048" s="12">
        <f>L2048*SIN(RADIANS(K2048))</f>
        <v>-0.53247014842005103</v>
      </c>
      <c r="O2048" s="12">
        <f>L2048*COS(RADIANS(K2048))</f>
        <v>-2.1356211189601422</v>
      </c>
      <c r="P2048" s="5">
        <v>3.6373278373805964</v>
      </c>
      <c r="Q2048" s="5">
        <v>0.70130674688834849</v>
      </c>
      <c r="R2048" s="6">
        <f>P2048/Q2048</f>
        <v>5.1865005627269074</v>
      </c>
    </row>
    <row r="2049" spans="1:18" x14ac:dyDescent="0.35">
      <c r="A2049" s="9">
        <v>2050</v>
      </c>
      <c r="B2049" s="5">
        <v>1</v>
      </c>
      <c r="C2049" s="5">
        <v>4000000</v>
      </c>
      <c r="D2049" s="5">
        <v>10</v>
      </c>
      <c r="E2049" s="5">
        <v>0.375</v>
      </c>
      <c r="F2049" s="5">
        <v>0.1</v>
      </c>
      <c r="G2049" s="12">
        <f>(C2049*$U$4)/($U$5*$U$3)</f>
        <v>58.775510204081627</v>
      </c>
      <c r="H2049" s="11">
        <f>G2049*COS(RADIANS(D2049))</f>
        <v>57.882578136227728</v>
      </c>
      <c r="I2049" s="11">
        <f>G2049*SIN(RADIANS(D2049))</f>
        <v>10.206260238382843</v>
      </c>
      <c r="J2049" s="12">
        <v>0.33379999999999999</v>
      </c>
      <c r="K2049" s="11">
        <v>49</v>
      </c>
      <c r="L2049" s="12">
        <f>-(F2049*G2049*$U$3)/J2049</f>
        <v>-17.608001858622419</v>
      </c>
      <c r="M2049" s="11">
        <f>ABS(L2049/$U$6)</f>
        <v>5.1335282386654281E-2</v>
      </c>
      <c r="N2049" s="12">
        <f>L2049*SIN(RADIANS(K2049))</f>
        <v>-13.288927691282716</v>
      </c>
      <c r="O2049" s="12">
        <f>L2049*COS(RADIANS(K2049))</f>
        <v>-11.551888601830871</v>
      </c>
      <c r="P2049" s="5">
        <v>6.608527270019839</v>
      </c>
      <c r="Q2049" s="5">
        <v>-0.1909346055998207</v>
      </c>
      <c r="R2049" s="6">
        <f>P2049/Q2049</f>
        <v>-34.611469457090628</v>
      </c>
    </row>
    <row r="2050" spans="1:18" x14ac:dyDescent="0.35">
      <c r="A2050" s="9">
        <v>2051</v>
      </c>
      <c r="B2050" s="5">
        <v>0.25</v>
      </c>
      <c r="C2050" s="5">
        <v>2000000</v>
      </c>
      <c r="D2050" s="5">
        <v>5</v>
      </c>
      <c r="E2050" s="5">
        <v>0.25</v>
      </c>
      <c r="F2050" s="5">
        <v>2.5000000000000001E-2</v>
      </c>
      <c r="G2050" s="12">
        <f>(C2050*$U$4)/($U$5*$U$3)</f>
        <v>29.387755102040813</v>
      </c>
      <c r="H2050" s="11">
        <f>G2050*COS(RADIANS(D2050))</f>
        <v>29.275925821471702</v>
      </c>
      <c r="I2050" s="11">
        <f>G2050*SIN(RADIANS(D2050))</f>
        <v>2.5613116236046478</v>
      </c>
      <c r="J2050" s="12">
        <v>0.1913</v>
      </c>
      <c r="K2050" s="11">
        <v>67</v>
      </c>
      <c r="L2050" s="12">
        <f>-(F2050*G2050*$U$3)/J2050</f>
        <v>-3.8405325538474666</v>
      </c>
      <c r="M2050" s="11">
        <f>ABS(L2050/$U$6)</f>
        <v>1.119688791209174E-2</v>
      </c>
      <c r="N2050" s="12">
        <f>L2050*SIN(RADIANS(K2050))</f>
        <v>-3.5352288556586888</v>
      </c>
      <c r="O2050" s="12">
        <f>L2050*COS(RADIANS(K2050))</f>
        <v>-1.5006156187646129</v>
      </c>
      <c r="P2050" s="5">
        <v>2.0627957693384968</v>
      </c>
      <c r="Q2050" s="5">
        <v>0.27091730346919451</v>
      </c>
      <c r="R2050" s="6">
        <f>P2050/Q2050</f>
        <v>7.6141159790225554</v>
      </c>
    </row>
    <row r="2051" spans="1:18" x14ac:dyDescent="0.35">
      <c r="A2051" s="9">
        <v>2052</v>
      </c>
      <c r="B2051" s="5">
        <v>0.75</v>
      </c>
      <c r="C2051" s="5">
        <v>6000000</v>
      </c>
      <c r="D2051" s="5">
        <v>10</v>
      </c>
      <c r="E2051" s="5">
        <v>0</v>
      </c>
      <c r="F2051" s="5">
        <v>1.4999999999999999E-2</v>
      </c>
      <c r="G2051" s="12">
        <f>(C2051*$U$4)/($U$5*$U$3)</f>
        <v>88.16326530612244</v>
      </c>
      <c r="H2051" s="11">
        <f>G2051*COS(RADIANS(D2051))</f>
        <v>86.823867204341596</v>
      </c>
      <c r="I2051" s="11">
        <f>G2051*SIN(RADIANS(D2051))</f>
        <v>15.309390357574264</v>
      </c>
      <c r="J2051" s="11">
        <v>0.27929999999999999</v>
      </c>
      <c r="K2051" s="12">
        <v>0</v>
      </c>
      <c r="L2051" s="12">
        <f>-(F2051*G2051*$U$3)/J2051</f>
        <v>-4.7348692430785411</v>
      </c>
      <c r="M2051" s="11">
        <f>ABS(L2051/$U$6)</f>
        <v>1.3804283507517612E-2</v>
      </c>
      <c r="N2051" s="12">
        <f>L2051*SIN(RADIANS(K2051))</f>
        <v>0</v>
      </c>
      <c r="O2051" s="12">
        <f>L2051*COS(RADIANS(K2051))</f>
        <v>-4.7348692430785411</v>
      </c>
      <c r="P2051" s="5">
        <v>2.5471628132505688</v>
      </c>
      <c r="Q2051" s="5">
        <v>1.1848669231339841</v>
      </c>
      <c r="R2051" s="6">
        <f>P2051/Q2051</f>
        <v>2.14974590269876</v>
      </c>
    </row>
    <row r="2052" spans="1:18" x14ac:dyDescent="0.35">
      <c r="A2052" s="9">
        <v>2053</v>
      </c>
      <c r="B2052" s="5">
        <v>0.5</v>
      </c>
      <c r="C2052" s="5">
        <v>4000000</v>
      </c>
      <c r="D2052" s="5">
        <v>15</v>
      </c>
      <c r="E2052" s="5">
        <v>0.375</v>
      </c>
      <c r="F2052" s="5">
        <v>3.5000000000000003E-2</v>
      </c>
      <c r="G2052" s="12">
        <f>(C2052*$U$4)/($U$5*$U$3)</f>
        <v>58.775510204081627</v>
      </c>
      <c r="H2052" s="11">
        <f>G2052*COS(RADIANS(D2052))</f>
        <v>56.772783259439109</v>
      </c>
      <c r="I2052" s="11">
        <f>G2052*SIN(RADIANS(D2052))</f>
        <v>15.212221426433871</v>
      </c>
      <c r="J2052" s="12">
        <v>0.24809999999999999</v>
      </c>
      <c r="K2052" s="12">
        <v>67</v>
      </c>
      <c r="L2052" s="12">
        <f>-(F2052*G2052*$U$3)/J2052</f>
        <v>-8.2915874935221971</v>
      </c>
      <c r="M2052" s="11">
        <f>ABS(L2052/$U$6)</f>
        <v>2.4173724470910197E-2</v>
      </c>
      <c r="N2052" s="12">
        <f>L2052*SIN(RADIANS(K2052))</f>
        <v>-7.6324465306127376</v>
      </c>
      <c r="O2052" s="12">
        <f>L2052*COS(RADIANS(K2052))</f>
        <v>-3.2397813383114764</v>
      </c>
      <c r="P2052" s="5">
        <v>3.3172933203635306</v>
      </c>
      <c r="Q2052" s="5">
        <v>0.47954369539672842</v>
      </c>
      <c r="R2052" s="6">
        <f>P2052/Q2052</f>
        <v>6.9176038642716815</v>
      </c>
    </row>
    <row r="2053" spans="1:18" x14ac:dyDescent="0.35">
      <c r="A2053" s="9">
        <v>2054</v>
      </c>
      <c r="B2053" s="5">
        <v>1</v>
      </c>
      <c r="C2053" s="5">
        <v>4000000</v>
      </c>
      <c r="D2053" s="5">
        <v>15</v>
      </c>
      <c r="E2053" s="5">
        <v>0.25</v>
      </c>
      <c r="F2053" s="5">
        <v>0.05</v>
      </c>
      <c r="G2053" s="12">
        <f>(C2053*$U$4)/($U$5*$U$3)</f>
        <v>58.775510204081627</v>
      </c>
      <c r="H2053" s="11">
        <f>G2053*COS(RADIANS(D2053))</f>
        <v>56.772783259439109</v>
      </c>
      <c r="I2053" s="11">
        <f>G2053*SIN(RADIANS(D2053))</f>
        <v>15.212221426433871</v>
      </c>
      <c r="J2053" s="13">
        <v>0.33379999999999999</v>
      </c>
      <c r="K2053" s="12">
        <v>30</v>
      </c>
      <c r="L2053" s="12">
        <f>-(F2053*G2053*$U$3)/J2053</f>
        <v>-8.8040009293112096</v>
      </c>
      <c r="M2053" s="11">
        <f>ABS(L2053/$U$6)</f>
        <v>2.566764119332714E-2</v>
      </c>
      <c r="N2053" s="12">
        <f>L2053*SIN(RADIANS(K2053))</f>
        <v>-4.4020004646556039</v>
      </c>
      <c r="O2053" s="12">
        <f>L2053*COS(RADIANS(K2053))</f>
        <v>-7.6244884597253142</v>
      </c>
      <c r="P2053" s="5">
        <v>3.6503773393132595</v>
      </c>
      <c r="Q2053" s="5">
        <v>1.1043391694206772</v>
      </c>
      <c r="R2053" s="6">
        <f>P2053/Q2053</f>
        <v>3.3054857061967682</v>
      </c>
    </row>
    <row r="2054" spans="1:18" x14ac:dyDescent="0.35">
      <c r="A2054" s="9">
        <v>2055</v>
      </c>
      <c r="B2054" s="5">
        <v>1</v>
      </c>
      <c r="C2054" s="5">
        <v>2000000</v>
      </c>
      <c r="D2054" s="5">
        <v>0</v>
      </c>
      <c r="E2054" s="5">
        <v>0.125</v>
      </c>
      <c r="F2054" s="5">
        <v>1.4999999999999999E-2</v>
      </c>
      <c r="G2054" s="12">
        <f>(C2054*$U$4)/($U$5*$U$3)</f>
        <v>29.387755102040813</v>
      </c>
      <c r="H2054" s="11">
        <f>G2054*COS(RADIANS(D2054))</f>
        <v>29.387755102040813</v>
      </c>
      <c r="I2054" s="11">
        <f>G2054*SIN(RADIANS(D2054))</f>
        <v>0</v>
      </c>
      <c r="J2054" s="11">
        <v>0.33379999999999999</v>
      </c>
      <c r="K2054" s="12">
        <v>14</v>
      </c>
      <c r="L2054" s="12">
        <f>-(F2054*G2054*$U$3)/J2054</f>
        <v>-1.3206001393966813</v>
      </c>
      <c r="M2054" s="11">
        <f>ABS(L2054/$U$6)</f>
        <v>3.8501461789990708E-3</v>
      </c>
      <c r="N2054" s="12">
        <f>L2054*SIN(RADIANS(K2054))</f>
        <v>-0.31948208905203057</v>
      </c>
      <c r="O2054" s="12">
        <f>L2054*COS(RADIANS(K2054))</f>
        <v>-1.2813726713760851</v>
      </c>
      <c r="P2054" s="5">
        <v>2.4608778401303213</v>
      </c>
      <c r="Q2054" s="5">
        <v>1.1880904575873532</v>
      </c>
      <c r="R2054" s="6">
        <f>P2054/Q2054</f>
        <v>2.0712882797894094</v>
      </c>
    </row>
    <row r="2055" spans="1:18" x14ac:dyDescent="0.35">
      <c r="A2055" s="9">
        <v>2056</v>
      </c>
      <c r="B2055" s="5">
        <v>0.25</v>
      </c>
      <c r="C2055" s="5">
        <v>4000000</v>
      </c>
      <c r="D2055" s="5">
        <v>20</v>
      </c>
      <c r="E2055" s="5">
        <v>0.25</v>
      </c>
      <c r="F2055" s="5">
        <v>1.4999999999999999E-2</v>
      </c>
      <c r="G2055" s="12">
        <f>(C2055*$U$4)/($U$5*$U$3)</f>
        <v>58.775510204081627</v>
      </c>
      <c r="H2055" s="11">
        <f>G2055*COS(RADIANS(D2055))</f>
        <v>55.230913221702366</v>
      </c>
      <c r="I2055" s="11">
        <f>G2055*SIN(RADIANS(D2055))</f>
        <v>20.102408424039304</v>
      </c>
      <c r="J2055" s="12">
        <v>0.1913</v>
      </c>
      <c r="K2055" s="11">
        <v>67</v>
      </c>
      <c r="L2055" s="12">
        <f>-(F2055*G2055*$U$3)/J2055</f>
        <v>-4.6086390646169599</v>
      </c>
      <c r="M2055" s="11">
        <f>ABS(L2055/$U$6)</f>
        <v>1.3436265494510087E-2</v>
      </c>
      <c r="N2055" s="12">
        <f>L2055*SIN(RADIANS(K2055))</f>
        <v>-4.2422746267904268</v>
      </c>
      <c r="O2055" s="12">
        <f>L2055*COS(RADIANS(K2055))</f>
        <v>-1.8007387425175356</v>
      </c>
      <c r="P2055" s="5">
        <v>2.219535076364394</v>
      </c>
      <c r="Q2055" s="5">
        <v>0.67554537677530146</v>
      </c>
      <c r="R2055" s="6">
        <f>P2055/Q2055</f>
        <v>3.2855455054096998</v>
      </c>
    </row>
    <row r="2056" spans="1:18" x14ac:dyDescent="0.35">
      <c r="A2056" s="9">
        <v>2057</v>
      </c>
      <c r="B2056" s="5">
        <v>0.75</v>
      </c>
      <c r="C2056" s="5">
        <v>6000000</v>
      </c>
      <c r="D2056" s="5">
        <v>5</v>
      </c>
      <c r="E2056" s="5">
        <v>0.125</v>
      </c>
      <c r="F2056" s="5">
        <v>0</v>
      </c>
      <c r="G2056" s="12">
        <f>(C2056*$U$4)/($U$5*$U$3)</f>
        <v>88.16326530612244</v>
      </c>
      <c r="H2056" s="11">
        <f>G2056*COS(RADIANS(D2056))</f>
        <v>87.827777464415107</v>
      </c>
      <c r="I2056" s="11">
        <f>G2056*SIN(RADIANS(D2056))</f>
        <v>7.6839348708139434</v>
      </c>
      <c r="J2056" s="12">
        <v>0.2802</v>
      </c>
      <c r="K2056" s="12">
        <v>19</v>
      </c>
      <c r="L2056" s="12">
        <f>-(F2056*G2056*$U$3)/J2056</f>
        <v>0</v>
      </c>
      <c r="M2056" s="11">
        <f>ABS(L2056/$U$6)</f>
        <v>0</v>
      </c>
      <c r="N2056" s="12">
        <f>L2056*SIN(RADIANS(K2056))</f>
        <v>0</v>
      </c>
      <c r="O2056" s="12">
        <f>L2056*COS(RADIANS(K2056))</f>
        <v>0</v>
      </c>
      <c r="P2056" s="5">
        <v>5.2361970623359575</v>
      </c>
      <c r="Q2056" s="5">
        <v>1.081322748304262</v>
      </c>
      <c r="R2056" s="6">
        <f>P2056/Q2056</f>
        <v>4.8423998020455956</v>
      </c>
    </row>
    <row r="2057" spans="1:18" x14ac:dyDescent="0.35">
      <c r="A2057" s="9">
        <v>1499</v>
      </c>
      <c r="B2057" s="5">
        <v>0.1</v>
      </c>
      <c r="C2057" s="5">
        <v>4000000</v>
      </c>
      <c r="D2057" s="5">
        <v>10</v>
      </c>
      <c r="E2057" s="5">
        <v>0</v>
      </c>
      <c r="F2057" s="5">
        <v>0.1</v>
      </c>
      <c r="G2057" s="12">
        <f>(C2057*$U$4)/($U$5*$U$3)</f>
        <v>58.775510204081627</v>
      </c>
      <c r="H2057" s="11">
        <f>G2057*COS(RADIANS(D2057))</f>
        <v>57.882578136227728</v>
      </c>
      <c r="I2057" s="11">
        <f>G2057*SIN(RADIANS(D2057))</f>
        <v>10.206260238382843</v>
      </c>
      <c r="J2057" s="20">
        <v>0.16569999999999999</v>
      </c>
      <c r="K2057" s="19">
        <v>0</v>
      </c>
      <c r="L2057" s="12">
        <f>-(F2057*G2057*$U$3)/J2057</f>
        <v>-35.471038143682335</v>
      </c>
      <c r="M2057" s="11">
        <f>ABS(L2057/$U$6)</f>
        <v>0.10341410537516715</v>
      </c>
      <c r="N2057" s="12">
        <f>L2057*SIN(RADIANS(K2057))</f>
        <v>0</v>
      </c>
      <c r="O2057" s="12">
        <f>L2057*COS(RADIANS(K2057))</f>
        <v>-35.471038143682335</v>
      </c>
      <c r="P2057" s="5">
        <v>1.5695008379644939</v>
      </c>
      <c r="Q2057" s="5">
        <v>0.40518378153719503</v>
      </c>
      <c r="R2057" s="6">
        <f>P2057/Q2057</f>
        <v>3.8735529640650657</v>
      </c>
    </row>
    <row r="2058" spans="1:18" x14ac:dyDescent="0.35">
      <c r="A2058" s="9">
        <v>2059</v>
      </c>
      <c r="B2058" s="5">
        <v>0.5</v>
      </c>
      <c r="C2058" s="5">
        <v>2000000</v>
      </c>
      <c r="D2058" s="5">
        <v>5</v>
      </c>
      <c r="E2058" s="5">
        <v>0.125</v>
      </c>
      <c r="F2058" s="5">
        <v>0.1</v>
      </c>
      <c r="G2058" s="12">
        <f>(C2058*$U$4)/($U$5*$U$3)</f>
        <v>29.387755102040813</v>
      </c>
      <c r="H2058" s="11">
        <f>G2058*COS(RADIANS(D2058))</f>
        <v>29.275925821471702</v>
      </c>
      <c r="I2058" s="11">
        <f>G2058*SIN(RADIANS(D2058))</f>
        <v>2.5613116236046478</v>
      </c>
      <c r="J2058" s="12">
        <v>0.23300000000000001</v>
      </c>
      <c r="K2058" s="11">
        <v>27</v>
      </c>
      <c r="L2058" s="12">
        <f>-(F2058*G2058*$U$3)/J2058</f>
        <v>-12.612770430060435</v>
      </c>
      <c r="M2058" s="11">
        <f>ABS(L2058/$U$6)</f>
        <v>3.6771925452071239E-2</v>
      </c>
      <c r="N2058" s="12">
        <f>L2058*SIN(RADIANS(K2058))</f>
        <v>-5.7260779506433144</v>
      </c>
      <c r="O2058" s="12">
        <f>L2058*COS(RADIANS(K2058))</f>
        <v>-11.238060741273975</v>
      </c>
      <c r="P2058" s="5">
        <v>3.9809443839747241</v>
      </c>
      <c r="Q2058" s="5">
        <v>0.18114477221203371</v>
      </c>
      <c r="R2058" s="6">
        <f>P2058/Q2058</f>
        <v>21.976589969237125</v>
      </c>
    </row>
    <row r="2059" spans="1:18" x14ac:dyDescent="0.35">
      <c r="A2059" s="9">
        <v>2060</v>
      </c>
      <c r="B2059" s="5">
        <v>0.5</v>
      </c>
      <c r="C2059" s="5">
        <v>6000000</v>
      </c>
      <c r="D2059" s="5">
        <v>15</v>
      </c>
      <c r="E2059" s="5">
        <v>0.125</v>
      </c>
      <c r="F2059" s="5">
        <v>0</v>
      </c>
      <c r="G2059" s="12">
        <f>(C2059*$U$4)/($U$5*$U$3)</f>
        <v>88.16326530612244</v>
      </c>
      <c r="H2059" s="11">
        <f>G2059*COS(RADIANS(D2059))</f>
        <v>85.159174889158663</v>
      </c>
      <c r="I2059" s="11">
        <f>G2059*SIN(RADIANS(D2059))</f>
        <v>22.818332139650806</v>
      </c>
      <c r="J2059" s="12">
        <v>0.23300000000000001</v>
      </c>
      <c r="K2059" s="11">
        <v>27</v>
      </c>
      <c r="L2059" s="12">
        <f>-(F2059*G2059*$U$3)/J2059</f>
        <v>0</v>
      </c>
      <c r="M2059" s="11">
        <f>ABS(L2059/$U$6)</f>
        <v>0</v>
      </c>
      <c r="N2059" s="12">
        <f>L2059*SIN(RADIANS(K2059))</f>
        <v>0</v>
      </c>
      <c r="O2059" s="12">
        <f>L2059*COS(RADIANS(K2059))</f>
        <v>0</v>
      </c>
      <c r="P2059" s="5">
        <v>3.9177634941856718</v>
      </c>
      <c r="Q2059" s="5">
        <v>1.1465026636611273</v>
      </c>
      <c r="R2059" s="6">
        <f>P2059/Q2059</f>
        <v>3.4171429499126296</v>
      </c>
    </row>
    <row r="2060" spans="1:18" x14ac:dyDescent="0.35">
      <c r="A2060" s="9">
        <v>2061</v>
      </c>
      <c r="B2060" s="5">
        <v>1</v>
      </c>
      <c r="C2060" s="5">
        <v>6000000</v>
      </c>
      <c r="D2060" s="5">
        <v>15</v>
      </c>
      <c r="E2060" s="5">
        <v>0.375</v>
      </c>
      <c r="F2060" s="5">
        <v>0.05</v>
      </c>
      <c r="G2060" s="12">
        <f>(C2060*$U$4)/($U$5*$U$3)</f>
        <v>88.16326530612244</v>
      </c>
      <c r="H2060" s="11">
        <f>G2060*COS(RADIANS(D2060))</f>
        <v>85.159174889158663</v>
      </c>
      <c r="I2060" s="11">
        <f>G2060*SIN(RADIANS(D2060))</f>
        <v>22.818332139650806</v>
      </c>
      <c r="J2060" s="12">
        <v>0.33379999999999999</v>
      </c>
      <c r="K2060" s="11">
        <v>49</v>
      </c>
      <c r="L2060" s="12">
        <f>-(F2060*G2060*$U$3)/J2060</f>
        <v>-13.206001393966813</v>
      </c>
      <c r="M2060" s="11">
        <f>ABS(L2060/$U$6)</f>
        <v>3.8501461789990712E-2</v>
      </c>
      <c r="N2060" s="12">
        <f>L2060*SIN(RADIANS(K2060))</f>
        <v>-9.9666957684620368</v>
      </c>
      <c r="O2060" s="12">
        <f>L2060*COS(RADIANS(K2060))</f>
        <v>-8.6639164513731526</v>
      </c>
      <c r="P2060" s="5">
        <v>5.2773862685834487</v>
      </c>
      <c r="Q2060" s="5">
        <v>0.40377716668508179</v>
      </c>
      <c r="R2060" s="6">
        <f>P2060/Q2060</f>
        <v>13.070046312696638</v>
      </c>
    </row>
    <row r="2061" spans="1:18" x14ac:dyDescent="0.35">
      <c r="A2061" s="9">
        <v>2062</v>
      </c>
      <c r="B2061" s="5">
        <v>0.25</v>
      </c>
      <c r="C2061" s="5">
        <v>4000000</v>
      </c>
      <c r="D2061" s="5">
        <v>10</v>
      </c>
      <c r="E2061" s="5">
        <v>0.25</v>
      </c>
      <c r="F2061" s="5">
        <v>0.05</v>
      </c>
      <c r="G2061" s="12">
        <f>(C2061*$U$4)/($U$5*$U$3)</f>
        <v>58.775510204081627</v>
      </c>
      <c r="H2061" s="11">
        <f>G2061*COS(RADIANS(D2061))</f>
        <v>57.882578136227728</v>
      </c>
      <c r="I2061" s="11">
        <f>G2061*SIN(RADIANS(D2061))</f>
        <v>10.206260238382843</v>
      </c>
      <c r="J2061" s="12">
        <v>0.1913</v>
      </c>
      <c r="K2061" s="11">
        <v>67</v>
      </c>
      <c r="L2061" s="12">
        <f>-(F2061*G2061*$U$3)/J2061</f>
        <v>-15.362130215389866</v>
      </c>
      <c r="M2061" s="11">
        <f>ABS(L2061/$U$6)</f>
        <v>4.4787551648366959E-2</v>
      </c>
      <c r="N2061" s="12">
        <f>L2061*SIN(RADIANS(K2061))</f>
        <v>-14.140915422634755</v>
      </c>
      <c r="O2061" s="12">
        <f>L2061*COS(RADIANS(K2061))</f>
        <v>-6.0024624750584517</v>
      </c>
      <c r="P2061" s="5">
        <v>2.1305185389731274</v>
      </c>
      <c r="Q2061" s="5">
        <v>0.37891048636890545</v>
      </c>
      <c r="R2061" s="6">
        <f>P2061/Q2061</f>
        <v>5.6227489489400533</v>
      </c>
    </row>
    <row r="2062" spans="1:18" x14ac:dyDescent="0.35">
      <c r="A2062" s="9">
        <v>2063</v>
      </c>
      <c r="B2062" s="5">
        <v>1</v>
      </c>
      <c r="C2062" s="5">
        <v>4000000</v>
      </c>
      <c r="D2062" s="5">
        <v>10</v>
      </c>
      <c r="E2062" s="5">
        <v>0</v>
      </c>
      <c r="F2062" s="5">
        <v>7.4999999999999997E-2</v>
      </c>
      <c r="G2062" s="12">
        <f>(C2062*$U$4)/($U$5*$U$3)</f>
        <v>58.775510204081627</v>
      </c>
      <c r="H2062" s="11">
        <f>G2062*COS(RADIANS(D2062))</f>
        <v>57.882578136227728</v>
      </c>
      <c r="I2062" s="11">
        <f>G2062*SIN(RADIANS(D2062))</f>
        <v>10.206260238382843</v>
      </c>
      <c r="J2062" s="11">
        <v>0.33379999999999999</v>
      </c>
      <c r="K2062" s="12">
        <v>0</v>
      </c>
      <c r="L2062" s="12">
        <f>-(F2062*G2062*$U$3)/J2062</f>
        <v>-13.206001393966813</v>
      </c>
      <c r="M2062" s="11">
        <f>ABS(L2062/$U$6)</f>
        <v>3.8501461789990712E-2</v>
      </c>
      <c r="N2062" s="12">
        <f>L2062*SIN(RADIANS(K2062))</f>
        <v>0</v>
      </c>
      <c r="O2062" s="12">
        <f>L2062*COS(RADIANS(K2062))</f>
        <v>-13.206001393966813</v>
      </c>
      <c r="P2062" s="5">
        <v>7.2222753813286902</v>
      </c>
      <c r="Q2062" s="5">
        <v>0.89144482444669504</v>
      </c>
      <c r="R2062" s="6">
        <f>P2062/Q2062</f>
        <v>8.1017637696325586</v>
      </c>
    </row>
    <row r="2063" spans="1:18" x14ac:dyDescent="0.35">
      <c r="A2063" s="9">
        <v>2064</v>
      </c>
      <c r="B2063" s="5">
        <v>0.25</v>
      </c>
      <c r="C2063" s="5">
        <v>2000000</v>
      </c>
      <c r="D2063" s="5">
        <v>15</v>
      </c>
      <c r="E2063" s="5">
        <v>0</v>
      </c>
      <c r="F2063" s="5">
        <v>2.5000000000000001E-2</v>
      </c>
      <c r="G2063" s="12">
        <f>(C2063*$U$4)/($U$5*$U$3)</f>
        <v>29.387755102040813</v>
      </c>
      <c r="H2063" s="11">
        <f>G2063*COS(RADIANS(D2063))</f>
        <v>28.386391629719554</v>
      </c>
      <c r="I2063" s="11">
        <f>G2063*SIN(RADIANS(D2063))</f>
        <v>7.6061107132169354</v>
      </c>
      <c r="J2063" s="12">
        <v>0.18990000000000001</v>
      </c>
      <c r="K2063" s="12">
        <v>0</v>
      </c>
      <c r="L2063" s="12">
        <f>-(F2063*G2063*$U$3)/J2063</f>
        <v>-3.86884611664571</v>
      </c>
      <c r="M2063" s="11">
        <f>ABS(L2063/$U$6)</f>
        <v>1.1279434742407318E-2</v>
      </c>
      <c r="N2063" s="12">
        <f>L2063*SIN(RADIANS(K2063))</f>
        <v>0</v>
      </c>
      <c r="O2063" s="12">
        <f>L2063*COS(RADIANS(K2063))</f>
        <v>-3.86884611664571</v>
      </c>
      <c r="P2063" s="5">
        <v>2.0672833427539614</v>
      </c>
      <c r="Q2063" s="5">
        <v>0.5469340118242626</v>
      </c>
      <c r="R2063" s="6">
        <f>P2063/Q2063</f>
        <v>3.7797673906924771</v>
      </c>
    </row>
    <row r="2064" spans="1:18" x14ac:dyDescent="0.35">
      <c r="A2064" s="9">
        <v>1533</v>
      </c>
      <c r="B2064" s="5">
        <v>0.1</v>
      </c>
      <c r="C2064" s="5">
        <v>4000000</v>
      </c>
      <c r="D2064" s="5">
        <v>5</v>
      </c>
      <c r="E2064" s="5">
        <v>0</v>
      </c>
      <c r="F2064" s="5">
        <v>0.1</v>
      </c>
      <c r="G2064" s="12">
        <f>(C2064*$U$4)/($U$5*$U$3)</f>
        <v>58.775510204081627</v>
      </c>
      <c r="H2064" s="11">
        <f>G2064*COS(RADIANS(D2064))</f>
        <v>58.551851642943404</v>
      </c>
      <c r="I2064" s="11">
        <f>G2064*SIN(RADIANS(D2064))</f>
        <v>5.1226232472092956</v>
      </c>
      <c r="J2064" s="11">
        <v>0.16569999999999999</v>
      </c>
      <c r="K2064" s="12">
        <v>0</v>
      </c>
      <c r="L2064" s="12">
        <f>-(F2064*G2064*$U$3)/J2064</f>
        <v>-35.471038143682335</v>
      </c>
      <c r="M2064" s="11">
        <f>ABS(L2064/$U$6)</f>
        <v>0.10341410537516715</v>
      </c>
      <c r="N2064" s="12">
        <f>L2064*SIN(RADIANS(K2064))</f>
        <v>0</v>
      </c>
      <c r="O2064" s="12">
        <f>L2064*COS(RADIANS(K2064))</f>
        <v>-35.471038143682335</v>
      </c>
      <c r="P2064" s="5">
        <v>1.4514461081695873</v>
      </c>
      <c r="Q2064" s="5">
        <v>0.28326071200341929</v>
      </c>
      <c r="R2064" s="6">
        <f>P2064/Q2064</f>
        <v>5.1240643218889694</v>
      </c>
    </row>
    <row r="2065" spans="1:18" x14ac:dyDescent="0.35">
      <c r="A2065" s="9">
        <v>2067</v>
      </c>
      <c r="B2065" s="5">
        <v>0.1</v>
      </c>
      <c r="C2065" s="5">
        <v>4000000</v>
      </c>
      <c r="D2065" s="5">
        <v>15</v>
      </c>
      <c r="E2065" s="5">
        <v>0</v>
      </c>
      <c r="F2065" s="5">
        <v>0.1</v>
      </c>
      <c r="G2065" s="12">
        <f>(C2065*$U$4)/($U$5*$U$3)</f>
        <v>58.775510204081627</v>
      </c>
      <c r="H2065" s="11">
        <f>G2065*COS(RADIANS(D2065))</f>
        <v>56.772783259439109</v>
      </c>
      <c r="I2065" s="11">
        <f>G2065*SIN(RADIANS(D2065))</f>
        <v>15.212221426433871</v>
      </c>
      <c r="J2065" s="11">
        <v>0.16569999999999999</v>
      </c>
      <c r="K2065" s="12">
        <v>0</v>
      </c>
      <c r="L2065" s="12">
        <f>-(F2065*G2065*$U$3)/J2065</f>
        <v>-35.471038143682335</v>
      </c>
      <c r="M2065" s="11">
        <f>ABS(L2065/$U$6)</f>
        <v>0.10341410537516715</v>
      </c>
      <c r="N2065" s="12">
        <f>L2065*SIN(RADIANS(K2065))</f>
        <v>0</v>
      </c>
      <c r="O2065" s="12">
        <f>L2065*COS(RADIANS(K2065))</f>
        <v>-35.471038143682335</v>
      </c>
      <c r="P2065" s="5">
        <v>1.6660100503756776</v>
      </c>
      <c r="Q2065" s="5">
        <v>0.54423824718468794</v>
      </c>
      <c r="R2065" s="6">
        <f>P2065/Q2065</f>
        <v>3.0611778187105525</v>
      </c>
    </row>
    <row r="2066" spans="1:18" x14ac:dyDescent="0.35">
      <c r="A2066" s="9">
        <v>2132</v>
      </c>
      <c r="B2066" s="5">
        <v>0.1</v>
      </c>
      <c r="C2066" s="5">
        <v>4000000</v>
      </c>
      <c r="D2066" s="5">
        <v>30</v>
      </c>
      <c r="E2066" s="5">
        <v>0</v>
      </c>
      <c r="F2066" s="5">
        <v>0.1</v>
      </c>
      <c r="G2066" s="12">
        <f>(C2066*$U$4)/($U$5*$U$3)</f>
        <v>58.775510204081627</v>
      </c>
      <c r="H2066" s="11">
        <f>G2066*COS(RADIANS(D2066))</f>
        <v>50.901084957126187</v>
      </c>
      <c r="I2066" s="11">
        <f>G2066*SIN(RADIANS(D2066))</f>
        <v>29.38775510204081</v>
      </c>
      <c r="J2066" s="11">
        <v>0.16569999999999999</v>
      </c>
      <c r="K2066" s="12">
        <v>0</v>
      </c>
      <c r="L2066" s="12">
        <f>-(F2066*G2066*$U$3)/J2066</f>
        <v>-35.471038143682335</v>
      </c>
      <c r="M2066" s="11">
        <f>ABS(L2066/$U$6)</f>
        <v>0.10341410537516715</v>
      </c>
      <c r="N2066" s="12">
        <f>L2066*SIN(RADIANS(K2066))</f>
        <v>0</v>
      </c>
      <c r="O2066" s="12">
        <f>L2066*COS(RADIANS(K2066))</f>
        <v>-35.471038143682335</v>
      </c>
      <c r="P2066" s="5">
        <v>1.886979278060867</v>
      </c>
      <c r="Q2066" s="5">
        <v>1.0728120373263383</v>
      </c>
      <c r="R2066" s="6">
        <f>P2066/Q2066</f>
        <v>1.7589094943076848</v>
      </c>
    </row>
    <row r="2067" spans="1:18" x14ac:dyDescent="0.35">
      <c r="A2067" s="9">
        <v>2068</v>
      </c>
      <c r="B2067" s="5">
        <v>0.75</v>
      </c>
      <c r="C2067" s="5">
        <v>4000000</v>
      </c>
      <c r="D2067" s="5">
        <v>0</v>
      </c>
      <c r="E2067" s="5">
        <v>0.125</v>
      </c>
      <c r="F2067" s="5">
        <v>2.5000000000000001E-2</v>
      </c>
      <c r="G2067" s="12">
        <f>(C2067*$U$4)/($U$5*$U$3)</f>
        <v>58.775510204081627</v>
      </c>
      <c r="H2067" s="11">
        <f>G2067*COS(RADIANS(D2067))</f>
        <v>58.775510204081627</v>
      </c>
      <c r="I2067" s="11">
        <f>G2067*SIN(RADIANS(D2067))</f>
        <v>0</v>
      </c>
      <c r="J2067" s="12">
        <v>0.2802</v>
      </c>
      <c r="K2067" s="12">
        <v>19</v>
      </c>
      <c r="L2067" s="12">
        <f>-(F2067*G2067*$U$3)/J2067</f>
        <v>-5.2440676484726643</v>
      </c>
      <c r="M2067" s="11">
        <f>ABS(L2067/$U$6)</f>
        <v>1.5288826963477156E-2</v>
      </c>
      <c r="N2067" s="12">
        <f>L2067*SIN(RADIANS(K2067))</f>
        <v>-1.707301426161727</v>
      </c>
      <c r="O2067" s="12">
        <f>L2067*COS(RADIANS(K2067))</f>
        <v>-4.9583633733303323</v>
      </c>
      <c r="P2067" s="5">
        <v>4.0459862463624967</v>
      </c>
      <c r="Q2067" s="5">
        <v>0.23363926556205775</v>
      </c>
      <c r="R2067" s="6">
        <f>P2067/Q2067</f>
        <v>17.317235767837268</v>
      </c>
    </row>
    <row r="2068" spans="1:18" x14ac:dyDescent="0.35">
      <c r="A2068" s="9">
        <v>2069</v>
      </c>
      <c r="B2068" s="5">
        <v>0.25</v>
      </c>
      <c r="C2068" s="5">
        <v>6000000</v>
      </c>
      <c r="D2068" s="5">
        <v>5</v>
      </c>
      <c r="E2068" s="5">
        <v>0.125</v>
      </c>
      <c r="F2068" s="5">
        <v>1.4999999999999999E-2</v>
      </c>
      <c r="G2068" s="12">
        <f>(C2068*$U$4)/($U$5*$U$3)</f>
        <v>88.16326530612244</v>
      </c>
      <c r="H2068" s="11">
        <f>G2068*COS(RADIANS(D2068))</f>
        <v>87.827777464415107</v>
      </c>
      <c r="I2068" s="11">
        <f>G2068*SIN(RADIANS(D2068))</f>
        <v>7.6839348708139434</v>
      </c>
      <c r="J2068" s="11">
        <v>0.19020000000000001</v>
      </c>
      <c r="K2068" s="12">
        <v>46</v>
      </c>
      <c r="L2068" s="12">
        <f>-(F2068*G2068*$U$3)/J2068</f>
        <v>-6.9529389042683309</v>
      </c>
      <c r="M2068" s="11">
        <f>ABS(L2068/$U$6)</f>
        <v>2.0270958904572395E-2</v>
      </c>
      <c r="N2068" s="12">
        <f>L2068*SIN(RADIANS(K2068))</f>
        <v>-5.0015256831632202</v>
      </c>
      <c r="O2068" s="12">
        <f>L2068*COS(RADIANS(K2068))</f>
        <v>-4.8299172091400049</v>
      </c>
      <c r="P2068" s="5">
        <v>2.1072399031794262</v>
      </c>
      <c r="Q2068" s="5">
        <v>0.34636000568871539</v>
      </c>
      <c r="R2068" s="6">
        <f>P2068/Q2068</f>
        <v>6.083958507245403</v>
      </c>
    </row>
    <row r="2069" spans="1:18" x14ac:dyDescent="0.35">
      <c r="A2069" s="9">
        <v>2070</v>
      </c>
      <c r="B2069" s="5">
        <v>1</v>
      </c>
      <c r="C2069" s="5">
        <v>6000000</v>
      </c>
      <c r="D2069" s="5">
        <v>10</v>
      </c>
      <c r="E2069" s="5">
        <v>0.375</v>
      </c>
      <c r="F2069" s="5">
        <v>1.4999999999999999E-2</v>
      </c>
      <c r="G2069" s="12">
        <f>(C2069*$U$4)/($U$5*$U$3)</f>
        <v>88.16326530612244</v>
      </c>
      <c r="H2069" s="11">
        <f>G2069*COS(RADIANS(D2069))</f>
        <v>86.823867204341596</v>
      </c>
      <c r="I2069" s="11">
        <f>G2069*SIN(RADIANS(D2069))</f>
        <v>15.309390357574264</v>
      </c>
      <c r="J2069" s="12">
        <v>0.33379999999999999</v>
      </c>
      <c r="K2069" s="11">
        <v>49</v>
      </c>
      <c r="L2069" s="12">
        <f>-(F2069*G2069*$U$3)/J2069</f>
        <v>-3.9618004181900441</v>
      </c>
      <c r="M2069" s="11">
        <f>ABS(L2069/$U$6)</f>
        <v>1.1550438536997214E-2</v>
      </c>
      <c r="N2069" s="12">
        <f>L2069*SIN(RADIANS(K2069))</f>
        <v>-2.9900087305386109</v>
      </c>
      <c r="O2069" s="12">
        <f>L2069*COS(RADIANS(K2069))</f>
        <v>-2.5991749354119462</v>
      </c>
      <c r="P2069" s="5">
        <v>5.1609725398648418</v>
      </c>
      <c r="Q2069" s="5">
        <v>4.396979396460108E-2</v>
      </c>
      <c r="R2069" s="6">
        <f>P2069/Q2069</f>
        <v>117.37540876402115</v>
      </c>
    </row>
    <row r="2070" spans="1:18" x14ac:dyDescent="0.35">
      <c r="A2070" s="9">
        <v>616</v>
      </c>
      <c r="B2070" s="5">
        <v>0.1</v>
      </c>
      <c r="C2070" s="5">
        <v>4000000</v>
      </c>
      <c r="D2070" s="5">
        <v>0</v>
      </c>
      <c r="E2070" s="5">
        <v>0.125</v>
      </c>
      <c r="F2070" s="5">
        <v>0.1</v>
      </c>
      <c r="G2070" s="12">
        <f>(C2070*$U$4)/($U$5*$U$3)</f>
        <v>58.775510204081627</v>
      </c>
      <c r="H2070" s="11">
        <f>G2070*COS(RADIANS(D2070))</f>
        <v>58.775510204081627</v>
      </c>
      <c r="I2070" s="11">
        <f>G2070*SIN(RADIANS(D2070))</f>
        <v>0</v>
      </c>
      <c r="J2070" s="19">
        <v>0.1658</v>
      </c>
      <c r="K2070" s="12">
        <v>69</v>
      </c>
      <c r="L2070" s="12">
        <f>-(F2070*G2070*$U$3)/J2070</f>
        <v>-35.449644272666845</v>
      </c>
      <c r="M2070" s="11">
        <f>ABS(L2070/$U$6)</f>
        <v>0.10335173257337273</v>
      </c>
      <c r="N2070" s="12">
        <f>L2070*SIN(RADIANS(K2070))</f>
        <v>-33.095094019250396</v>
      </c>
      <c r="O2070" s="12">
        <f>L2070*COS(RADIANS(K2070))</f>
        <v>-12.704016330105919</v>
      </c>
      <c r="P2070" s="5">
        <v>1.3839327044902905</v>
      </c>
      <c r="Q2070" s="5">
        <v>0.22732880403382993</v>
      </c>
      <c r="R2070" s="6">
        <f>P2070/Q2070</f>
        <v>6.0878018092434099</v>
      </c>
    </row>
    <row r="2071" spans="1:18" x14ac:dyDescent="0.35">
      <c r="A2071" s="9">
        <v>2072</v>
      </c>
      <c r="B2071" s="5">
        <v>0.75</v>
      </c>
      <c r="C2071" s="5">
        <v>6000000</v>
      </c>
      <c r="D2071" s="5">
        <v>30</v>
      </c>
      <c r="E2071" s="5">
        <v>0.125</v>
      </c>
      <c r="F2071" s="5">
        <v>3.5000000000000003E-2</v>
      </c>
      <c r="G2071" s="12">
        <f>(C2071*$U$4)/($U$5*$U$3)</f>
        <v>88.16326530612244</v>
      </c>
      <c r="H2071" s="11">
        <f>G2071*COS(RADIANS(D2071))</f>
        <v>76.351627435689281</v>
      </c>
      <c r="I2071" s="11">
        <f>G2071*SIN(RADIANS(D2071))</f>
        <v>44.081632653061213</v>
      </c>
      <c r="J2071" s="12">
        <v>0.2802</v>
      </c>
      <c r="K2071" s="12">
        <v>19</v>
      </c>
      <c r="L2071" s="12">
        <f>-(F2071*G2071*$U$3)/J2071</f>
        <v>-11.012542061792598</v>
      </c>
      <c r="M2071" s="11">
        <f>ABS(L2071/$U$6)</f>
        <v>3.2106536623302033E-2</v>
      </c>
      <c r="N2071" s="12">
        <f>L2071*SIN(RADIANS(K2071))</f>
        <v>-3.5853329949396273</v>
      </c>
      <c r="O2071" s="12">
        <f>L2071*COS(RADIANS(K2071))</f>
        <v>-10.412563083993701</v>
      </c>
      <c r="P2071" s="5">
        <v>2.1251575686437949</v>
      </c>
      <c r="Q2071" s="5">
        <v>1.3151402038674507</v>
      </c>
      <c r="R2071" s="6">
        <f>P2071/Q2071</f>
        <v>1.6159171184899641</v>
      </c>
    </row>
    <row r="2072" spans="1:18" x14ac:dyDescent="0.35">
      <c r="A2072" s="9">
        <v>2073</v>
      </c>
      <c r="B2072" s="5">
        <v>0.5</v>
      </c>
      <c r="C2072" s="5">
        <v>2000000</v>
      </c>
      <c r="D2072" s="5">
        <v>20</v>
      </c>
      <c r="E2072" s="5">
        <v>0.375</v>
      </c>
      <c r="F2072" s="5">
        <v>0.05</v>
      </c>
      <c r="G2072" s="12">
        <f>(C2072*$U$4)/($U$5*$U$3)</f>
        <v>29.387755102040813</v>
      </c>
      <c r="H2072" s="11">
        <f>G2072*COS(RADIANS(D2072))</f>
        <v>27.615456610851183</v>
      </c>
      <c r="I2072" s="11">
        <f>G2072*SIN(RADIANS(D2072))</f>
        <v>10.051204212019652</v>
      </c>
      <c r="J2072" s="12">
        <v>0.24809999999999999</v>
      </c>
      <c r="K2072" s="12">
        <v>67</v>
      </c>
      <c r="L2072" s="12">
        <f>-(F2072*G2072*$U$3)/J2072</f>
        <v>-5.9225624953729978</v>
      </c>
      <c r="M2072" s="11">
        <f>ABS(L2072/$U$6)</f>
        <v>1.7266946050650139E-2</v>
      </c>
      <c r="N2072" s="12">
        <f>L2072*SIN(RADIANS(K2072))</f>
        <v>-5.451747521866241</v>
      </c>
      <c r="O2072" s="12">
        <f>L2072*COS(RADIANS(K2072))</f>
        <v>-2.3141295273653402</v>
      </c>
      <c r="P2072" s="5">
        <v>3.6906650284546747</v>
      </c>
      <c r="Q2072" s="5">
        <v>0.65434134597948856</v>
      </c>
      <c r="R2072" s="6">
        <f>P2072/Q2072</f>
        <v>5.6402748368744602</v>
      </c>
    </row>
    <row r="2073" spans="1:18" x14ac:dyDescent="0.35">
      <c r="A2073" s="9">
        <v>2074</v>
      </c>
      <c r="B2073" s="5">
        <v>0.5</v>
      </c>
      <c r="C2073" s="5">
        <v>2000000</v>
      </c>
      <c r="D2073" s="5">
        <v>10</v>
      </c>
      <c r="E2073" s="5">
        <v>0.375</v>
      </c>
      <c r="F2073" s="5">
        <v>7.4999999999999997E-2</v>
      </c>
      <c r="G2073" s="12">
        <f>(C2073*$U$4)/($U$5*$U$3)</f>
        <v>29.387755102040813</v>
      </c>
      <c r="H2073" s="11">
        <f>G2073*COS(RADIANS(D2073))</f>
        <v>28.941289068113864</v>
      </c>
      <c r="I2073" s="11">
        <f>G2073*SIN(RADIANS(D2073))</f>
        <v>5.1031301191914213</v>
      </c>
      <c r="J2073" s="12">
        <v>0.24809999999999999</v>
      </c>
      <c r="K2073" s="12">
        <v>67</v>
      </c>
      <c r="L2073" s="12">
        <f>-(F2073*G2073*$U$3)/J2073</f>
        <v>-8.8838437430594972</v>
      </c>
      <c r="M2073" s="11">
        <f>ABS(L2073/$U$6)</f>
        <v>2.590041907597521E-2</v>
      </c>
      <c r="N2073" s="12">
        <f>L2073*SIN(RADIANS(K2073))</f>
        <v>-8.1776212827993611</v>
      </c>
      <c r="O2073" s="12">
        <f>L2073*COS(RADIANS(K2073))</f>
        <v>-3.4711942910480107</v>
      </c>
      <c r="P2073" s="5">
        <v>3.9533690692233723</v>
      </c>
      <c r="Q2073" s="5">
        <v>0.11677071660561039</v>
      </c>
      <c r="R2073" s="6">
        <f>P2073/Q2073</f>
        <v>33.855826050770574</v>
      </c>
    </row>
    <row r="2074" spans="1:18" x14ac:dyDescent="0.35">
      <c r="A2074" s="9">
        <v>2075</v>
      </c>
      <c r="B2074" s="5">
        <v>0.25</v>
      </c>
      <c r="C2074" s="5">
        <v>2000000</v>
      </c>
      <c r="D2074" s="5">
        <v>0</v>
      </c>
      <c r="E2074" s="5">
        <v>0</v>
      </c>
      <c r="F2074" s="5">
        <v>0</v>
      </c>
      <c r="G2074" s="12">
        <f>(C2074*$U$4)/($U$5*$U$3)</f>
        <v>29.387755102040813</v>
      </c>
      <c r="H2074" s="11">
        <f>G2074*COS(RADIANS(D2074))</f>
        <v>29.387755102040813</v>
      </c>
      <c r="I2074" s="11">
        <f>G2074*SIN(RADIANS(D2074))</f>
        <v>0</v>
      </c>
      <c r="J2074" s="12">
        <v>0.18990000000000001</v>
      </c>
      <c r="K2074" s="12">
        <v>0</v>
      </c>
      <c r="L2074" s="12">
        <f>-(F2074*G2074*$U$3)/J2074</f>
        <v>0</v>
      </c>
      <c r="M2074" s="11">
        <f>ABS(L2074/$U$6)</f>
        <v>0</v>
      </c>
      <c r="N2074" s="12">
        <f>L2074*SIN(RADIANS(K2074))</f>
        <v>0</v>
      </c>
      <c r="O2074" s="12">
        <f>L2074*COS(RADIANS(K2074))</f>
        <v>0</v>
      </c>
      <c r="P2074" s="5">
        <v>2.2006676049163967</v>
      </c>
      <c r="Q2074" s="5">
        <v>0.25826945353316666</v>
      </c>
      <c r="R2074" s="6">
        <f>P2074/Q2074</f>
        <v>8.5208203092193777</v>
      </c>
    </row>
    <row r="2075" spans="1:18" x14ac:dyDescent="0.35">
      <c r="A2075" s="9">
        <v>2076</v>
      </c>
      <c r="B2075" s="5">
        <v>0.5</v>
      </c>
      <c r="C2075" s="5">
        <v>2000000</v>
      </c>
      <c r="D2075" s="5">
        <v>10</v>
      </c>
      <c r="E2075" s="5">
        <v>0</v>
      </c>
      <c r="F2075" s="5">
        <v>3.5000000000000003E-2</v>
      </c>
      <c r="G2075" s="12">
        <f>(C2075*$U$4)/($U$5*$U$3)</f>
        <v>29.387755102040813</v>
      </c>
      <c r="H2075" s="11">
        <f>G2075*COS(RADIANS(D2075))</f>
        <v>28.941289068113864</v>
      </c>
      <c r="I2075" s="11">
        <f>G2075*SIN(RADIANS(D2075))</f>
        <v>5.1031301191914213</v>
      </c>
      <c r="J2075" s="12">
        <v>0.23230000000000001</v>
      </c>
      <c r="K2075" s="12">
        <v>0</v>
      </c>
      <c r="L2075" s="12">
        <f>-(F2075*G2075*$U$3)/J2075</f>
        <v>-4.4277719697435574</v>
      </c>
      <c r="M2075" s="11">
        <f>ABS(L2075/$U$6)</f>
        <v>1.2908956180010372E-2</v>
      </c>
      <c r="N2075" s="12">
        <f>L2075*SIN(RADIANS(K2075))</f>
        <v>0</v>
      </c>
      <c r="O2075" s="12">
        <f>L2075*COS(RADIANS(K2075))</f>
        <v>-4.4277719697435574</v>
      </c>
      <c r="P2075" s="5">
        <v>3.373517490958347</v>
      </c>
      <c r="Q2075" s="5">
        <v>0.63389189800808887</v>
      </c>
      <c r="R2075" s="6">
        <f>P2075/Q2075</f>
        <v>5.3219129343017704</v>
      </c>
    </row>
    <row r="2076" spans="1:18" x14ac:dyDescent="0.35">
      <c r="A2076" s="9">
        <v>2077</v>
      </c>
      <c r="B2076" s="5">
        <v>0.25</v>
      </c>
      <c r="C2076" s="5">
        <v>4000000</v>
      </c>
      <c r="D2076" s="5">
        <v>10</v>
      </c>
      <c r="E2076" s="5">
        <v>0.375</v>
      </c>
      <c r="F2076" s="5">
        <v>1.4999999999999999E-2</v>
      </c>
      <c r="G2076" s="12">
        <f>(C2076*$U$4)/($U$5*$U$3)</f>
        <v>58.775510204081627</v>
      </c>
      <c r="H2076" s="11">
        <f>G2076*COS(RADIANS(D2076))</f>
        <v>57.882578136227728</v>
      </c>
      <c r="I2076" s="11">
        <f>G2076*SIN(RADIANS(D2076))</f>
        <v>10.206260238382843</v>
      </c>
      <c r="J2076" s="11">
        <v>0.1976</v>
      </c>
      <c r="K2076" s="12">
        <v>78</v>
      </c>
      <c r="L2076" s="12">
        <f>-(F2076*G2076*$U$3)/J2076</f>
        <v>-4.4617037098240102</v>
      </c>
      <c r="M2076" s="11">
        <f>ABS(L2076/$U$6)</f>
        <v>1.3007882535930059E-2</v>
      </c>
      <c r="N2076" s="12">
        <f>L2076*SIN(RADIANS(K2076))</f>
        <v>-4.3642047789494747</v>
      </c>
      <c r="O2076" s="12">
        <f>L2076*COS(RADIANS(K2076))</f>
        <v>-0.92764036223738</v>
      </c>
      <c r="P2076" s="5">
        <v>2.3167948271821599</v>
      </c>
      <c r="Q2076" s="5">
        <v>0.46470668460936404</v>
      </c>
      <c r="R2076" s="6">
        <f>P2076/Q2076</f>
        <v>4.9854992491224337</v>
      </c>
    </row>
    <row r="2077" spans="1:18" x14ac:dyDescent="0.35">
      <c r="A2077" s="9">
        <v>2078</v>
      </c>
      <c r="B2077" s="5">
        <v>1</v>
      </c>
      <c r="C2077" s="5">
        <v>2000000</v>
      </c>
      <c r="D2077" s="5">
        <v>10</v>
      </c>
      <c r="E2077" s="5">
        <v>0.375</v>
      </c>
      <c r="F2077" s="5">
        <v>0.05</v>
      </c>
      <c r="G2077" s="12">
        <f>(C2077*$U$4)/($U$5*$U$3)</f>
        <v>29.387755102040813</v>
      </c>
      <c r="H2077" s="11">
        <f>G2077*COS(RADIANS(D2077))</f>
        <v>28.941289068113864</v>
      </c>
      <c r="I2077" s="11">
        <f>G2077*SIN(RADIANS(D2077))</f>
        <v>5.1031301191914213</v>
      </c>
      <c r="J2077" s="12">
        <v>0.33379999999999999</v>
      </c>
      <c r="K2077" s="11">
        <v>49</v>
      </c>
      <c r="L2077" s="12">
        <f>-(F2077*G2077*$U$3)/J2077</f>
        <v>-4.4020004646556048</v>
      </c>
      <c r="M2077" s="11">
        <f>ABS(L2077/$U$6)</f>
        <v>1.283382059666357E-2</v>
      </c>
      <c r="N2077" s="12">
        <f>L2077*SIN(RADIANS(K2077))</f>
        <v>-3.3222319228206789</v>
      </c>
      <c r="O2077" s="12">
        <f>L2077*COS(RADIANS(K2077))</f>
        <v>-2.8879721504577178</v>
      </c>
      <c r="P2077" s="5">
        <v>5.1343317149298313</v>
      </c>
      <c r="Q2077" s="5">
        <v>6.718448695899272E-2</v>
      </c>
      <c r="R2077" s="6">
        <f>P2077/Q2077</f>
        <v>76.421387545366898</v>
      </c>
    </row>
    <row r="2078" spans="1:18" x14ac:dyDescent="0.35">
      <c r="A2078" s="9">
        <v>2079</v>
      </c>
      <c r="B2078" s="5">
        <v>1</v>
      </c>
      <c r="C2078" s="5">
        <v>4000000</v>
      </c>
      <c r="D2078" s="5">
        <v>5</v>
      </c>
      <c r="E2078" s="5">
        <v>0</v>
      </c>
      <c r="F2078" s="5">
        <v>7.4999999999999997E-2</v>
      </c>
      <c r="G2078" s="12">
        <f>(C2078*$U$4)/($U$5*$U$3)</f>
        <v>58.775510204081627</v>
      </c>
      <c r="H2078" s="11">
        <f>G2078*COS(RADIANS(D2078))</f>
        <v>58.551851642943404</v>
      </c>
      <c r="I2078" s="11">
        <f>G2078*SIN(RADIANS(D2078))</f>
        <v>5.1226232472092956</v>
      </c>
      <c r="J2078" s="11">
        <v>0.33379999999999999</v>
      </c>
      <c r="K2078" s="12">
        <v>0</v>
      </c>
      <c r="L2078" s="12">
        <f>-(F2078*G2078*$U$3)/J2078</f>
        <v>-13.206001393966813</v>
      </c>
      <c r="M2078" s="11">
        <f>ABS(L2078/$U$6)</f>
        <v>3.8501461789990712E-2</v>
      </c>
      <c r="N2078" s="12">
        <f>L2078*SIN(RADIANS(K2078))</f>
        <v>0</v>
      </c>
      <c r="O2078" s="12">
        <f>L2078*COS(RADIANS(K2078))</f>
        <v>-13.206001393966813</v>
      </c>
      <c r="P2078" s="5">
        <v>7.1917167361899788</v>
      </c>
      <c r="Q2078" s="5">
        <v>0.54640899153942846</v>
      </c>
      <c r="R2078" s="6">
        <f>P2078/Q2078</f>
        <v>13.161783293368499</v>
      </c>
    </row>
    <row r="2079" spans="1:18" x14ac:dyDescent="0.35">
      <c r="A2079" s="9">
        <v>777</v>
      </c>
      <c r="B2079" s="5">
        <v>0.1</v>
      </c>
      <c r="C2079" s="5">
        <v>4000000</v>
      </c>
      <c r="D2079" s="5">
        <v>5</v>
      </c>
      <c r="E2079" s="5">
        <v>0.125</v>
      </c>
      <c r="F2079" s="5">
        <v>0.1</v>
      </c>
      <c r="G2079" s="12">
        <f>(C2079*$U$4)/($U$5*$U$3)</f>
        <v>58.775510204081627</v>
      </c>
      <c r="H2079" s="11">
        <f>G2079*COS(RADIANS(D2079))</f>
        <v>58.551851642943404</v>
      </c>
      <c r="I2079" s="11">
        <f>G2079*SIN(RADIANS(D2079))</f>
        <v>5.1226232472092956</v>
      </c>
      <c r="J2079" s="12">
        <v>0.1658</v>
      </c>
      <c r="K2079" s="12">
        <v>69</v>
      </c>
      <c r="L2079" s="12">
        <f>-(F2079*G2079*$U$3)/J2079</f>
        <v>-35.449644272666845</v>
      </c>
      <c r="M2079" s="11">
        <f>ABS(L2079/$U$6)</f>
        <v>0.10335173257337273</v>
      </c>
      <c r="N2079" s="12">
        <f>L2079*SIN(RADIANS(K2079))</f>
        <v>-33.095094019250396</v>
      </c>
      <c r="O2079" s="12">
        <f>L2079*COS(RADIANS(K2079))</f>
        <v>-12.704016330105919</v>
      </c>
      <c r="P2079" s="5">
        <v>1.7523177526716898</v>
      </c>
      <c r="Q2079" s="5">
        <v>0.32988983809336375</v>
      </c>
      <c r="R2079" s="6">
        <f>P2079/Q2079</f>
        <v>5.3118270110998616</v>
      </c>
    </row>
    <row r="2080" spans="1:18" x14ac:dyDescent="0.35">
      <c r="A2080" s="9">
        <v>2081</v>
      </c>
      <c r="B2080" s="5">
        <v>0.1</v>
      </c>
      <c r="C2080" s="5">
        <v>4000000</v>
      </c>
      <c r="D2080" s="5">
        <v>0</v>
      </c>
      <c r="E2080" s="5">
        <v>0.125</v>
      </c>
      <c r="F2080" s="5">
        <v>3.5000000000000003E-2</v>
      </c>
      <c r="G2080" s="12">
        <f>(C2080*$U$4)/($U$5*$U$3)</f>
        <v>58.775510204081627</v>
      </c>
      <c r="H2080" s="11">
        <f>G2080*COS(RADIANS(D2080))</f>
        <v>58.775510204081627</v>
      </c>
      <c r="I2080" s="11">
        <f>G2080*SIN(RADIANS(D2080))</f>
        <v>0</v>
      </c>
      <c r="J2080" s="12">
        <v>0.1658</v>
      </c>
      <c r="K2080" s="12">
        <v>69</v>
      </c>
      <c r="L2080" s="12">
        <f>-(F2080*G2080*$U$3)/J2080</f>
        <v>-12.407375495433396</v>
      </c>
      <c r="M2080" s="11">
        <f>ABS(L2080/$U$6)</f>
        <v>3.6173106400680451E-2</v>
      </c>
      <c r="N2080" s="12">
        <f>L2080*SIN(RADIANS(K2080))</f>
        <v>-11.58328290673764</v>
      </c>
      <c r="O2080" s="12">
        <f>L2080*COS(RADIANS(K2080))</f>
        <v>-4.4464057155370718</v>
      </c>
      <c r="P2080" s="5">
        <v>1.2517428693641912</v>
      </c>
      <c r="Q2080" s="5">
        <v>0.23758771839049481</v>
      </c>
      <c r="R2080" s="6">
        <f>P2080/Q2080</f>
        <v>5.2685504025374312</v>
      </c>
    </row>
    <row r="2081" spans="1:18" x14ac:dyDescent="0.35">
      <c r="A2081" s="9">
        <v>2082</v>
      </c>
      <c r="B2081" s="5">
        <v>0.1</v>
      </c>
      <c r="C2081" s="5">
        <v>6000000</v>
      </c>
      <c r="D2081" s="5">
        <v>30</v>
      </c>
      <c r="E2081" s="5">
        <v>0.25</v>
      </c>
      <c r="F2081" s="5">
        <v>0.05</v>
      </c>
      <c r="G2081" s="12">
        <f>(C2081*$U$4)/($U$5*$U$3)</f>
        <v>88.16326530612244</v>
      </c>
      <c r="H2081" s="11">
        <f>G2081*COS(RADIANS(D2081))</f>
        <v>76.351627435689281</v>
      </c>
      <c r="I2081" s="11">
        <f>G2081*SIN(RADIANS(D2081))</f>
        <v>44.081632653061213</v>
      </c>
      <c r="J2081" s="11">
        <v>0.1661</v>
      </c>
      <c r="K2081" s="12">
        <v>80</v>
      </c>
      <c r="L2081" s="12">
        <f>-(F2081*G2081*$U$3)/J2081</f>
        <v>-26.539212915750284</v>
      </c>
      <c r="M2081" s="11">
        <f>ABS(L2081/$U$6)</f>
        <v>7.7373798588193252E-2</v>
      </c>
      <c r="N2081" s="12">
        <f>L2081*SIN(RADIANS(K2081))</f>
        <v>-26.136022638272607</v>
      </c>
      <c r="O2081" s="12">
        <f>L2081*COS(RADIANS(K2081))</f>
        <v>-4.6084859595346996</v>
      </c>
      <c r="P2081" s="5">
        <v>1.2682082494906193</v>
      </c>
      <c r="Q2081" s="5">
        <v>1.0019122461107377</v>
      </c>
      <c r="R2081" s="6">
        <f>P2081/Q2081</f>
        <v>1.2657877517852485</v>
      </c>
    </row>
    <row r="2082" spans="1:18" x14ac:dyDescent="0.35">
      <c r="A2082" s="9">
        <v>2083</v>
      </c>
      <c r="B2082" s="5">
        <v>1</v>
      </c>
      <c r="C2082" s="5">
        <v>2000000</v>
      </c>
      <c r="D2082" s="5">
        <v>10</v>
      </c>
      <c r="E2082" s="5">
        <v>0.375</v>
      </c>
      <c r="F2082" s="5">
        <v>3.5000000000000003E-2</v>
      </c>
      <c r="G2082" s="12">
        <f>(C2082*$U$4)/($U$5*$U$3)</f>
        <v>29.387755102040813</v>
      </c>
      <c r="H2082" s="11">
        <f>G2082*COS(RADIANS(D2082))</f>
        <v>28.941289068113864</v>
      </c>
      <c r="I2082" s="11">
        <f>G2082*SIN(RADIANS(D2082))</f>
        <v>5.1031301191914213</v>
      </c>
      <c r="J2082" s="12">
        <v>0.33379999999999999</v>
      </c>
      <c r="K2082" s="11">
        <v>49</v>
      </c>
      <c r="L2082" s="12">
        <f>-(F2082*G2082*$U$3)/J2082</f>
        <v>-3.0814003252589233</v>
      </c>
      <c r="M2082" s="11">
        <f>ABS(L2082/$U$6)</f>
        <v>8.983674417664499E-3</v>
      </c>
      <c r="N2082" s="12">
        <f>L2082*SIN(RADIANS(K2082))</f>
        <v>-2.325562345974475</v>
      </c>
      <c r="O2082" s="12">
        <f>L2082*COS(RADIANS(K2082))</f>
        <v>-2.0215805053204026</v>
      </c>
      <c r="P2082" s="5">
        <v>4.8182790041843608</v>
      </c>
      <c r="Q2082" s="5">
        <v>0.14734674794260424</v>
      </c>
      <c r="R2082" s="6">
        <f>P2082/Q2082</f>
        <v>32.700273819828162</v>
      </c>
    </row>
    <row r="2083" spans="1:18" x14ac:dyDescent="0.35">
      <c r="A2083" s="9">
        <v>798</v>
      </c>
      <c r="B2083" s="5">
        <v>0.1</v>
      </c>
      <c r="C2083" s="5">
        <v>4000000</v>
      </c>
      <c r="D2083" s="5">
        <v>15</v>
      </c>
      <c r="E2083" s="5">
        <v>0.125</v>
      </c>
      <c r="F2083" s="5">
        <v>0.1</v>
      </c>
      <c r="G2083" s="12">
        <f>(C2083*$U$4)/($U$5*$U$3)</f>
        <v>58.775510204081627</v>
      </c>
      <c r="H2083" s="11">
        <f>G2083*COS(RADIANS(D2083))</f>
        <v>56.772783259439109</v>
      </c>
      <c r="I2083" s="11">
        <f>G2083*SIN(RADIANS(D2083))</f>
        <v>15.212221426433871</v>
      </c>
      <c r="J2083" s="19">
        <v>0.1658</v>
      </c>
      <c r="K2083" s="12">
        <v>69</v>
      </c>
      <c r="L2083" s="12">
        <f>-(F2083*G2083*$U$3)/J2083</f>
        <v>-35.449644272666845</v>
      </c>
      <c r="M2083" s="11">
        <f>ABS(L2083/$U$6)</f>
        <v>0.10335173257337273</v>
      </c>
      <c r="N2083" s="12">
        <f>L2083*SIN(RADIANS(K2083))</f>
        <v>-33.095094019250396</v>
      </c>
      <c r="O2083" s="12">
        <f>L2083*COS(RADIANS(K2083))</f>
        <v>-12.704016330105919</v>
      </c>
      <c r="P2083" s="5">
        <v>1.7716929946803661</v>
      </c>
      <c r="Q2083" s="5">
        <v>0.61543334291144092</v>
      </c>
      <c r="R2083" s="6">
        <f>P2083/Q2083</f>
        <v>2.8787731686732929</v>
      </c>
    </row>
    <row r="2084" spans="1:18" x14ac:dyDescent="0.35">
      <c r="A2084" s="9">
        <v>2085</v>
      </c>
      <c r="B2084" s="5">
        <v>1</v>
      </c>
      <c r="C2084" s="5">
        <v>2000000</v>
      </c>
      <c r="D2084" s="5">
        <v>30</v>
      </c>
      <c r="E2084" s="5">
        <v>0</v>
      </c>
      <c r="F2084" s="5">
        <v>0</v>
      </c>
      <c r="G2084" s="12">
        <f>(C2084*$U$4)/($U$5*$U$3)</f>
        <v>29.387755102040813</v>
      </c>
      <c r="H2084" s="11">
        <f>G2084*COS(RADIANS(D2084))</f>
        <v>25.450542478563094</v>
      </c>
      <c r="I2084" s="11">
        <f>G2084*SIN(RADIANS(D2084))</f>
        <v>14.693877551020405</v>
      </c>
      <c r="J2084" s="11">
        <v>0.33379999999999999</v>
      </c>
      <c r="K2084" s="12">
        <v>0</v>
      </c>
      <c r="L2084" s="12">
        <f>-(F2084*G2084*$U$3)/J2084</f>
        <v>0</v>
      </c>
      <c r="M2084" s="11">
        <f>ABS(L2084/$U$6)</f>
        <v>0</v>
      </c>
      <c r="N2084" s="12">
        <f>L2084*SIN(RADIANS(K2084))</f>
        <v>0</v>
      </c>
      <c r="O2084" s="12">
        <f>L2084*COS(RADIANS(K2084))</f>
        <v>0</v>
      </c>
      <c r="P2084" s="5">
        <v>5.022781129907429</v>
      </c>
      <c r="Q2084" s="5">
        <v>2.9112400920730983</v>
      </c>
      <c r="R2084" s="6">
        <f>P2084/Q2084</f>
        <v>1.7253063887048556</v>
      </c>
    </row>
    <row r="2085" spans="1:18" x14ac:dyDescent="0.35">
      <c r="A2085" s="9">
        <v>2086</v>
      </c>
      <c r="B2085" s="5">
        <v>1</v>
      </c>
      <c r="C2085" s="5">
        <v>4000000</v>
      </c>
      <c r="D2085" s="5">
        <v>30</v>
      </c>
      <c r="E2085" s="5">
        <v>0.125</v>
      </c>
      <c r="F2085" s="5">
        <v>0.15</v>
      </c>
      <c r="G2085" s="12">
        <f>(C2085*$U$4)/($U$5*$U$3)</f>
        <v>58.775510204081627</v>
      </c>
      <c r="H2085" s="11">
        <f>G2085*COS(RADIANS(D2085))</f>
        <v>50.901084957126187</v>
      </c>
      <c r="I2085" s="11">
        <f>G2085*SIN(RADIANS(D2085))</f>
        <v>29.38775510204081</v>
      </c>
      <c r="J2085" s="11">
        <v>0.33379999999999999</v>
      </c>
      <c r="K2085" s="12">
        <v>14</v>
      </c>
      <c r="L2085" s="12">
        <f>-(F2085*G2085*$U$3)/J2085</f>
        <v>-26.412002787933627</v>
      </c>
      <c r="M2085" s="11">
        <f>ABS(L2085/$U$6)</f>
        <v>7.7002923579981425E-2</v>
      </c>
      <c r="N2085" s="12">
        <f>L2085*SIN(RADIANS(K2085))</f>
        <v>-6.3896417810406119</v>
      </c>
      <c r="O2085" s="12">
        <f>L2085*COS(RADIANS(K2085))</f>
        <v>-25.627453427521701</v>
      </c>
      <c r="P2085" s="5">
        <v>3.9923213595341935</v>
      </c>
      <c r="Q2085" s="5">
        <v>1.1563639832853967</v>
      </c>
      <c r="R2085" s="6">
        <f>P2085/Q2085</f>
        <v>3.4524781273379279</v>
      </c>
    </row>
    <row r="2086" spans="1:18" x14ac:dyDescent="0.35">
      <c r="A2086" s="9">
        <v>1108</v>
      </c>
      <c r="B2086" s="5">
        <v>0.1</v>
      </c>
      <c r="C2086" s="5">
        <v>4000000</v>
      </c>
      <c r="D2086" s="5">
        <v>20</v>
      </c>
      <c r="E2086" s="5">
        <v>0.125</v>
      </c>
      <c r="F2086" s="5">
        <v>0.1</v>
      </c>
      <c r="G2086" s="12">
        <f>(C2086*$U$4)/($U$5*$U$3)</f>
        <v>58.775510204081627</v>
      </c>
      <c r="H2086" s="11">
        <f>G2086*COS(RADIANS(D2086))</f>
        <v>55.230913221702366</v>
      </c>
      <c r="I2086" s="11">
        <f>G2086*SIN(RADIANS(D2086))</f>
        <v>20.102408424039304</v>
      </c>
      <c r="J2086" s="12">
        <v>0.1658</v>
      </c>
      <c r="K2086" s="19">
        <v>69</v>
      </c>
      <c r="L2086" s="12">
        <f>-(F2086*G2086*$U$3)/J2086</f>
        <v>-35.449644272666845</v>
      </c>
      <c r="M2086" s="11">
        <f>ABS(L2086/$U$6)</f>
        <v>0.10335173257337273</v>
      </c>
      <c r="N2086" s="12">
        <f>L2086*SIN(RADIANS(K2086))</f>
        <v>-33.095094019250396</v>
      </c>
      <c r="O2086" s="12">
        <f>L2086*COS(RADIANS(K2086))</f>
        <v>-12.704016330105919</v>
      </c>
      <c r="P2086" s="5">
        <v>1.8195401046477842</v>
      </c>
      <c r="Q2086" s="5">
        <v>0.774317440821648</v>
      </c>
      <c r="R2086" s="6">
        <f>P2086/Q2086</f>
        <v>2.3498632585584329</v>
      </c>
    </row>
    <row r="2087" spans="1:18" x14ac:dyDescent="0.35">
      <c r="A2087" s="9">
        <v>2088</v>
      </c>
      <c r="B2087" s="5">
        <v>0.75</v>
      </c>
      <c r="C2087" s="5">
        <v>4000000</v>
      </c>
      <c r="D2087" s="5">
        <v>5</v>
      </c>
      <c r="E2087" s="5">
        <v>0.25</v>
      </c>
      <c r="F2087" s="5">
        <v>2.5000000000000001E-2</v>
      </c>
      <c r="G2087" s="12">
        <f>(C2087*$U$4)/($U$5*$U$3)</f>
        <v>58.775510204081627</v>
      </c>
      <c r="H2087" s="11">
        <f>G2087*COS(RADIANS(D2087))</f>
        <v>58.551851642943404</v>
      </c>
      <c r="I2087" s="11">
        <f>G2087*SIN(RADIANS(D2087))</f>
        <v>5.1226232472092956</v>
      </c>
      <c r="J2087" s="12">
        <v>0.28370000000000001</v>
      </c>
      <c r="K2087" s="11">
        <v>38</v>
      </c>
      <c r="L2087" s="12">
        <f>-(F2087*G2087*$U$3)/J2087</f>
        <v>-5.179371713436872</v>
      </c>
      <c r="M2087" s="11">
        <f>ABS(L2087/$U$6)</f>
        <v>1.5100209077075429E-2</v>
      </c>
      <c r="N2087" s="12">
        <f>L2087*SIN(RADIANS(K2087))</f>
        <v>-3.1887396303545272</v>
      </c>
      <c r="O2087" s="12">
        <f>L2087*COS(RADIANS(K2087))</f>
        <v>-4.0814006071147277</v>
      </c>
      <c r="P2087" s="5">
        <v>4.3552535277088706</v>
      </c>
      <c r="Q2087" s="5">
        <v>4.5854114087141823E-2</v>
      </c>
      <c r="R2087" s="6">
        <f>P2087/Q2087</f>
        <v>94.98064927025051</v>
      </c>
    </row>
    <row r="2088" spans="1:18" x14ac:dyDescent="0.35">
      <c r="A2088" s="9">
        <v>2089</v>
      </c>
      <c r="B2088" s="5">
        <v>0.75</v>
      </c>
      <c r="C2088" s="5">
        <v>2000000</v>
      </c>
      <c r="D2088" s="5">
        <v>10</v>
      </c>
      <c r="E2088" s="5">
        <v>0.125</v>
      </c>
      <c r="F2088" s="5">
        <v>0.1</v>
      </c>
      <c r="G2088" s="12">
        <f>(C2088*$U$4)/($U$5*$U$3)</f>
        <v>29.387755102040813</v>
      </c>
      <c r="H2088" s="11">
        <f>G2088*COS(RADIANS(D2088))</f>
        <v>28.941289068113864</v>
      </c>
      <c r="I2088" s="11">
        <f>G2088*SIN(RADIANS(D2088))</f>
        <v>5.1031301191914213</v>
      </c>
      <c r="J2088" s="12">
        <v>0.2802</v>
      </c>
      <c r="K2088" s="12">
        <v>19</v>
      </c>
      <c r="L2088" s="12">
        <f>-(F2088*G2088*$U$3)/J2088</f>
        <v>-10.488135296945329</v>
      </c>
      <c r="M2088" s="11">
        <f>ABS(L2088/$U$6)</f>
        <v>3.0577653926954312E-2</v>
      </c>
      <c r="N2088" s="12">
        <f>L2088*SIN(RADIANS(K2088))</f>
        <v>-3.414602852323454</v>
      </c>
      <c r="O2088" s="12">
        <f>L2088*COS(RADIANS(K2088))</f>
        <v>-9.9167267466606646</v>
      </c>
      <c r="P2088" s="5">
        <v>3.6326817624180472</v>
      </c>
      <c r="Q2088" s="5">
        <v>0.55849177291234764</v>
      </c>
      <c r="R2088" s="6">
        <f>P2088/Q2088</f>
        <v>6.5044499106492255</v>
      </c>
    </row>
    <row r="2089" spans="1:18" x14ac:dyDescent="0.35">
      <c r="A2089" s="9">
        <v>49</v>
      </c>
      <c r="B2089" s="5">
        <v>0.1</v>
      </c>
      <c r="C2089" s="5">
        <v>4000000</v>
      </c>
      <c r="D2089" s="5">
        <v>30</v>
      </c>
      <c r="E2089" s="5">
        <v>0.25</v>
      </c>
      <c r="F2089" s="5">
        <v>0.1</v>
      </c>
      <c r="G2089" s="12">
        <f>(C2089*$U$4)/($U$5*$U$3)</f>
        <v>58.775510204081627</v>
      </c>
      <c r="H2089" s="11">
        <f>G2089*COS(RADIANS(D2089))</f>
        <v>50.901084957126187</v>
      </c>
      <c r="I2089" s="11">
        <f>G2089*SIN(RADIANS(D2089))</f>
        <v>29.38775510204081</v>
      </c>
      <c r="J2089" s="20">
        <v>0.1661</v>
      </c>
      <c r="K2089" s="19">
        <v>80</v>
      </c>
      <c r="L2089" s="12">
        <f>-(F2089*G2089*$U$3)/J2089</f>
        <v>-35.385617221000381</v>
      </c>
      <c r="M2089" s="11">
        <f>ABS(L2089/$U$6)</f>
        <v>0.10316506478425767</v>
      </c>
      <c r="N2089" s="12">
        <f>L2089*SIN(RADIANS(K2089))</f>
        <v>-34.848030184363481</v>
      </c>
      <c r="O2089" s="12">
        <f>L2089*COS(RADIANS(K2089))</f>
        <v>-6.1446479460462662</v>
      </c>
      <c r="P2089" s="5">
        <v>1.4458177567558579</v>
      </c>
      <c r="Q2089" s="5">
        <v>1.069690664273595</v>
      </c>
      <c r="R2089" s="6">
        <f>P2089/Q2089</f>
        <v>1.3516223007683095</v>
      </c>
    </row>
    <row r="2090" spans="1:18" x14ac:dyDescent="0.35">
      <c r="A2090" s="9">
        <v>2091</v>
      </c>
      <c r="B2090" s="5">
        <v>0.25</v>
      </c>
      <c r="C2090" s="5">
        <v>2000000</v>
      </c>
      <c r="D2090" s="5">
        <v>15</v>
      </c>
      <c r="E2090" s="5">
        <v>0.375</v>
      </c>
      <c r="F2090" s="5">
        <v>0</v>
      </c>
      <c r="G2090" s="12">
        <f>(C2090*$U$4)/($U$5*$U$3)</f>
        <v>29.387755102040813</v>
      </c>
      <c r="H2090" s="11">
        <f>G2090*COS(RADIANS(D2090))</f>
        <v>28.386391629719554</v>
      </c>
      <c r="I2090" s="11">
        <f>G2090*SIN(RADIANS(D2090))</f>
        <v>7.6061107132169354</v>
      </c>
      <c r="J2090" s="11">
        <v>0.1976</v>
      </c>
      <c r="K2090" s="12">
        <v>78</v>
      </c>
      <c r="L2090" s="12">
        <f>-(F2090*G2090*$U$3)/J2090</f>
        <v>0</v>
      </c>
      <c r="M2090" s="11">
        <f>ABS(L2090/$U$6)</f>
        <v>0</v>
      </c>
      <c r="N2090" s="12">
        <f>L2090*SIN(RADIANS(K2090))</f>
        <v>0</v>
      </c>
      <c r="O2090" s="12">
        <f>L2090*COS(RADIANS(K2090))</f>
        <v>0</v>
      </c>
      <c r="P2090" s="5">
        <v>2.8055537772553318</v>
      </c>
      <c r="Q2090" s="5">
        <v>0.83660296658554523</v>
      </c>
      <c r="R2090" s="6">
        <f>P2090/Q2090</f>
        <v>3.3535068477054644</v>
      </c>
    </row>
    <row r="2091" spans="1:18" x14ac:dyDescent="0.35">
      <c r="A2091" s="9">
        <v>2092</v>
      </c>
      <c r="B2091" s="5">
        <v>0.5</v>
      </c>
      <c r="C2091" s="5">
        <v>2000000</v>
      </c>
      <c r="D2091" s="5">
        <v>20</v>
      </c>
      <c r="E2091" s="5">
        <v>0</v>
      </c>
      <c r="F2091" s="5">
        <v>0.15</v>
      </c>
      <c r="G2091" s="12">
        <f>(C2091*$U$4)/($U$5*$U$3)</f>
        <v>29.387755102040813</v>
      </c>
      <c r="H2091" s="11">
        <f>G2091*COS(RADIANS(D2091))</f>
        <v>27.615456610851183</v>
      </c>
      <c r="I2091" s="11">
        <f>G2091*SIN(RADIANS(D2091))</f>
        <v>10.051204212019652</v>
      </c>
      <c r="J2091" s="12">
        <v>0.23230000000000001</v>
      </c>
      <c r="K2091" s="12">
        <v>0</v>
      </c>
      <c r="L2091" s="12">
        <f>-(F2091*G2091*$U$3)/J2091</f>
        <v>-18.976165584615249</v>
      </c>
      <c r="M2091" s="11">
        <f>ABS(L2091/$U$6)</f>
        <v>5.532409791433017E-2</v>
      </c>
      <c r="N2091" s="12">
        <f>L2091*SIN(RADIANS(K2091))</f>
        <v>0</v>
      </c>
      <c r="O2091" s="12">
        <f>L2091*COS(RADIANS(K2091))</f>
        <v>-18.976165584615249</v>
      </c>
      <c r="P2091" s="5">
        <v>4.6779372125077341</v>
      </c>
      <c r="Q2091" s="5">
        <v>0.89331495740967215</v>
      </c>
      <c r="R2091" s="6">
        <f>P2091/Q2091</f>
        <v>5.2366045969634909</v>
      </c>
    </row>
    <row r="2092" spans="1:18" x14ac:dyDescent="0.35">
      <c r="A2092" s="9">
        <v>2093</v>
      </c>
      <c r="B2092" s="5">
        <v>0.1</v>
      </c>
      <c r="C2092" s="5">
        <v>4000000</v>
      </c>
      <c r="D2092" s="5">
        <v>15</v>
      </c>
      <c r="E2092" s="5">
        <v>0.375</v>
      </c>
      <c r="F2092" s="5">
        <v>1.4999999999999999E-2</v>
      </c>
      <c r="G2092" s="12">
        <f>(C2092*$U$4)/($U$5*$U$3)</f>
        <v>58.775510204081627</v>
      </c>
      <c r="H2092" s="11">
        <f>G2092*COS(RADIANS(D2092))</f>
        <v>56.772783259439109</v>
      </c>
      <c r="I2092" s="11">
        <f>G2092*SIN(RADIANS(D2092))</f>
        <v>15.212221426433871</v>
      </c>
      <c r="J2092" s="12">
        <v>0.16789999999999999</v>
      </c>
      <c r="K2092" s="11">
        <v>85</v>
      </c>
      <c r="L2092" s="12">
        <f>-(F2092*G2092*$U$3)/J2092</f>
        <v>-5.2509389699894244</v>
      </c>
      <c r="M2092" s="11">
        <f>ABS(L2092/$U$6)</f>
        <v>1.5308859970814648E-2</v>
      </c>
      <c r="N2092" s="12">
        <f>L2092*SIN(RADIANS(K2092))</f>
        <v>-5.2309575619067958</v>
      </c>
      <c r="O2092" s="12">
        <f>L2092*COS(RADIANS(K2092))</f>
        <v>-0.45764948605205125</v>
      </c>
      <c r="P2092" s="5">
        <v>1.738218663849268</v>
      </c>
      <c r="Q2092" s="5">
        <v>0.6761756322618091</v>
      </c>
      <c r="R2092" s="6">
        <f>P2092/Q2092</f>
        <v>2.5706614981597644</v>
      </c>
    </row>
    <row r="2093" spans="1:18" x14ac:dyDescent="0.35">
      <c r="A2093" s="9">
        <v>2094</v>
      </c>
      <c r="B2093" s="5">
        <v>0.25</v>
      </c>
      <c r="C2093" s="5">
        <v>4000000</v>
      </c>
      <c r="D2093" s="5">
        <v>30</v>
      </c>
      <c r="E2093" s="5">
        <v>0.25</v>
      </c>
      <c r="F2093" s="5">
        <v>1.4999999999999999E-2</v>
      </c>
      <c r="G2093" s="12">
        <f>(C2093*$U$4)/($U$5*$U$3)</f>
        <v>58.775510204081627</v>
      </c>
      <c r="H2093" s="11">
        <f>G2093*COS(RADIANS(D2093))</f>
        <v>50.901084957126187</v>
      </c>
      <c r="I2093" s="11">
        <f>G2093*SIN(RADIANS(D2093))</f>
        <v>29.38775510204081</v>
      </c>
      <c r="J2093" s="12">
        <v>0.1913</v>
      </c>
      <c r="K2093" s="11">
        <v>67</v>
      </c>
      <c r="L2093" s="12">
        <f>-(F2093*G2093*$U$3)/J2093</f>
        <v>-4.6086390646169599</v>
      </c>
      <c r="M2093" s="11">
        <f>ABS(L2093/$U$6)</f>
        <v>1.3436265494510087E-2</v>
      </c>
      <c r="N2093" s="12">
        <f>L2093*SIN(RADIANS(K2093))</f>
        <v>-4.2422746267904268</v>
      </c>
      <c r="O2093" s="12">
        <f>L2093*COS(RADIANS(K2093))</f>
        <v>-1.8007387425175356</v>
      </c>
      <c r="P2093" s="5">
        <v>2.2296954944708602</v>
      </c>
      <c r="Q2093" s="5">
        <v>0.93527901273801017</v>
      </c>
      <c r="R2093" s="6">
        <f>P2093/Q2093</f>
        <v>2.3839896588115157</v>
      </c>
    </row>
    <row r="2094" spans="1:18" x14ac:dyDescent="0.35">
      <c r="A2094" s="9">
        <v>2095</v>
      </c>
      <c r="B2094" s="5">
        <v>1</v>
      </c>
      <c r="C2094" s="5">
        <v>2000000</v>
      </c>
      <c r="D2094" s="5">
        <v>0</v>
      </c>
      <c r="E2094" s="5">
        <v>0.125</v>
      </c>
      <c r="F2094" s="5">
        <v>3.5000000000000003E-2</v>
      </c>
      <c r="G2094" s="12">
        <f>(C2094*$U$4)/($U$5*$U$3)</f>
        <v>29.387755102040813</v>
      </c>
      <c r="H2094" s="11">
        <f>G2094*COS(RADIANS(D2094))</f>
        <v>29.387755102040813</v>
      </c>
      <c r="I2094" s="11">
        <f>G2094*SIN(RADIANS(D2094))</f>
        <v>0</v>
      </c>
      <c r="J2094" s="11">
        <v>0.33379999999999999</v>
      </c>
      <c r="K2094" s="12">
        <v>14</v>
      </c>
      <c r="L2094" s="12">
        <f>-(F2094*G2094*$U$3)/J2094</f>
        <v>-3.0814003252589233</v>
      </c>
      <c r="M2094" s="11">
        <f>ABS(L2094/$U$6)</f>
        <v>8.983674417664499E-3</v>
      </c>
      <c r="N2094" s="12">
        <f>L2094*SIN(RADIANS(K2094))</f>
        <v>-0.74545820778807137</v>
      </c>
      <c r="O2094" s="12">
        <f>L2094*COS(RADIANS(K2094))</f>
        <v>-2.9898695665441988</v>
      </c>
      <c r="P2094" s="5">
        <v>4.4369385826846965</v>
      </c>
      <c r="Q2094" s="5">
        <v>0.11200147019767245</v>
      </c>
      <c r="R2094" s="6">
        <f>P2094/Q2094</f>
        <v>39.615003042852045</v>
      </c>
    </row>
    <row r="2095" spans="1:18" x14ac:dyDescent="0.35">
      <c r="A2095" s="9">
        <v>2096</v>
      </c>
      <c r="B2095" s="5">
        <v>1</v>
      </c>
      <c r="C2095" s="5">
        <v>6000000</v>
      </c>
      <c r="D2095" s="5">
        <v>15</v>
      </c>
      <c r="E2095" s="5">
        <v>0.125</v>
      </c>
      <c r="F2095" s="5">
        <v>0.05</v>
      </c>
      <c r="G2095" s="12">
        <f>(C2095*$U$4)/($U$5*$U$3)</f>
        <v>88.16326530612244</v>
      </c>
      <c r="H2095" s="11">
        <f>G2095*COS(RADIANS(D2095))</f>
        <v>85.159174889158663</v>
      </c>
      <c r="I2095" s="11">
        <f>G2095*SIN(RADIANS(D2095))</f>
        <v>22.818332139650806</v>
      </c>
      <c r="J2095" s="11">
        <v>0.33379999999999999</v>
      </c>
      <c r="K2095" s="12">
        <v>14</v>
      </c>
      <c r="L2095" s="12">
        <f>-(F2095*G2095*$U$3)/J2095</f>
        <v>-13.206001393966813</v>
      </c>
      <c r="M2095" s="11">
        <f>ABS(L2095/$U$6)</f>
        <v>3.8501461789990712E-2</v>
      </c>
      <c r="N2095" s="12">
        <f>L2095*SIN(RADIANS(K2095))</f>
        <v>-3.1948208905203059</v>
      </c>
      <c r="O2095" s="12">
        <f>L2095*COS(RADIANS(K2095))</f>
        <v>-12.81372671376085</v>
      </c>
      <c r="P2095" s="5">
        <v>5.0917796576162644</v>
      </c>
      <c r="Q2095" s="5">
        <v>0.34574606922068485</v>
      </c>
      <c r="R2095" s="6">
        <f>P2095/Q2095</f>
        <v>14.72693433389767</v>
      </c>
    </row>
    <row r="2096" spans="1:18" x14ac:dyDescent="0.35">
      <c r="A2096" s="9">
        <v>2097</v>
      </c>
      <c r="B2096" s="5">
        <v>0.25</v>
      </c>
      <c r="C2096" s="5">
        <v>2000000</v>
      </c>
      <c r="D2096" s="5">
        <v>0</v>
      </c>
      <c r="E2096" s="5">
        <v>0.25</v>
      </c>
      <c r="F2096" s="5">
        <v>1.4999999999999999E-2</v>
      </c>
      <c r="G2096" s="12">
        <f>(C2096*$U$4)/($U$5*$U$3)</f>
        <v>29.387755102040813</v>
      </c>
      <c r="H2096" s="11">
        <f>G2096*COS(RADIANS(D2096))</f>
        <v>29.387755102040813</v>
      </c>
      <c r="I2096" s="11">
        <f>G2096*SIN(RADIANS(D2096))</f>
        <v>0</v>
      </c>
      <c r="J2096" s="12">
        <v>0.1913</v>
      </c>
      <c r="K2096" s="11">
        <v>67</v>
      </c>
      <c r="L2096" s="12">
        <f>-(F2096*G2096*$U$3)/J2096</f>
        <v>-2.30431953230848</v>
      </c>
      <c r="M2096" s="11">
        <f>ABS(L2096/$U$6)</f>
        <v>6.7181327472550434E-3</v>
      </c>
      <c r="N2096" s="12">
        <f>L2096*SIN(RADIANS(K2096))</f>
        <v>-2.1211373133952134</v>
      </c>
      <c r="O2096" s="12">
        <f>L2096*COS(RADIANS(K2096))</f>
        <v>-0.90036937125876781</v>
      </c>
      <c r="P2096" s="5">
        <v>2.0171093787894194</v>
      </c>
      <c r="Q2096" s="5">
        <v>0.15636262513715279</v>
      </c>
      <c r="R2096" s="6">
        <f>P2096/Q2096</f>
        <v>12.900201547653225</v>
      </c>
    </row>
    <row r="2097" spans="1:18" x14ac:dyDescent="0.35">
      <c r="A2097" s="9">
        <v>2098</v>
      </c>
      <c r="B2097" s="5">
        <v>0.5</v>
      </c>
      <c r="C2097" s="5">
        <v>2000000</v>
      </c>
      <c r="D2097" s="5">
        <v>20</v>
      </c>
      <c r="E2097" s="5">
        <v>0</v>
      </c>
      <c r="F2097" s="5">
        <v>0.1</v>
      </c>
      <c r="G2097" s="12">
        <f>(C2097*$U$4)/($U$5*$U$3)</f>
        <v>29.387755102040813</v>
      </c>
      <c r="H2097" s="11">
        <f>G2097*COS(RADIANS(D2097))</f>
        <v>27.615456610851183</v>
      </c>
      <c r="I2097" s="11">
        <f>G2097*SIN(RADIANS(D2097))</f>
        <v>10.051204212019652</v>
      </c>
      <c r="J2097" s="12">
        <v>0.23230000000000001</v>
      </c>
      <c r="K2097" s="12">
        <v>0</v>
      </c>
      <c r="L2097" s="12">
        <f>-(F2097*G2097*$U$3)/J2097</f>
        <v>-12.650777056410165</v>
      </c>
      <c r="M2097" s="11">
        <f>ABS(L2097/$U$6)</f>
        <v>3.6882731942886778E-2</v>
      </c>
      <c r="N2097" s="12">
        <f>L2097*SIN(RADIANS(K2097))</f>
        <v>0</v>
      </c>
      <c r="O2097" s="12">
        <f>L2097*COS(RADIANS(K2097))</f>
        <v>-12.650777056410165</v>
      </c>
      <c r="P2097" s="5">
        <v>4.4490550371190061</v>
      </c>
      <c r="Q2097" s="5">
        <v>1.0091936704764</v>
      </c>
      <c r="R2097" s="6">
        <f>P2097/Q2097</f>
        <v>4.4085245154369481</v>
      </c>
    </row>
    <row r="2098" spans="1:18" x14ac:dyDescent="0.35">
      <c r="A2098" s="9">
        <v>2099</v>
      </c>
      <c r="B2098" s="5">
        <v>0.25</v>
      </c>
      <c r="C2098" s="5">
        <v>2000000</v>
      </c>
      <c r="D2098" s="5">
        <v>0</v>
      </c>
      <c r="E2098" s="5">
        <v>0.375</v>
      </c>
      <c r="F2098" s="5">
        <v>1.4999999999999999E-2</v>
      </c>
      <c r="G2098" s="12">
        <f>(C2098*$U$4)/($U$5*$U$3)</f>
        <v>29.387755102040813</v>
      </c>
      <c r="H2098" s="11">
        <f>G2098*COS(RADIANS(D2098))</f>
        <v>29.387755102040813</v>
      </c>
      <c r="I2098" s="11">
        <f>G2098*SIN(RADIANS(D2098))</f>
        <v>0</v>
      </c>
      <c r="J2098" s="11">
        <v>0.1976</v>
      </c>
      <c r="K2098" s="12">
        <v>78</v>
      </c>
      <c r="L2098" s="12">
        <f>-(F2098*G2098*$U$3)/J2098</f>
        <v>-2.2308518549120051</v>
      </c>
      <c r="M2098" s="11">
        <f>ABS(L2098/$U$6)</f>
        <v>6.5039412679650296E-3</v>
      </c>
      <c r="N2098" s="12">
        <f>L2098*SIN(RADIANS(K2098))</f>
        <v>-2.1821023894747373</v>
      </c>
      <c r="O2098" s="12">
        <f>L2098*COS(RADIANS(K2098))</f>
        <v>-0.46382018111869</v>
      </c>
      <c r="P2098" s="5">
        <v>2.1421763345945184</v>
      </c>
      <c r="Q2098" s="5">
        <v>0.18889379441851853</v>
      </c>
      <c r="R2098" s="6">
        <f>P2098/Q2098</f>
        <v>11.340639014579011</v>
      </c>
    </row>
    <row r="2099" spans="1:18" x14ac:dyDescent="0.35">
      <c r="A2099" s="9">
        <v>2100</v>
      </c>
      <c r="B2099" s="5">
        <v>0.25</v>
      </c>
      <c r="C2099" s="5">
        <v>4000000</v>
      </c>
      <c r="D2099" s="5">
        <v>30</v>
      </c>
      <c r="E2099" s="5">
        <v>0.375</v>
      </c>
      <c r="F2099" s="5">
        <v>0</v>
      </c>
      <c r="G2099" s="12">
        <f>(C2099*$U$4)/($U$5*$U$3)</f>
        <v>58.775510204081627</v>
      </c>
      <c r="H2099" s="11">
        <f>G2099*COS(RADIANS(D2099))</f>
        <v>50.901084957126187</v>
      </c>
      <c r="I2099" s="11">
        <f>G2099*SIN(RADIANS(D2099))</f>
        <v>29.38775510204081</v>
      </c>
      <c r="J2099" s="11">
        <v>0.1976</v>
      </c>
      <c r="K2099" s="12">
        <v>78</v>
      </c>
      <c r="L2099" s="12">
        <f>-(F2099*G2099*$U$3)/J2099</f>
        <v>0</v>
      </c>
      <c r="M2099" s="11">
        <f>ABS(L2099/$U$6)</f>
        <v>0</v>
      </c>
      <c r="N2099" s="12">
        <f>L2099*SIN(RADIANS(K2099))</f>
        <v>0</v>
      </c>
      <c r="O2099" s="12">
        <f>L2099*COS(RADIANS(K2099))</f>
        <v>0</v>
      </c>
      <c r="P2099" s="5">
        <v>2.7962238982853411</v>
      </c>
      <c r="Q2099" s="5">
        <v>1.3561303585204456</v>
      </c>
      <c r="R2099" s="6">
        <f>P2099/Q2099</f>
        <v>2.061913798121926</v>
      </c>
    </row>
    <row r="2100" spans="1:18" x14ac:dyDescent="0.35">
      <c r="A2100" s="9">
        <v>2101</v>
      </c>
      <c r="B2100" s="5">
        <v>0.1</v>
      </c>
      <c r="C2100" s="5">
        <v>4000000</v>
      </c>
      <c r="D2100" s="5">
        <v>0</v>
      </c>
      <c r="E2100" s="5">
        <v>0.125</v>
      </c>
      <c r="F2100" s="5">
        <v>1.4999999999999999E-2</v>
      </c>
      <c r="G2100" s="12">
        <f>(C2100*$U$4)/($U$5*$U$3)</f>
        <v>58.775510204081627</v>
      </c>
      <c r="H2100" s="11">
        <f>G2100*COS(RADIANS(D2100))</f>
        <v>58.775510204081627</v>
      </c>
      <c r="I2100" s="11">
        <f>G2100*SIN(RADIANS(D2100))</f>
        <v>0</v>
      </c>
      <c r="J2100" s="12">
        <v>0.1658</v>
      </c>
      <c r="K2100" s="12">
        <v>69</v>
      </c>
      <c r="L2100" s="12">
        <f>-(F2100*G2100*$U$3)/J2100</f>
        <v>-5.3174466409000267</v>
      </c>
      <c r="M2100" s="11">
        <f>ABS(L2100/$U$6)</f>
        <v>1.5502759886005909E-2</v>
      </c>
      <c r="N2100" s="12">
        <f>L2100*SIN(RADIANS(K2100))</f>
        <v>-4.9642641028875598</v>
      </c>
      <c r="O2100" s="12">
        <f>L2100*COS(RADIANS(K2100))</f>
        <v>-1.9056024495158879</v>
      </c>
      <c r="P2100" s="5">
        <v>1.1136850371859295</v>
      </c>
      <c r="Q2100" s="5">
        <v>0.23360923573882791</v>
      </c>
      <c r="R2100" s="6">
        <f>P2100/Q2100</f>
        <v>4.7672988341566036</v>
      </c>
    </row>
    <row r="2101" spans="1:18" x14ac:dyDescent="0.35">
      <c r="A2101" s="9">
        <v>2102</v>
      </c>
      <c r="B2101" s="5">
        <v>0.5</v>
      </c>
      <c r="C2101" s="5">
        <v>2000000</v>
      </c>
      <c r="D2101" s="5">
        <v>0</v>
      </c>
      <c r="E2101" s="5">
        <v>0.125</v>
      </c>
      <c r="F2101" s="5">
        <v>0.15</v>
      </c>
      <c r="G2101" s="12">
        <f>(C2101*$U$4)/($U$5*$U$3)</f>
        <v>29.387755102040813</v>
      </c>
      <c r="H2101" s="11">
        <f>G2101*COS(RADIANS(D2101))</f>
        <v>29.387755102040813</v>
      </c>
      <c r="I2101" s="11">
        <f>G2101*SIN(RADIANS(D2101))</f>
        <v>0</v>
      </c>
      <c r="J2101" s="12">
        <v>0.23300000000000001</v>
      </c>
      <c r="K2101" s="11">
        <v>27</v>
      </c>
      <c r="L2101" s="12">
        <f>-(F2101*G2101*$U$3)/J2101</f>
        <v>-18.919155645090651</v>
      </c>
      <c r="M2101" s="11">
        <f>ABS(L2101/$U$6)</f>
        <v>5.5157888178106858E-2</v>
      </c>
      <c r="N2101" s="12">
        <f>L2101*SIN(RADIANS(K2101))</f>
        <v>-8.5891169259649711</v>
      </c>
      <c r="O2101" s="12">
        <f>L2101*COS(RADIANS(K2101))</f>
        <v>-16.857091111910961</v>
      </c>
      <c r="P2101" s="5">
        <v>5.3656999807870323</v>
      </c>
      <c r="Q2101" s="5">
        <v>-0.27002438980656246</v>
      </c>
      <c r="R2101" s="6">
        <f>P2101/Q2101</f>
        <v>-19.871167877208656</v>
      </c>
    </row>
    <row r="2102" spans="1:18" x14ac:dyDescent="0.35">
      <c r="A2102" s="9">
        <v>2103</v>
      </c>
      <c r="B2102" s="5">
        <v>0.5</v>
      </c>
      <c r="C2102" s="5">
        <v>4000000</v>
      </c>
      <c r="D2102" s="5">
        <v>20</v>
      </c>
      <c r="E2102" s="5">
        <v>0.375</v>
      </c>
      <c r="F2102" s="5">
        <v>2.5000000000000001E-2</v>
      </c>
      <c r="G2102" s="12">
        <f>(C2102*$U$4)/($U$5*$U$3)</f>
        <v>58.775510204081627</v>
      </c>
      <c r="H2102" s="11">
        <f>G2102*COS(RADIANS(D2102))</f>
        <v>55.230913221702366</v>
      </c>
      <c r="I2102" s="11">
        <f>G2102*SIN(RADIANS(D2102))</f>
        <v>20.102408424039304</v>
      </c>
      <c r="J2102" s="12">
        <v>0.24809999999999999</v>
      </c>
      <c r="K2102" s="12">
        <v>67</v>
      </c>
      <c r="L2102" s="12">
        <f>-(F2102*G2102*$U$3)/J2102</f>
        <v>-5.9225624953729978</v>
      </c>
      <c r="M2102" s="11">
        <f>ABS(L2102/$U$6)</f>
        <v>1.7266946050650139E-2</v>
      </c>
      <c r="N2102" s="12">
        <f>L2102*SIN(RADIANS(K2102))</f>
        <v>-5.451747521866241</v>
      </c>
      <c r="O2102" s="12">
        <f>L2102*COS(RADIANS(K2102))</f>
        <v>-2.3141295273653402</v>
      </c>
      <c r="P2102" s="5">
        <v>3.222273596102029</v>
      </c>
      <c r="Q2102" s="5">
        <v>0.67980082467690583</v>
      </c>
      <c r="R2102" s="6">
        <f>P2102/Q2102</f>
        <v>4.7400260181112666</v>
      </c>
    </row>
    <row r="2103" spans="1:18" x14ac:dyDescent="0.35">
      <c r="A2103" s="9">
        <v>269</v>
      </c>
      <c r="B2103" s="5">
        <v>0.1</v>
      </c>
      <c r="C2103" s="5">
        <v>4000000</v>
      </c>
      <c r="D2103" s="5">
        <v>10</v>
      </c>
      <c r="E2103" s="5">
        <v>0.25</v>
      </c>
      <c r="F2103" s="5">
        <v>0.1</v>
      </c>
      <c r="G2103" s="12">
        <f>(C2103*$U$4)/($U$5*$U$3)</f>
        <v>58.775510204081627</v>
      </c>
      <c r="H2103" s="11">
        <f>G2103*COS(RADIANS(D2103))</f>
        <v>57.882578136227728</v>
      </c>
      <c r="I2103" s="11">
        <f>G2103*SIN(RADIANS(D2103))</f>
        <v>10.206260238382843</v>
      </c>
      <c r="J2103" s="11">
        <v>0.1661</v>
      </c>
      <c r="K2103" s="12">
        <v>80</v>
      </c>
      <c r="L2103" s="12">
        <f>-(F2103*G2103*$U$3)/J2103</f>
        <v>-35.385617221000381</v>
      </c>
      <c r="M2103" s="11">
        <f>ABS(L2103/$U$6)</f>
        <v>0.10316506478425767</v>
      </c>
      <c r="N2103" s="12">
        <f>L2103*SIN(RADIANS(K2103))</f>
        <v>-34.848030184363481</v>
      </c>
      <c r="O2103" s="12">
        <f>L2103*COS(RADIANS(K2103))</f>
        <v>-6.1446479460462662</v>
      </c>
      <c r="P2103" s="5">
        <v>1.903846813400875</v>
      </c>
      <c r="Q2103" s="5">
        <v>0.49833082066762829</v>
      </c>
      <c r="R2103" s="6">
        <f>P2103/Q2103</f>
        <v>3.8204476513217385</v>
      </c>
    </row>
    <row r="2104" spans="1:18" x14ac:dyDescent="0.35">
      <c r="A2104" s="9">
        <v>2105</v>
      </c>
      <c r="B2104" s="5">
        <v>1</v>
      </c>
      <c r="C2104" s="5">
        <v>2000000</v>
      </c>
      <c r="D2104" s="5">
        <v>5</v>
      </c>
      <c r="E2104" s="5">
        <v>0.375</v>
      </c>
      <c r="F2104" s="5">
        <v>0</v>
      </c>
      <c r="G2104" s="12">
        <f>(C2104*$U$4)/($U$5*$U$3)</f>
        <v>29.387755102040813</v>
      </c>
      <c r="H2104" s="11">
        <f>G2104*COS(RADIANS(D2104))</f>
        <v>29.275925821471702</v>
      </c>
      <c r="I2104" s="11">
        <f>G2104*SIN(RADIANS(D2104))</f>
        <v>2.5613116236046478</v>
      </c>
      <c r="J2104" s="12">
        <v>0.33379999999999999</v>
      </c>
      <c r="K2104" s="11">
        <v>49</v>
      </c>
      <c r="L2104" s="12">
        <f>-(F2104*G2104*$U$3)/J2104</f>
        <v>0</v>
      </c>
      <c r="M2104" s="11">
        <f>ABS(L2104/$U$6)</f>
        <v>0</v>
      </c>
      <c r="N2104" s="12">
        <f>L2104*SIN(RADIANS(K2104))</f>
        <v>0</v>
      </c>
      <c r="O2104" s="12">
        <f>L2104*COS(RADIANS(K2104))</f>
        <v>0</v>
      </c>
      <c r="P2104" s="5">
        <v>5.8639838922802214</v>
      </c>
      <c r="Q2104" s="5">
        <v>0.72164369950078178</v>
      </c>
      <c r="R2104" s="6">
        <f>P2104/Q2104</f>
        <v>8.1258713910158225</v>
      </c>
    </row>
    <row r="2105" spans="1:18" x14ac:dyDescent="0.35">
      <c r="A2105" s="9">
        <v>2106</v>
      </c>
      <c r="B2105" s="5">
        <v>0.25</v>
      </c>
      <c r="C2105" s="5">
        <v>4000000</v>
      </c>
      <c r="D2105" s="5">
        <v>15</v>
      </c>
      <c r="E2105" s="5">
        <v>0.25</v>
      </c>
      <c r="F2105" s="5">
        <v>1.4999999999999999E-2</v>
      </c>
      <c r="G2105" s="12">
        <f>(C2105*$U$4)/($U$5*$U$3)</f>
        <v>58.775510204081627</v>
      </c>
      <c r="H2105" s="11">
        <f>G2105*COS(RADIANS(D2105))</f>
        <v>56.772783259439109</v>
      </c>
      <c r="I2105" s="11">
        <f>G2105*SIN(RADIANS(D2105))</f>
        <v>15.212221426433871</v>
      </c>
      <c r="J2105" s="12">
        <v>0.1913</v>
      </c>
      <c r="K2105" s="11">
        <v>67</v>
      </c>
      <c r="L2105" s="12">
        <f>-(F2105*G2105*$U$3)/J2105</f>
        <v>-4.6086390646169599</v>
      </c>
      <c r="M2105" s="11">
        <f>ABS(L2105/$U$6)</f>
        <v>1.3436265494510087E-2</v>
      </c>
      <c r="N2105" s="12">
        <f>L2105*SIN(RADIANS(K2105))</f>
        <v>-4.2422746267904268</v>
      </c>
      <c r="O2105" s="12">
        <f>L2105*COS(RADIANS(K2105))</f>
        <v>-1.8007387425175356</v>
      </c>
      <c r="P2105" s="5">
        <v>2.207936923972678</v>
      </c>
      <c r="Q2105" s="5">
        <v>0.54450414824400495</v>
      </c>
      <c r="R2105" s="6">
        <f>P2105/Q2105</f>
        <v>4.0549496842092934</v>
      </c>
    </row>
    <row r="2106" spans="1:18" x14ac:dyDescent="0.35">
      <c r="A2106" s="9">
        <v>2107</v>
      </c>
      <c r="B2106" s="5">
        <v>0.25</v>
      </c>
      <c r="C2106" s="5">
        <v>2000000</v>
      </c>
      <c r="D2106" s="5">
        <v>15</v>
      </c>
      <c r="E2106" s="5">
        <v>0.375</v>
      </c>
      <c r="F2106" s="5">
        <v>7.4999999999999997E-2</v>
      </c>
      <c r="G2106" s="12">
        <f>(C2106*$U$4)/($U$5*$U$3)</f>
        <v>29.387755102040813</v>
      </c>
      <c r="H2106" s="11">
        <f>G2106*COS(RADIANS(D2106))</f>
        <v>28.386391629719554</v>
      </c>
      <c r="I2106" s="11">
        <f>G2106*SIN(RADIANS(D2106))</f>
        <v>7.6061107132169354</v>
      </c>
      <c r="J2106" s="11">
        <v>0.1976</v>
      </c>
      <c r="K2106" s="12">
        <v>78</v>
      </c>
      <c r="L2106" s="12">
        <f>-(F2106*G2106*$U$3)/J2106</f>
        <v>-11.154259274560026</v>
      </c>
      <c r="M2106" s="11">
        <f>ABS(L2106/$U$6)</f>
        <v>3.251970633982515E-2</v>
      </c>
      <c r="N2106" s="12">
        <f>L2106*SIN(RADIANS(K2106))</f>
        <v>-10.910511947373688</v>
      </c>
      <c r="O2106" s="12">
        <f>L2106*COS(RADIANS(K2106))</f>
        <v>-2.3191009055934502</v>
      </c>
      <c r="P2106" s="5">
        <v>2.5954097615042824</v>
      </c>
      <c r="Q2106" s="5">
        <v>0.4525025584225375</v>
      </c>
      <c r="R2106" s="6">
        <f>P2106/Q2106</f>
        <v>5.7356797507446196</v>
      </c>
    </row>
    <row r="2107" spans="1:18" x14ac:dyDescent="0.35">
      <c r="A2107" s="9">
        <v>2108</v>
      </c>
      <c r="B2107" s="5">
        <v>1</v>
      </c>
      <c r="C2107" s="5">
        <v>2000000</v>
      </c>
      <c r="D2107" s="5">
        <v>0</v>
      </c>
      <c r="E2107" s="5">
        <v>0.375</v>
      </c>
      <c r="F2107" s="5">
        <v>0.15</v>
      </c>
      <c r="G2107" s="12">
        <f>(C2107*$U$4)/($U$5*$U$3)</f>
        <v>29.387755102040813</v>
      </c>
      <c r="H2107" s="11">
        <f>G2107*COS(RADIANS(D2107))</f>
        <v>29.387755102040813</v>
      </c>
      <c r="I2107" s="11">
        <f>G2107*SIN(RADIANS(D2107))</f>
        <v>0</v>
      </c>
      <c r="J2107" s="12">
        <v>0.33379999999999999</v>
      </c>
      <c r="K2107" s="11">
        <v>49</v>
      </c>
      <c r="L2107" s="12">
        <f>-(F2107*G2107*$U$3)/J2107</f>
        <v>-13.206001393966813</v>
      </c>
      <c r="M2107" s="11">
        <f>ABS(L2107/$U$6)</f>
        <v>3.8501461789990712E-2</v>
      </c>
      <c r="N2107" s="12">
        <f>L2107*SIN(RADIANS(K2107))</f>
        <v>-9.9666957684620368</v>
      </c>
      <c r="O2107" s="12">
        <f>L2107*COS(RADIANS(K2107))</f>
        <v>-8.6639164513731526</v>
      </c>
      <c r="P2107" s="5">
        <v>7.7930954724017631</v>
      </c>
      <c r="Q2107" s="5">
        <v>-1.3959609625784</v>
      </c>
      <c r="R2107" s="6">
        <f>P2107/Q2107</f>
        <v>-5.5826027240816112</v>
      </c>
    </row>
    <row r="2108" spans="1:18" x14ac:dyDescent="0.35">
      <c r="A2108" s="9">
        <v>2109</v>
      </c>
      <c r="B2108" s="5">
        <v>0.1</v>
      </c>
      <c r="C2108" s="5">
        <v>4000000</v>
      </c>
      <c r="D2108" s="5">
        <v>20</v>
      </c>
      <c r="E2108" s="5">
        <v>0.375</v>
      </c>
      <c r="F2108" s="5">
        <v>7.4999999999999997E-2</v>
      </c>
      <c r="G2108" s="12">
        <f>(C2108*$U$4)/($U$5*$U$3)</f>
        <v>58.775510204081627</v>
      </c>
      <c r="H2108" s="11">
        <f>G2108*COS(RADIANS(D2108))</f>
        <v>55.230913221702366</v>
      </c>
      <c r="I2108" s="11">
        <f>G2108*SIN(RADIANS(D2108))</f>
        <v>20.102408424039304</v>
      </c>
      <c r="J2108" s="12">
        <v>0.16789999999999999</v>
      </c>
      <c r="K2108" s="11">
        <v>85</v>
      </c>
      <c r="L2108" s="12">
        <f>-(F2108*G2108*$U$3)/J2108</f>
        <v>-26.254694849947125</v>
      </c>
      <c r="M2108" s="11">
        <f>ABS(L2108/$U$6)</f>
        <v>7.6544299854073253E-2</v>
      </c>
      <c r="N2108" s="12">
        <f>L2108*SIN(RADIANS(K2108))</f>
        <v>-26.154787809533982</v>
      </c>
      <c r="O2108" s="12">
        <f>L2108*COS(RADIANS(K2108))</f>
        <v>-2.2882474302602565</v>
      </c>
      <c r="P2108" s="5">
        <v>1.9201653511979184</v>
      </c>
      <c r="Q2108" s="5">
        <v>0.88885890190673911</v>
      </c>
      <c r="R2108" s="6">
        <f>P2108/Q2108</f>
        <v>2.160258897198271</v>
      </c>
    </row>
    <row r="2109" spans="1:18" x14ac:dyDescent="0.35">
      <c r="A2109" s="9">
        <v>2110</v>
      </c>
      <c r="B2109" s="5">
        <v>0.75</v>
      </c>
      <c r="C2109" s="5">
        <v>2000000</v>
      </c>
      <c r="D2109" s="5">
        <v>0</v>
      </c>
      <c r="E2109" s="5">
        <v>0.125</v>
      </c>
      <c r="F2109" s="5">
        <v>0.15</v>
      </c>
      <c r="G2109" s="12">
        <f>(C2109*$U$4)/($U$5*$U$3)</f>
        <v>29.387755102040813</v>
      </c>
      <c r="H2109" s="11">
        <f>G2109*COS(RADIANS(D2109))</f>
        <v>29.387755102040813</v>
      </c>
      <c r="I2109" s="11">
        <f>G2109*SIN(RADIANS(D2109))</f>
        <v>0</v>
      </c>
      <c r="J2109" s="12">
        <v>0.2802</v>
      </c>
      <c r="K2109" s="12">
        <v>19</v>
      </c>
      <c r="L2109" s="12">
        <f>-(F2109*G2109*$U$3)/J2109</f>
        <v>-15.732202945417994</v>
      </c>
      <c r="M2109" s="11">
        <f>ABS(L2109/$U$6)</f>
        <v>4.5866480890431466E-2</v>
      </c>
      <c r="N2109" s="12">
        <f>L2109*SIN(RADIANS(K2109))</f>
        <v>-5.1219042784851814</v>
      </c>
      <c r="O2109" s="12">
        <f>L2109*COS(RADIANS(K2109))</f>
        <v>-14.875090119990999</v>
      </c>
      <c r="P2109" s="5">
        <v>4.5200021496295104</v>
      </c>
      <c r="Q2109" s="5">
        <v>-0.24097743907534472</v>
      </c>
      <c r="R2109" s="6">
        <f>P2109/Q2109</f>
        <v>-18.756951551038242</v>
      </c>
    </row>
    <row r="2110" spans="1:18" x14ac:dyDescent="0.35">
      <c r="A2110" s="9">
        <v>2111</v>
      </c>
      <c r="B2110" s="5">
        <v>0.5</v>
      </c>
      <c r="C2110" s="5">
        <v>2000000</v>
      </c>
      <c r="D2110" s="5">
        <v>10</v>
      </c>
      <c r="E2110" s="5">
        <v>0.375</v>
      </c>
      <c r="F2110" s="5">
        <v>0.05</v>
      </c>
      <c r="G2110" s="12">
        <f>(C2110*$U$4)/($U$5*$U$3)</f>
        <v>29.387755102040813</v>
      </c>
      <c r="H2110" s="11">
        <f>G2110*COS(RADIANS(D2110))</f>
        <v>28.941289068113864</v>
      </c>
      <c r="I2110" s="11">
        <f>G2110*SIN(RADIANS(D2110))</f>
        <v>5.1031301191914213</v>
      </c>
      <c r="J2110" s="12">
        <v>0.24809999999999999</v>
      </c>
      <c r="K2110" s="12">
        <v>67</v>
      </c>
      <c r="L2110" s="12">
        <f>-(F2110*G2110*$U$3)/J2110</f>
        <v>-5.9225624953729978</v>
      </c>
      <c r="M2110" s="11">
        <f>ABS(L2110/$U$6)</f>
        <v>1.7266946050650139E-2</v>
      </c>
      <c r="N2110" s="12">
        <f>L2110*SIN(RADIANS(K2110))</f>
        <v>-5.451747521866241</v>
      </c>
      <c r="O2110" s="12">
        <f>L2110*COS(RADIANS(K2110))</f>
        <v>-2.3141295273653402</v>
      </c>
      <c r="P2110" s="5">
        <v>3.5655150329432383</v>
      </c>
      <c r="Q2110" s="5">
        <v>0.18663928910894689</v>
      </c>
      <c r="R2110" s="6">
        <f>P2110/Q2110</f>
        <v>19.10377525528369</v>
      </c>
    </row>
    <row r="2111" spans="1:18" x14ac:dyDescent="0.35">
      <c r="A2111" s="9">
        <v>2112</v>
      </c>
      <c r="B2111" s="5">
        <v>0.5</v>
      </c>
      <c r="C2111" s="5">
        <v>6000000</v>
      </c>
      <c r="D2111" s="5">
        <v>30</v>
      </c>
      <c r="E2111" s="5">
        <v>0.375</v>
      </c>
      <c r="F2111" s="5">
        <v>7.4999999999999997E-2</v>
      </c>
      <c r="G2111" s="12">
        <f>(C2111*$U$4)/($U$5*$U$3)</f>
        <v>88.16326530612244</v>
      </c>
      <c r="H2111" s="11">
        <f>G2111*COS(RADIANS(D2111))</f>
        <v>76.351627435689281</v>
      </c>
      <c r="I2111" s="11">
        <f>G2111*SIN(RADIANS(D2111))</f>
        <v>44.081632653061213</v>
      </c>
      <c r="J2111" s="12">
        <v>0.24809999999999999</v>
      </c>
      <c r="K2111" s="12">
        <v>67</v>
      </c>
      <c r="L2111" s="12">
        <f>-(F2111*G2111*$U$3)/J2111</f>
        <v>-26.651531229178492</v>
      </c>
      <c r="M2111" s="11">
        <f>ABS(L2111/$U$6)</f>
        <v>7.7701257227925632E-2</v>
      </c>
      <c r="N2111" s="12">
        <f>L2111*SIN(RADIANS(K2111))</f>
        <v>-24.532863848398087</v>
      </c>
      <c r="O2111" s="12">
        <f>L2111*COS(RADIANS(K2111))</f>
        <v>-10.413582873144032</v>
      </c>
      <c r="P2111" s="5">
        <v>4.2477108453612074</v>
      </c>
      <c r="Q2111" s="5">
        <v>1.1713805141351954</v>
      </c>
      <c r="R2111" s="6">
        <f>P2111/Q2111</f>
        <v>3.6262433889786867</v>
      </c>
    </row>
    <row r="2112" spans="1:18" x14ac:dyDescent="0.35">
      <c r="A2112" s="9">
        <v>2113</v>
      </c>
      <c r="B2112" s="5">
        <v>0.5</v>
      </c>
      <c r="C2112" s="5">
        <v>6000000</v>
      </c>
      <c r="D2112" s="5">
        <v>0</v>
      </c>
      <c r="E2112" s="5">
        <v>0.25</v>
      </c>
      <c r="F2112" s="5">
        <v>0</v>
      </c>
      <c r="G2112" s="12">
        <f>(C2112*$U$4)/($U$5*$U$3)</f>
        <v>88.16326530612244</v>
      </c>
      <c r="H2112" s="11">
        <f>G2112*COS(RADIANS(D2112))</f>
        <v>88.16326530612244</v>
      </c>
      <c r="I2112" s="11">
        <f>G2112*SIN(RADIANS(D2112))</f>
        <v>0</v>
      </c>
      <c r="J2112" s="11">
        <v>0.23580000000000001</v>
      </c>
      <c r="K2112" s="11">
        <v>49</v>
      </c>
      <c r="L2112" s="12">
        <f>-(F2112*G2112*$U$3)/J2112</f>
        <v>0</v>
      </c>
      <c r="M2112" s="11">
        <f>ABS(L2112/$U$6)</f>
        <v>0</v>
      </c>
      <c r="N2112" s="12">
        <f>L2112*SIN(RADIANS(K2112))</f>
        <v>0</v>
      </c>
      <c r="O2112" s="12">
        <f>L2112*COS(RADIANS(K2112))</f>
        <v>0</v>
      </c>
      <c r="P2112" s="5">
        <v>4.3421997871851934</v>
      </c>
      <c r="Q2112" s="5">
        <v>0.33411690448010456</v>
      </c>
      <c r="R2112" s="6">
        <f>P2112/Q2112</f>
        <v>12.996049373622027</v>
      </c>
    </row>
    <row r="2113" spans="1:18" x14ac:dyDescent="0.35">
      <c r="A2113" s="9">
        <v>925</v>
      </c>
      <c r="B2113" s="5">
        <v>0.1</v>
      </c>
      <c r="C2113" s="5">
        <v>4000000</v>
      </c>
      <c r="D2113" s="5">
        <v>20</v>
      </c>
      <c r="E2113" s="5">
        <v>0.25</v>
      </c>
      <c r="F2113" s="5">
        <v>0.1</v>
      </c>
      <c r="G2113" s="12">
        <f>(C2113*$U$4)/($U$5*$U$3)</f>
        <v>58.775510204081627</v>
      </c>
      <c r="H2113" s="11">
        <f>G2113*COS(RADIANS(D2113))</f>
        <v>55.230913221702366</v>
      </c>
      <c r="I2113" s="11">
        <f>G2113*SIN(RADIANS(D2113))</f>
        <v>20.102408424039304</v>
      </c>
      <c r="J2113" s="11">
        <v>0.1661</v>
      </c>
      <c r="K2113" s="12">
        <v>80</v>
      </c>
      <c r="L2113" s="12">
        <f>-(F2113*G2113*$U$3)/J2113</f>
        <v>-35.385617221000381</v>
      </c>
      <c r="M2113" s="11">
        <f>ABS(L2113/$U$6)</f>
        <v>0.10316506478425767</v>
      </c>
      <c r="N2113" s="12">
        <f>L2113*SIN(RADIANS(K2113))</f>
        <v>-34.848030184363481</v>
      </c>
      <c r="O2113" s="12">
        <f>L2113*COS(RADIANS(K2113))</f>
        <v>-6.1446479460462662</v>
      </c>
      <c r="P2113" s="5">
        <v>1.7859685070657463</v>
      </c>
      <c r="Q2113" s="5">
        <v>0.83163183885989478</v>
      </c>
      <c r="R2113" s="6">
        <f>P2113/Q2113</f>
        <v>2.1475470558151981</v>
      </c>
    </row>
    <row r="2114" spans="1:18" x14ac:dyDescent="0.35">
      <c r="A2114" s="9">
        <v>2115</v>
      </c>
      <c r="B2114" s="5">
        <v>0.1</v>
      </c>
      <c r="C2114" s="5">
        <v>2000000</v>
      </c>
      <c r="D2114" s="5">
        <v>0</v>
      </c>
      <c r="E2114" s="5">
        <v>0.25</v>
      </c>
      <c r="F2114" s="5">
        <v>0.15</v>
      </c>
      <c r="G2114" s="12">
        <f>(C2114*$U$4)/($U$5*$U$3)</f>
        <v>29.387755102040813</v>
      </c>
      <c r="H2114" s="11">
        <f>G2114*COS(RADIANS(D2114))</f>
        <v>29.387755102040813</v>
      </c>
      <c r="I2114" s="11">
        <f>G2114*SIN(RADIANS(D2114))</f>
        <v>0</v>
      </c>
      <c r="J2114" s="11">
        <v>0.1661</v>
      </c>
      <c r="K2114" s="12">
        <v>80</v>
      </c>
      <c r="L2114" s="12">
        <f>-(F2114*G2114*$U$3)/J2114</f>
        <v>-26.539212915750284</v>
      </c>
      <c r="M2114" s="11">
        <f>ABS(L2114/$U$6)</f>
        <v>7.7373798588193252E-2</v>
      </c>
      <c r="N2114" s="12">
        <f>L2114*SIN(RADIANS(K2114))</f>
        <v>-26.136022638272607</v>
      </c>
      <c r="O2114" s="12">
        <f>L2114*COS(RADIANS(K2114))</f>
        <v>-4.6084859595346996</v>
      </c>
      <c r="P2114" s="5">
        <v>1.6297132827454266</v>
      </c>
      <c r="Q2114" s="5">
        <v>0.20456461813983695</v>
      </c>
      <c r="R2114" s="6">
        <f>P2114/Q2114</f>
        <v>7.9667407666333672</v>
      </c>
    </row>
    <row r="2115" spans="1:18" x14ac:dyDescent="0.35">
      <c r="A2115" s="9">
        <v>2116</v>
      </c>
      <c r="B2115" s="5">
        <v>0.75</v>
      </c>
      <c r="C2115" s="5">
        <v>6000000</v>
      </c>
      <c r="D2115" s="5">
        <v>0</v>
      </c>
      <c r="E2115" s="5">
        <v>0.25</v>
      </c>
      <c r="F2115" s="5">
        <v>7.4999999999999997E-2</v>
      </c>
      <c r="G2115" s="12">
        <f>(C2115*$U$4)/($U$5*$U$3)</f>
        <v>88.16326530612244</v>
      </c>
      <c r="H2115" s="11">
        <f>G2115*COS(RADIANS(D2115))</f>
        <v>88.16326530612244</v>
      </c>
      <c r="I2115" s="11">
        <f>G2115*SIN(RADIANS(D2115))</f>
        <v>0</v>
      </c>
      <c r="J2115" s="12">
        <v>0.28370000000000001</v>
      </c>
      <c r="K2115" s="11">
        <v>38</v>
      </c>
      <c r="L2115" s="12">
        <f>-(F2115*G2115*$U$3)/J2115</f>
        <v>-23.307172710465924</v>
      </c>
      <c r="M2115" s="11">
        <f>ABS(L2115/$U$6)</f>
        <v>6.7950940846839433E-2</v>
      </c>
      <c r="N2115" s="12">
        <f>L2115*SIN(RADIANS(K2115))</f>
        <v>-14.349328336595372</v>
      </c>
      <c r="O2115" s="12">
        <f>L2115*COS(RADIANS(K2115))</f>
        <v>-18.366302732016276</v>
      </c>
      <c r="P2115" s="5">
        <v>3.6582800834820963</v>
      </c>
      <c r="Q2115" s="5">
        <v>-0.10981211118663946</v>
      </c>
      <c r="R2115" s="6">
        <f>P2115/Q2115</f>
        <v>-33.313994640030103</v>
      </c>
    </row>
    <row r="2116" spans="1:18" x14ac:dyDescent="0.35">
      <c r="A2116" s="9">
        <v>1922</v>
      </c>
      <c r="B2116" s="5">
        <v>0.1</v>
      </c>
      <c r="C2116" s="5">
        <v>4000000</v>
      </c>
      <c r="D2116" s="5">
        <v>15</v>
      </c>
      <c r="E2116" s="5">
        <v>0.25</v>
      </c>
      <c r="F2116" s="5">
        <v>0.1</v>
      </c>
      <c r="G2116" s="12">
        <f>(C2116*$U$4)/($U$5*$U$3)</f>
        <v>58.775510204081627</v>
      </c>
      <c r="H2116" s="11">
        <f>G2116*COS(RADIANS(D2116))</f>
        <v>56.772783259439109</v>
      </c>
      <c r="I2116" s="11">
        <f>G2116*SIN(RADIANS(D2116))</f>
        <v>15.212221426433871</v>
      </c>
      <c r="J2116" s="11">
        <v>0.1661</v>
      </c>
      <c r="K2116" s="12">
        <v>80</v>
      </c>
      <c r="L2116" s="12">
        <f>-(F2116*G2116*$U$3)/J2116</f>
        <v>-35.385617221000381</v>
      </c>
      <c r="M2116" s="11">
        <f>ABS(L2116/$U$6)</f>
        <v>0.10316506478425767</v>
      </c>
      <c r="N2116" s="12">
        <f>L2116*SIN(RADIANS(K2116))</f>
        <v>-34.848030184363481</v>
      </c>
      <c r="O2116" s="12">
        <f>L2116*COS(RADIANS(K2116))</f>
        <v>-6.1446479460462662</v>
      </c>
      <c r="P2116" s="5">
        <v>1.8902923597529748</v>
      </c>
      <c r="Q2116" s="5">
        <v>0.66675159408113582</v>
      </c>
      <c r="R2116" s="6">
        <f>P2116/Q2116</f>
        <v>2.8350773759424239</v>
      </c>
    </row>
    <row r="2117" spans="1:18" x14ac:dyDescent="0.35">
      <c r="A2117" s="9">
        <v>1956</v>
      </c>
      <c r="B2117" s="5">
        <v>0.1</v>
      </c>
      <c r="C2117" s="5">
        <v>4000000</v>
      </c>
      <c r="D2117" s="5">
        <v>0</v>
      </c>
      <c r="E2117" s="5">
        <v>0.25</v>
      </c>
      <c r="F2117" s="5">
        <v>0.1</v>
      </c>
      <c r="G2117" s="12">
        <f>(C2117*$U$4)/($U$5*$U$3)</f>
        <v>58.775510204081627</v>
      </c>
      <c r="H2117" s="11">
        <f>G2117*COS(RADIANS(D2117))</f>
        <v>58.775510204081627</v>
      </c>
      <c r="I2117" s="11">
        <f>G2117*SIN(RADIANS(D2117))</f>
        <v>0</v>
      </c>
      <c r="J2117" s="11">
        <v>0.1661</v>
      </c>
      <c r="K2117" s="12">
        <v>80</v>
      </c>
      <c r="L2117" s="12">
        <f>-(F2117*G2117*$U$3)/J2117</f>
        <v>-35.385617221000381</v>
      </c>
      <c r="M2117" s="11">
        <f>ABS(L2117/$U$6)</f>
        <v>0.10316506478425767</v>
      </c>
      <c r="N2117" s="12">
        <f>L2117*SIN(RADIANS(K2117))</f>
        <v>-34.848030184363481</v>
      </c>
      <c r="O2117" s="12">
        <f>L2117*COS(RADIANS(K2117))</f>
        <v>-6.1446479460462662</v>
      </c>
      <c r="P2117" s="5">
        <v>1.5729151849178407</v>
      </c>
      <c r="Q2117" s="5">
        <v>0.21508669857968971</v>
      </c>
      <c r="R2117" s="6">
        <f>P2117/Q2117</f>
        <v>7.3129356455070367</v>
      </c>
    </row>
    <row r="2118" spans="1:18" x14ac:dyDescent="0.35">
      <c r="A2118" s="9">
        <v>136</v>
      </c>
      <c r="B2118" s="5">
        <v>0.1</v>
      </c>
      <c r="C2118" s="5">
        <v>4000000</v>
      </c>
      <c r="D2118" s="5">
        <v>15</v>
      </c>
      <c r="E2118" s="5">
        <v>0.375</v>
      </c>
      <c r="F2118" s="5">
        <v>0.1</v>
      </c>
      <c r="G2118" s="12">
        <f>(C2118*$U$4)/($U$5*$U$3)</f>
        <v>58.775510204081627</v>
      </c>
      <c r="H2118" s="11">
        <f>G2118*COS(RADIANS(D2118))</f>
        <v>56.772783259439109</v>
      </c>
      <c r="I2118" s="11">
        <f>G2118*SIN(RADIANS(D2118))</f>
        <v>15.212221426433871</v>
      </c>
      <c r="J2118" s="12">
        <v>0.16789999999999999</v>
      </c>
      <c r="K2118" s="20">
        <v>85</v>
      </c>
      <c r="L2118" s="12">
        <f>-(F2118*G2118*$U$3)/J2118</f>
        <v>-35.006259799929502</v>
      </c>
      <c r="M2118" s="11">
        <f>ABS(L2118/$U$6)</f>
        <v>0.10205906647209767</v>
      </c>
      <c r="N2118" s="12">
        <f>L2118*SIN(RADIANS(K2118))</f>
        <v>-34.873050412711976</v>
      </c>
      <c r="O2118" s="12">
        <f>L2118*COS(RADIANS(K2118))</f>
        <v>-3.0509965736803424</v>
      </c>
      <c r="P2118" s="5">
        <v>2.011247803476655</v>
      </c>
      <c r="Q2118" s="5">
        <v>0.70641936381092796</v>
      </c>
      <c r="R2118" s="6">
        <f>P2118/Q2118</f>
        <v>2.847101745097353</v>
      </c>
    </row>
    <row r="2119" spans="1:18" x14ac:dyDescent="0.35">
      <c r="A2119" s="9">
        <v>2120</v>
      </c>
      <c r="B2119" s="5">
        <v>0.5</v>
      </c>
      <c r="C2119" s="5">
        <v>4000000</v>
      </c>
      <c r="D2119" s="5">
        <v>0</v>
      </c>
      <c r="E2119" s="5">
        <v>0.375</v>
      </c>
      <c r="F2119" s="5">
        <v>0.05</v>
      </c>
      <c r="G2119" s="12">
        <f>(C2119*$U$4)/($U$5*$U$3)</f>
        <v>58.775510204081627</v>
      </c>
      <c r="H2119" s="11">
        <f>G2119*COS(RADIANS(D2119))</f>
        <v>58.775510204081627</v>
      </c>
      <c r="I2119" s="11">
        <f>G2119*SIN(RADIANS(D2119))</f>
        <v>0</v>
      </c>
      <c r="J2119" s="12">
        <v>0.24809999999999999</v>
      </c>
      <c r="K2119" s="12">
        <v>67</v>
      </c>
      <c r="L2119" s="12">
        <f>-(F2119*G2119*$U$3)/J2119</f>
        <v>-11.845124990745996</v>
      </c>
      <c r="M2119" s="11">
        <f>ABS(L2119/$U$6)</f>
        <v>3.4533892101300277E-2</v>
      </c>
      <c r="N2119" s="12">
        <f>L2119*SIN(RADIANS(K2119))</f>
        <v>-10.903495043732482</v>
      </c>
      <c r="O2119" s="12">
        <f>L2119*COS(RADIANS(K2119))</f>
        <v>-4.6282590547306803</v>
      </c>
      <c r="P2119" s="5">
        <v>3.274901240265796</v>
      </c>
      <c r="Q2119" s="5">
        <v>-0.23684565205510882</v>
      </c>
      <c r="R2119" s="6">
        <f>P2119/Q2119</f>
        <v>-13.827153725852639</v>
      </c>
    </row>
    <row r="2120" spans="1:18" x14ac:dyDescent="0.35">
      <c r="A2120" s="9">
        <v>2121</v>
      </c>
      <c r="B2120" s="5">
        <v>1</v>
      </c>
      <c r="C2120" s="5">
        <v>6000000</v>
      </c>
      <c r="D2120" s="5">
        <v>30</v>
      </c>
      <c r="E2120" s="5">
        <v>0.25</v>
      </c>
      <c r="F2120" s="5">
        <v>3.5000000000000003E-2</v>
      </c>
      <c r="G2120" s="12">
        <f>(C2120*$U$4)/($U$5*$U$3)</f>
        <v>88.16326530612244</v>
      </c>
      <c r="H2120" s="11">
        <f>G2120*COS(RADIANS(D2120))</f>
        <v>76.351627435689281</v>
      </c>
      <c r="I2120" s="11">
        <f>G2120*SIN(RADIANS(D2120))</f>
        <v>44.081632653061213</v>
      </c>
      <c r="J2120" s="13">
        <v>0.33379999999999999</v>
      </c>
      <c r="K2120" s="12">
        <v>30</v>
      </c>
      <c r="L2120" s="12">
        <f>-(F2120*G2120*$U$3)/J2120</f>
        <v>-9.2442009757767707</v>
      </c>
      <c r="M2120" s="11">
        <f>ABS(L2120/$U$6)</f>
        <v>2.6951023252993502E-2</v>
      </c>
      <c r="N2120" s="12">
        <f>L2120*SIN(RADIANS(K2120))</f>
        <v>-4.6221004878883845</v>
      </c>
      <c r="O2120" s="12">
        <f>L2120*COS(RADIANS(K2120))</f>
        <v>-8.0057128827115793</v>
      </c>
      <c r="P2120" s="5">
        <v>3.3771223377151673</v>
      </c>
      <c r="Q2120" s="5">
        <v>1.6026316638572147</v>
      </c>
      <c r="R2120" s="6">
        <f>P2120/Q2120</f>
        <v>2.1072355013797166</v>
      </c>
    </row>
    <row r="2121" spans="1:18" x14ac:dyDescent="0.35">
      <c r="A2121" s="9">
        <v>2122</v>
      </c>
      <c r="B2121" s="5">
        <v>0.25</v>
      </c>
      <c r="C2121" s="5">
        <v>2000000</v>
      </c>
      <c r="D2121" s="5">
        <v>10</v>
      </c>
      <c r="E2121" s="5">
        <v>0.375</v>
      </c>
      <c r="F2121" s="5">
        <v>1.4999999999999999E-2</v>
      </c>
      <c r="G2121" s="12">
        <f>(C2121*$U$4)/($U$5*$U$3)</f>
        <v>29.387755102040813</v>
      </c>
      <c r="H2121" s="11">
        <f>G2121*COS(RADIANS(D2121))</f>
        <v>28.941289068113864</v>
      </c>
      <c r="I2121" s="11">
        <f>G2121*SIN(RADIANS(D2121))</f>
        <v>5.1031301191914213</v>
      </c>
      <c r="J2121" s="11">
        <v>0.1976</v>
      </c>
      <c r="K2121" s="12">
        <v>78</v>
      </c>
      <c r="L2121" s="12">
        <f>-(F2121*G2121*$U$3)/J2121</f>
        <v>-2.2308518549120051</v>
      </c>
      <c r="M2121" s="11">
        <f>ABS(L2121/$U$6)</f>
        <v>6.5039412679650296E-3</v>
      </c>
      <c r="N2121" s="12">
        <f>L2121*SIN(RADIANS(K2121))</f>
        <v>-2.1821023894747373</v>
      </c>
      <c r="O2121" s="12">
        <f>L2121*COS(RADIANS(K2121))</f>
        <v>-0.46382018111869</v>
      </c>
      <c r="P2121" s="5">
        <v>2.3152555736411871</v>
      </c>
      <c r="Q2121" s="5">
        <v>0.46393169937324236</v>
      </c>
      <c r="R2121" s="6">
        <f>P2121/Q2121</f>
        <v>4.9905095443338467</v>
      </c>
    </row>
    <row r="2122" spans="1:18" x14ac:dyDescent="0.35">
      <c r="A2122" s="9">
        <v>2123</v>
      </c>
      <c r="B2122" s="5">
        <v>1</v>
      </c>
      <c r="C2122" s="5">
        <v>2000000</v>
      </c>
      <c r="D2122" s="5">
        <v>5</v>
      </c>
      <c r="E2122" s="5">
        <v>0.375</v>
      </c>
      <c r="F2122" s="5">
        <v>0.1</v>
      </c>
      <c r="G2122" s="12">
        <f>(C2122*$U$4)/($U$5*$U$3)</f>
        <v>29.387755102040813</v>
      </c>
      <c r="H2122" s="11">
        <f>G2122*COS(RADIANS(D2122))</f>
        <v>29.275925821471702</v>
      </c>
      <c r="I2122" s="11">
        <f>G2122*SIN(RADIANS(D2122))</f>
        <v>2.5613116236046478</v>
      </c>
      <c r="J2122" s="12">
        <v>0.33379999999999999</v>
      </c>
      <c r="K2122" s="11">
        <v>49</v>
      </c>
      <c r="L2122" s="12">
        <f>-(F2122*G2122*$U$3)/J2122</f>
        <v>-8.8040009293112096</v>
      </c>
      <c r="M2122" s="11">
        <f>ABS(L2122/$U$6)</f>
        <v>2.566764119332714E-2</v>
      </c>
      <c r="N2122" s="12">
        <f>L2122*SIN(RADIANS(K2122))</f>
        <v>-6.6444638456413578</v>
      </c>
      <c r="O2122" s="12">
        <f>L2122*COS(RADIANS(K2122))</f>
        <v>-5.7759443009154356</v>
      </c>
      <c r="P2122" s="5">
        <v>6.3124804529393668</v>
      </c>
      <c r="Q2122" s="5">
        <v>-0.58938723743823029</v>
      </c>
      <c r="R2122" s="6">
        <f>P2122/Q2122</f>
        <v>-10.710242862360818</v>
      </c>
    </row>
    <row r="2123" spans="1:18" x14ac:dyDescent="0.35">
      <c r="A2123" s="9">
        <v>2124</v>
      </c>
      <c r="B2123" s="5">
        <v>0.25</v>
      </c>
      <c r="C2123" s="5">
        <v>2000000</v>
      </c>
      <c r="D2123" s="5">
        <v>15</v>
      </c>
      <c r="E2123" s="5">
        <v>0.125</v>
      </c>
      <c r="F2123" s="5">
        <v>0.15</v>
      </c>
      <c r="G2123" s="12">
        <f>(C2123*$U$4)/($U$5*$U$3)</f>
        <v>29.387755102040813</v>
      </c>
      <c r="H2123" s="11">
        <f>G2123*COS(RADIANS(D2123))</f>
        <v>28.386391629719554</v>
      </c>
      <c r="I2123" s="11">
        <f>G2123*SIN(RADIANS(D2123))</f>
        <v>7.6061107132169354</v>
      </c>
      <c r="J2123" s="11">
        <v>0.19020000000000001</v>
      </c>
      <c r="K2123" s="12">
        <v>46</v>
      </c>
      <c r="L2123" s="12">
        <f>-(F2123*G2123*$U$3)/J2123</f>
        <v>-23.176463014227771</v>
      </c>
      <c r="M2123" s="11">
        <f>ABS(L2123/$U$6)</f>
        <v>6.7569863015241316E-2</v>
      </c>
      <c r="N2123" s="12">
        <f>L2123*SIN(RADIANS(K2123))</f>
        <v>-16.671752277210736</v>
      </c>
      <c r="O2123" s="12">
        <f>L2123*COS(RADIANS(K2123))</f>
        <v>-16.099724030466682</v>
      </c>
      <c r="P2123" s="5">
        <v>2.7407247708436584</v>
      </c>
      <c r="Q2123" s="5">
        <v>0.50503264643288004</v>
      </c>
      <c r="R2123" s="6">
        <f>P2123/Q2123</f>
        <v>5.426826939212348</v>
      </c>
    </row>
    <row r="2124" spans="1:18" x14ac:dyDescent="0.35">
      <c r="A2124" s="9">
        <v>2125</v>
      </c>
      <c r="B2124" s="5">
        <v>0.5</v>
      </c>
      <c r="C2124" s="5">
        <v>2000000</v>
      </c>
      <c r="D2124" s="5">
        <v>20</v>
      </c>
      <c r="E2124" s="5">
        <v>0.25</v>
      </c>
      <c r="F2124" s="5">
        <v>7.4999999999999997E-2</v>
      </c>
      <c r="G2124" s="12">
        <f>(C2124*$U$4)/($U$5*$U$3)</f>
        <v>29.387755102040813</v>
      </c>
      <c r="H2124" s="11">
        <f>G2124*COS(RADIANS(D2124))</f>
        <v>27.615456610851183</v>
      </c>
      <c r="I2124" s="11">
        <f>G2124*SIN(RADIANS(D2124))</f>
        <v>10.051204212019652</v>
      </c>
      <c r="J2124" s="11">
        <v>0.23580000000000001</v>
      </c>
      <c r="K2124" s="11">
        <v>49</v>
      </c>
      <c r="L2124" s="12">
        <f>-(F2124*G2124*$U$3)/J2124</f>
        <v>-9.347250350521886</v>
      </c>
      <c r="M2124" s="11">
        <f>ABS(L2124/$U$6)</f>
        <v>2.7251458747877218E-2</v>
      </c>
      <c r="N2124" s="12">
        <f>L2124*SIN(RADIANS(K2124))</f>
        <v>-7.0544593882795308</v>
      </c>
      <c r="O2124" s="12">
        <f>L2124*COS(RADIANS(K2124))</f>
        <v>-6.1323479886945673</v>
      </c>
      <c r="P2124" s="5">
        <v>4.476253344712668</v>
      </c>
      <c r="Q2124" s="5">
        <v>0.84023145904358276</v>
      </c>
      <c r="R2124" s="6">
        <f>P2124/Q2124</f>
        <v>5.3274050816996192</v>
      </c>
    </row>
    <row r="2125" spans="1:18" x14ac:dyDescent="0.35">
      <c r="A2125" s="9">
        <v>2126</v>
      </c>
      <c r="B2125" s="5">
        <v>0.1</v>
      </c>
      <c r="C2125" s="5">
        <v>4000000</v>
      </c>
      <c r="D2125" s="5">
        <v>5</v>
      </c>
      <c r="E2125" s="5">
        <v>0.25</v>
      </c>
      <c r="F2125" s="5">
        <v>3.5000000000000003E-2</v>
      </c>
      <c r="G2125" s="12">
        <f>(C2125*$U$4)/($U$5*$U$3)</f>
        <v>58.775510204081627</v>
      </c>
      <c r="H2125" s="11">
        <f>G2125*COS(RADIANS(D2125))</f>
        <v>58.551851642943404</v>
      </c>
      <c r="I2125" s="11">
        <f>G2125*SIN(RADIANS(D2125))</f>
        <v>5.1226232472092956</v>
      </c>
      <c r="J2125" s="11">
        <v>0.1661</v>
      </c>
      <c r="K2125" s="12">
        <v>80</v>
      </c>
      <c r="L2125" s="12">
        <f>-(F2125*G2125*$U$3)/J2125</f>
        <v>-12.384966027350131</v>
      </c>
      <c r="M2125" s="11">
        <f>ABS(L2125/$U$6)</f>
        <v>3.6107772674490182E-2</v>
      </c>
      <c r="N2125" s="12">
        <f>L2125*SIN(RADIANS(K2125))</f>
        <v>-12.196810564527215</v>
      </c>
      <c r="O2125" s="12">
        <f>L2125*COS(RADIANS(K2125))</f>
        <v>-2.150626781116193</v>
      </c>
      <c r="P2125" s="5">
        <v>1.5807398242641346</v>
      </c>
      <c r="Q2125" s="5">
        <v>0.34427433318838696</v>
      </c>
      <c r="R2125" s="6">
        <f>P2125/Q2125</f>
        <v>4.5915122676285991</v>
      </c>
    </row>
    <row r="2126" spans="1:18" x14ac:dyDescent="0.35">
      <c r="A2126" s="9">
        <v>2127</v>
      </c>
      <c r="B2126" s="5">
        <v>0.5</v>
      </c>
      <c r="C2126" s="5">
        <v>4000000</v>
      </c>
      <c r="D2126" s="5">
        <v>10</v>
      </c>
      <c r="E2126" s="5">
        <v>0.125</v>
      </c>
      <c r="F2126" s="5">
        <v>0.05</v>
      </c>
      <c r="G2126" s="12">
        <f>(C2126*$U$4)/($U$5*$U$3)</f>
        <v>58.775510204081627</v>
      </c>
      <c r="H2126" s="11">
        <f>G2126*COS(RADIANS(D2126))</f>
        <v>57.882578136227728</v>
      </c>
      <c r="I2126" s="11">
        <f>G2126*SIN(RADIANS(D2126))</f>
        <v>10.206260238382843</v>
      </c>
      <c r="J2126" s="12">
        <v>0.23300000000000001</v>
      </c>
      <c r="K2126" s="11">
        <v>27</v>
      </c>
      <c r="L2126" s="12">
        <f>-(F2126*G2126*$U$3)/J2126</f>
        <v>-12.612770430060435</v>
      </c>
      <c r="M2126" s="11">
        <f>ABS(L2126/$U$6)</f>
        <v>3.6771925452071239E-2</v>
      </c>
      <c r="N2126" s="12">
        <f>L2126*SIN(RADIANS(K2126))</f>
        <v>-5.7260779506433144</v>
      </c>
      <c r="O2126" s="12">
        <f>L2126*COS(RADIANS(K2126))</f>
        <v>-11.238060741273975</v>
      </c>
      <c r="P2126" s="5">
        <v>4.7645917621516407</v>
      </c>
      <c r="Q2126" s="5">
        <v>0.55211434761539069</v>
      </c>
      <c r="R2126" s="6">
        <f>P2126/Q2126</f>
        <v>8.6297191564214</v>
      </c>
    </row>
    <row r="2127" spans="1:18" x14ac:dyDescent="0.35">
      <c r="A2127" s="9">
        <v>2128</v>
      </c>
      <c r="B2127" s="5">
        <v>0.5</v>
      </c>
      <c r="C2127" s="5">
        <v>6000000</v>
      </c>
      <c r="D2127" s="5">
        <v>10</v>
      </c>
      <c r="E2127" s="5">
        <v>0.25</v>
      </c>
      <c r="F2127" s="5">
        <v>7.4999999999999997E-2</v>
      </c>
      <c r="G2127" s="12">
        <f>(C2127*$U$4)/($U$5*$U$3)</f>
        <v>88.16326530612244</v>
      </c>
      <c r="H2127" s="11">
        <f>G2127*COS(RADIANS(D2127))</f>
        <v>86.823867204341596</v>
      </c>
      <c r="I2127" s="11">
        <f>G2127*SIN(RADIANS(D2127))</f>
        <v>15.309390357574264</v>
      </c>
      <c r="J2127" s="11">
        <v>0.23580000000000001</v>
      </c>
      <c r="K2127" s="11">
        <v>49</v>
      </c>
      <c r="L2127" s="12">
        <f>-(F2127*G2127*$U$3)/J2127</f>
        <v>-28.041751051565662</v>
      </c>
      <c r="M2127" s="11">
        <f>ABS(L2127/$U$6)</f>
        <v>8.175437624363166E-2</v>
      </c>
      <c r="N2127" s="12">
        <f>L2127*SIN(RADIANS(K2127))</f>
        <v>-21.163378164838598</v>
      </c>
      <c r="O2127" s="12">
        <f>L2127*COS(RADIANS(K2127))</f>
        <v>-18.397043966083704</v>
      </c>
      <c r="P2127" s="5">
        <v>4.6449836857854487</v>
      </c>
      <c r="Q2127" s="5">
        <v>0.32056729491477021</v>
      </c>
      <c r="R2127" s="6">
        <f>P2127/Q2127</f>
        <v>14.489886396615782</v>
      </c>
    </row>
    <row r="2128" spans="1:18" x14ac:dyDescent="0.35">
      <c r="A2128" s="9">
        <v>2129</v>
      </c>
      <c r="B2128" s="5">
        <v>0.1</v>
      </c>
      <c r="C2128" s="5">
        <v>6000000</v>
      </c>
      <c r="D2128" s="5">
        <v>15</v>
      </c>
      <c r="E2128" s="5">
        <v>0.25</v>
      </c>
      <c r="F2128" s="5">
        <v>0.05</v>
      </c>
      <c r="G2128" s="12">
        <f>(C2128*$U$4)/($U$5*$U$3)</f>
        <v>88.16326530612244</v>
      </c>
      <c r="H2128" s="11">
        <f>G2128*COS(RADIANS(D2128))</f>
        <v>85.159174889158663</v>
      </c>
      <c r="I2128" s="11">
        <f>G2128*SIN(RADIANS(D2128))</f>
        <v>22.818332139650806</v>
      </c>
      <c r="J2128" s="11">
        <v>0.1661</v>
      </c>
      <c r="K2128" s="12">
        <v>80</v>
      </c>
      <c r="L2128" s="12">
        <f>-(F2128*G2128*$U$3)/J2128</f>
        <v>-26.539212915750284</v>
      </c>
      <c r="M2128" s="11">
        <f>ABS(L2128/$U$6)</f>
        <v>7.7373798588193252E-2</v>
      </c>
      <c r="N2128" s="12">
        <f>L2128*SIN(RADIANS(K2128))</f>
        <v>-26.136022638272607</v>
      </c>
      <c r="O2128" s="12">
        <f>L2128*COS(RADIANS(K2128))</f>
        <v>-4.6084859595346996</v>
      </c>
      <c r="P2128" s="5">
        <v>1.6738634931869947</v>
      </c>
      <c r="Q2128" s="5">
        <v>0.64050780965269138</v>
      </c>
      <c r="R2128" s="6">
        <f>P2128/Q2128</f>
        <v>2.6133381482024856</v>
      </c>
    </row>
    <row r="2129" spans="1:18" x14ac:dyDescent="0.35">
      <c r="A2129" s="9">
        <v>437</v>
      </c>
      <c r="B2129" s="5">
        <v>0.1</v>
      </c>
      <c r="C2129" s="5">
        <v>4000000</v>
      </c>
      <c r="D2129" s="5">
        <v>20</v>
      </c>
      <c r="E2129" s="5">
        <v>0.375</v>
      </c>
      <c r="F2129" s="5">
        <v>0.1</v>
      </c>
      <c r="G2129" s="12">
        <f>(C2129*$U$4)/($U$5*$U$3)</f>
        <v>58.775510204081627</v>
      </c>
      <c r="H2129" s="11">
        <f>G2129*COS(RADIANS(D2129))</f>
        <v>55.230913221702366</v>
      </c>
      <c r="I2129" s="11">
        <f>G2129*SIN(RADIANS(D2129))</f>
        <v>20.102408424039304</v>
      </c>
      <c r="J2129" s="12">
        <v>0.16789999999999999</v>
      </c>
      <c r="K2129" s="11">
        <v>85</v>
      </c>
      <c r="L2129" s="12">
        <f>-(F2129*G2129*$U$3)/J2129</f>
        <v>-35.006259799929502</v>
      </c>
      <c r="M2129" s="11">
        <f>ABS(L2129/$U$6)</f>
        <v>0.10205906647209767</v>
      </c>
      <c r="N2129" s="12">
        <f>L2129*SIN(RADIANS(K2129))</f>
        <v>-34.873050412711976</v>
      </c>
      <c r="O2129" s="12">
        <f>L2129*COS(RADIANS(K2129))</f>
        <v>-3.0509965736803424</v>
      </c>
      <c r="P2129" s="5">
        <v>1.9445305335701024</v>
      </c>
      <c r="Q2129" s="5">
        <v>0.89235942453723804</v>
      </c>
      <c r="R2129" s="6">
        <f>P2129/Q2129</f>
        <v>2.1790889187711575</v>
      </c>
    </row>
    <row r="2130" spans="1:18" x14ac:dyDescent="0.35">
      <c r="A2130" s="9">
        <v>2131</v>
      </c>
      <c r="B2130" s="5">
        <v>0.5</v>
      </c>
      <c r="C2130" s="5">
        <v>2000000</v>
      </c>
      <c r="D2130" s="5">
        <v>10</v>
      </c>
      <c r="E2130" s="5">
        <v>0.125</v>
      </c>
      <c r="F2130" s="5">
        <v>0.1</v>
      </c>
      <c r="G2130" s="12">
        <f>(C2130*$U$4)/($U$5*$U$3)</f>
        <v>29.387755102040813</v>
      </c>
      <c r="H2130" s="11">
        <f>G2130*COS(RADIANS(D2130))</f>
        <v>28.941289068113864</v>
      </c>
      <c r="I2130" s="11">
        <f>G2130*SIN(RADIANS(D2130))</f>
        <v>5.1031301191914213</v>
      </c>
      <c r="J2130" s="12">
        <v>0.23300000000000001</v>
      </c>
      <c r="K2130" s="11">
        <v>27</v>
      </c>
      <c r="L2130" s="12">
        <f>-(F2130*G2130*$U$3)/J2130</f>
        <v>-12.612770430060435</v>
      </c>
      <c r="M2130" s="11">
        <f>ABS(L2130/$U$6)</f>
        <v>3.6771925452071239E-2</v>
      </c>
      <c r="N2130" s="12">
        <f>L2130*SIN(RADIANS(K2130))</f>
        <v>-5.7260779506433144</v>
      </c>
      <c r="O2130" s="12">
        <f>L2130*COS(RADIANS(K2130))</f>
        <v>-11.238060741273975</v>
      </c>
      <c r="P2130" s="5">
        <v>3.9323906430111939</v>
      </c>
      <c r="Q2130" s="5">
        <v>0.40651932595803608</v>
      </c>
      <c r="R2130" s="6">
        <f>P2130/Q2130</f>
        <v>9.673317827495179</v>
      </c>
    </row>
    <row r="2131" spans="1:18" x14ac:dyDescent="0.35">
      <c r="A2131" s="9">
        <v>1046</v>
      </c>
      <c r="B2131" s="5">
        <v>0.1</v>
      </c>
      <c r="C2131" s="5">
        <v>4000000</v>
      </c>
      <c r="D2131" s="5">
        <v>30</v>
      </c>
      <c r="E2131" s="5">
        <v>0.375</v>
      </c>
      <c r="F2131" s="5">
        <v>0.1</v>
      </c>
      <c r="G2131" s="12">
        <f>(C2131*$U$4)/($U$5*$U$3)</f>
        <v>58.775510204081627</v>
      </c>
      <c r="H2131" s="11">
        <f>G2131*COS(RADIANS(D2131))</f>
        <v>50.901084957126187</v>
      </c>
      <c r="I2131" s="11">
        <f>G2131*SIN(RADIANS(D2131))</f>
        <v>29.38775510204081</v>
      </c>
      <c r="J2131" s="19">
        <v>0.16789999999999999</v>
      </c>
      <c r="K2131" s="20">
        <v>85</v>
      </c>
      <c r="L2131" s="12">
        <f>-(F2131*G2131*$U$3)/J2131</f>
        <v>-35.006259799929502</v>
      </c>
      <c r="M2131" s="11">
        <f>ABS(L2131/$U$6)</f>
        <v>0.10205906647209767</v>
      </c>
      <c r="N2131" s="12">
        <f>L2131*SIN(RADIANS(K2131))</f>
        <v>-34.873050412711976</v>
      </c>
      <c r="O2131" s="12">
        <f>L2131*COS(RADIANS(K2131))</f>
        <v>-3.0509965736803424</v>
      </c>
      <c r="P2131" s="5">
        <v>1.6289621471102809</v>
      </c>
      <c r="Q2131" s="5">
        <v>1.1857964998705148</v>
      </c>
      <c r="R2131" s="6">
        <f>P2131/Q2131</f>
        <v>1.3737282470374623</v>
      </c>
    </row>
    <row r="2132" spans="1:18" x14ac:dyDescent="0.35">
      <c r="A2132" s="9">
        <v>2133</v>
      </c>
      <c r="B2132" s="5">
        <v>1</v>
      </c>
      <c r="C2132" s="5">
        <v>6000000</v>
      </c>
      <c r="D2132" s="5">
        <v>20</v>
      </c>
      <c r="E2132" s="5">
        <v>0.25</v>
      </c>
      <c r="F2132" s="5">
        <v>7.4999999999999997E-2</v>
      </c>
      <c r="G2132" s="12">
        <f>(C2132*$U$4)/($U$5*$U$3)</f>
        <v>88.16326530612244</v>
      </c>
      <c r="H2132" s="11">
        <f>G2132*COS(RADIANS(D2132))</f>
        <v>82.846369832553549</v>
      </c>
      <c r="I2132" s="11">
        <f>G2132*SIN(RADIANS(D2132))</f>
        <v>30.153612636058952</v>
      </c>
      <c r="J2132" s="13">
        <v>0.33379999999999999</v>
      </c>
      <c r="K2132" s="12">
        <v>30</v>
      </c>
      <c r="L2132" s="12">
        <f>-(F2132*G2132*$U$3)/J2132</f>
        <v>-19.809002090950219</v>
      </c>
      <c r="M2132" s="11">
        <f>ABS(L2132/$U$6)</f>
        <v>5.7752192684986062E-2</v>
      </c>
      <c r="N2132" s="12">
        <f>L2132*SIN(RADIANS(K2132))</f>
        <v>-9.9045010454751079</v>
      </c>
      <c r="O2132" s="12">
        <f>L2132*COS(RADIANS(K2132))</f>
        <v>-17.155099034381955</v>
      </c>
      <c r="P2132" s="5">
        <v>4.8738150914264562</v>
      </c>
      <c r="Q2132" s="5">
        <v>0.6544670591459838</v>
      </c>
      <c r="R2132" s="6">
        <f>P2132/Q2132</f>
        <v>7.4469983222475911</v>
      </c>
    </row>
    <row r="2133" spans="1:18" x14ac:dyDescent="0.35">
      <c r="A2133" s="9">
        <v>2134</v>
      </c>
      <c r="B2133" s="5">
        <v>0.25</v>
      </c>
      <c r="C2133" s="5">
        <v>2000000</v>
      </c>
      <c r="D2133" s="5">
        <v>20</v>
      </c>
      <c r="E2133" s="5">
        <v>0.125</v>
      </c>
      <c r="F2133" s="5">
        <v>0.05</v>
      </c>
      <c r="G2133" s="12">
        <f>(C2133*$U$4)/($U$5*$U$3)</f>
        <v>29.387755102040813</v>
      </c>
      <c r="H2133" s="11">
        <f>G2133*COS(RADIANS(D2133))</f>
        <v>27.615456610851183</v>
      </c>
      <c r="I2133" s="11">
        <f>G2133*SIN(RADIANS(D2133))</f>
        <v>10.051204212019652</v>
      </c>
      <c r="J2133" s="11">
        <v>0.19020000000000001</v>
      </c>
      <c r="K2133" s="12">
        <v>46</v>
      </c>
      <c r="L2133" s="12">
        <f>-(F2133*G2133*$U$3)/J2133</f>
        <v>-7.7254876714092564</v>
      </c>
      <c r="M2133" s="11">
        <f>ABS(L2133/$U$6)</f>
        <v>2.2523287671747102E-2</v>
      </c>
      <c r="N2133" s="12">
        <f>L2133*SIN(RADIANS(K2133))</f>
        <v>-5.5572507590702447</v>
      </c>
      <c r="O2133" s="12">
        <f>L2133*COS(RADIANS(K2133))</f>
        <v>-5.3665746768222276</v>
      </c>
      <c r="P2133" s="5">
        <v>2.3128694418996893</v>
      </c>
      <c r="Q2133" s="5">
        <v>0.68968826943944861</v>
      </c>
      <c r="R2133" s="6">
        <f>P2133/Q2133</f>
        <v>3.3534997539968288</v>
      </c>
    </row>
    <row r="2134" spans="1:18" x14ac:dyDescent="0.35">
      <c r="A2134" s="9">
        <v>2135</v>
      </c>
      <c r="B2134" s="5">
        <v>0.1</v>
      </c>
      <c r="C2134" s="5">
        <v>4000000</v>
      </c>
      <c r="D2134" s="5">
        <v>20</v>
      </c>
      <c r="E2134" s="5">
        <v>0.125</v>
      </c>
      <c r="F2134" s="5">
        <v>0</v>
      </c>
      <c r="G2134" s="12">
        <f>(C2134*$U$4)/($U$5*$U$3)</f>
        <v>58.775510204081627</v>
      </c>
      <c r="H2134" s="11">
        <f>G2134*COS(RADIANS(D2134))</f>
        <v>55.230913221702366</v>
      </c>
      <c r="I2134" s="11">
        <f>G2134*SIN(RADIANS(D2134))</f>
        <v>20.102408424039304</v>
      </c>
      <c r="J2134" s="12">
        <v>0.1658</v>
      </c>
      <c r="K2134" s="12">
        <v>69</v>
      </c>
      <c r="L2134" s="12">
        <f>-(F2134*G2134*$U$3)/J2134</f>
        <v>0</v>
      </c>
      <c r="M2134" s="11">
        <f>ABS(L2134/$U$6)</f>
        <v>0</v>
      </c>
      <c r="N2134" s="12">
        <f>L2134*SIN(RADIANS(K2134))</f>
        <v>0</v>
      </c>
      <c r="O2134" s="12">
        <f>L2134*COS(RADIANS(K2134))</f>
        <v>0</v>
      </c>
      <c r="P2134" s="5">
        <v>1.3737796613067643</v>
      </c>
      <c r="Q2134" s="5">
        <v>0.75581543900577519</v>
      </c>
      <c r="R2134" s="6">
        <f>P2134/Q2134</f>
        <v>1.8176125948338391</v>
      </c>
    </row>
    <row r="2135" spans="1:18" ht="14" customHeight="1" x14ac:dyDescent="0.35">
      <c r="A2135" s="9">
        <v>2136</v>
      </c>
      <c r="B2135" s="5">
        <v>0.5</v>
      </c>
      <c r="C2135" s="5">
        <v>2000000</v>
      </c>
      <c r="D2135" s="5">
        <v>0</v>
      </c>
      <c r="E2135" s="5">
        <v>0.25</v>
      </c>
      <c r="F2135" s="5">
        <v>3.5000000000000003E-2</v>
      </c>
      <c r="G2135" s="12">
        <f>(C2135*$U$4)/($U$5*$U$3)</f>
        <v>29.387755102040813</v>
      </c>
      <c r="H2135" s="11">
        <f>G2135*COS(RADIANS(D2135))</f>
        <v>29.387755102040813</v>
      </c>
      <c r="I2135" s="11">
        <f>G2135*SIN(RADIANS(D2135))</f>
        <v>0</v>
      </c>
      <c r="J2135" s="11">
        <v>0.23580000000000001</v>
      </c>
      <c r="K2135" s="11">
        <v>49</v>
      </c>
      <c r="L2135" s="12">
        <f>-(F2135*G2135*$U$3)/J2135</f>
        <v>-4.3620501635768809</v>
      </c>
      <c r="M2135" s="11">
        <f>ABS(L2135/$U$6)</f>
        <v>1.2717347415676037E-2</v>
      </c>
      <c r="N2135" s="12">
        <f>L2135*SIN(RADIANS(K2135))</f>
        <v>-3.2920810478637819</v>
      </c>
      <c r="O2135" s="12">
        <f>L2135*COS(RADIANS(K2135))</f>
        <v>-2.8617623947241317</v>
      </c>
      <c r="P2135" s="5">
        <v>2.4866489014821016</v>
      </c>
      <c r="Q2135" s="5">
        <v>0.10818637698722992</v>
      </c>
      <c r="R2135" s="6">
        <f>P2135/Q2135</f>
        <v>22.984861594686919</v>
      </c>
    </row>
    <row r="2136" spans="1:18" x14ac:dyDescent="0.35">
      <c r="A2136" s="9">
        <v>2137</v>
      </c>
      <c r="B2136" s="5">
        <v>0.5</v>
      </c>
      <c r="C2136" s="5">
        <v>4000000</v>
      </c>
      <c r="D2136" s="5">
        <v>15</v>
      </c>
      <c r="E2136" s="5">
        <v>0.25</v>
      </c>
      <c r="F2136" s="5">
        <v>1.4999999999999999E-2</v>
      </c>
      <c r="G2136" s="12">
        <f>(C2136*$U$4)/($U$5*$U$3)</f>
        <v>58.775510204081627</v>
      </c>
      <c r="H2136" s="11">
        <f>G2136*COS(RADIANS(D2136))</f>
        <v>56.772783259439109</v>
      </c>
      <c r="I2136" s="11">
        <f>G2136*SIN(RADIANS(D2136))</f>
        <v>15.212221426433871</v>
      </c>
      <c r="J2136" s="11">
        <v>0.23580000000000001</v>
      </c>
      <c r="K2136" s="11">
        <v>49</v>
      </c>
      <c r="L2136" s="12">
        <f>-(F2136*G2136*$U$3)/J2136</f>
        <v>-3.7389001402087549</v>
      </c>
      <c r="M2136" s="11">
        <f>ABS(L2136/$U$6)</f>
        <v>1.0900583499150889E-2</v>
      </c>
      <c r="N2136" s="12">
        <f>L2136*SIN(RADIANS(K2136))</f>
        <v>-2.821783755311813</v>
      </c>
      <c r="O2136" s="12">
        <f>L2136*COS(RADIANS(K2136))</f>
        <v>-2.4529391954778275</v>
      </c>
      <c r="P2136" s="5">
        <v>3.6100820184017355</v>
      </c>
      <c r="Q2136" s="5">
        <v>0.66370326585736983</v>
      </c>
      <c r="R2136" s="6">
        <f>P2136/Q2136</f>
        <v>5.4393012722910781</v>
      </c>
    </row>
    <row r="2137" spans="1:18" x14ac:dyDescent="0.35">
      <c r="A2137" s="9">
        <v>1160</v>
      </c>
      <c r="B2137" s="5">
        <v>0.1</v>
      </c>
      <c r="C2137" s="5">
        <v>4000000</v>
      </c>
      <c r="D2137" s="5">
        <v>0</v>
      </c>
      <c r="E2137" s="5">
        <v>0.375</v>
      </c>
      <c r="F2137" s="5">
        <v>0.1</v>
      </c>
      <c r="G2137" s="12">
        <f>(C2137*$U$4)/($U$5*$U$3)</f>
        <v>58.775510204081627</v>
      </c>
      <c r="H2137" s="11">
        <f>G2137*COS(RADIANS(D2137))</f>
        <v>58.775510204081627</v>
      </c>
      <c r="I2137" s="11">
        <f>G2137*SIN(RADIANS(D2137))</f>
        <v>0</v>
      </c>
      <c r="J2137" s="12">
        <v>0.16789999999999999</v>
      </c>
      <c r="K2137" s="11">
        <v>85</v>
      </c>
      <c r="L2137" s="12">
        <f>-(F2137*G2137*$U$3)/J2137</f>
        <v>-35.006259799929502</v>
      </c>
      <c r="M2137" s="11">
        <f>ABS(L2137/$U$6)</f>
        <v>0.10205906647209767</v>
      </c>
      <c r="N2137" s="12">
        <f>L2137*SIN(RADIANS(K2137))</f>
        <v>-34.873050412711976</v>
      </c>
      <c r="O2137" s="12">
        <f>L2137*COS(RADIANS(K2137))</f>
        <v>-3.0509965736803424</v>
      </c>
      <c r="P2137" s="5">
        <v>1.80642997442845</v>
      </c>
      <c r="Q2137" s="5">
        <v>0.16753532052783465</v>
      </c>
      <c r="R2137" s="6">
        <f>P2137/Q2137</f>
        <v>10.782382895362808</v>
      </c>
    </row>
    <row r="2138" spans="1:18" x14ac:dyDescent="0.35">
      <c r="A2138" s="9">
        <v>2139</v>
      </c>
      <c r="B2138" s="5">
        <v>0.75</v>
      </c>
      <c r="C2138" s="5">
        <v>4000000</v>
      </c>
      <c r="D2138" s="5">
        <v>30</v>
      </c>
      <c r="E2138" s="5">
        <v>0.25</v>
      </c>
      <c r="F2138" s="5">
        <v>0.15</v>
      </c>
      <c r="G2138" s="12">
        <f>(C2138*$U$4)/($U$5*$U$3)</f>
        <v>58.775510204081627</v>
      </c>
      <c r="H2138" s="11">
        <f>G2138*COS(RADIANS(D2138))</f>
        <v>50.901084957126187</v>
      </c>
      <c r="I2138" s="11">
        <f>G2138*SIN(RADIANS(D2138))</f>
        <v>29.38775510204081</v>
      </c>
      <c r="J2138" s="12">
        <v>0.28370000000000001</v>
      </c>
      <c r="K2138" s="11">
        <v>38</v>
      </c>
      <c r="L2138" s="12">
        <f>-(F2138*G2138*$U$3)/J2138</f>
        <v>-31.076230280621232</v>
      </c>
      <c r="M2138" s="11">
        <f>ABS(L2138/$U$6)</f>
        <v>9.0601254462452568E-2</v>
      </c>
      <c r="N2138" s="12">
        <f>L2138*SIN(RADIANS(K2138))</f>
        <v>-19.132437782127163</v>
      </c>
      <c r="O2138" s="12">
        <f>L2138*COS(RADIANS(K2138))</f>
        <v>-24.488403642688368</v>
      </c>
      <c r="P2138" s="5">
        <v>5.125834802054964</v>
      </c>
      <c r="Q2138" s="5">
        <v>1.2264820418761284</v>
      </c>
      <c r="R2138" s="6">
        <f>P2138/Q2138</f>
        <v>4.1792986990776182</v>
      </c>
    </row>
    <row r="2139" spans="1:18" x14ac:dyDescent="0.35">
      <c r="A2139" s="9">
        <v>2140</v>
      </c>
      <c r="B2139" s="5">
        <v>0.1</v>
      </c>
      <c r="C2139" s="5">
        <v>6000000</v>
      </c>
      <c r="D2139" s="5">
        <v>30</v>
      </c>
      <c r="E2139" s="5">
        <v>0.125</v>
      </c>
      <c r="F2139" s="5">
        <v>0</v>
      </c>
      <c r="G2139" s="12">
        <f>(C2139*$U$4)/($U$5*$U$3)</f>
        <v>88.16326530612244</v>
      </c>
      <c r="H2139" s="11">
        <f>G2139*COS(RADIANS(D2139))</f>
        <v>76.351627435689281</v>
      </c>
      <c r="I2139" s="11">
        <f>G2139*SIN(RADIANS(D2139))</f>
        <v>44.081632653061213</v>
      </c>
      <c r="J2139" s="12">
        <v>0.1658</v>
      </c>
      <c r="K2139" s="12">
        <v>69</v>
      </c>
      <c r="L2139" s="12">
        <f>-(F2139*G2139*$U$3)/J2139</f>
        <v>0</v>
      </c>
      <c r="M2139" s="11">
        <f>ABS(L2139/$U$6)</f>
        <v>0</v>
      </c>
      <c r="N2139" s="12">
        <f>L2139*SIN(RADIANS(K2139))</f>
        <v>0</v>
      </c>
      <c r="O2139" s="12">
        <f>L2139*COS(RADIANS(K2139))</f>
        <v>0</v>
      </c>
      <c r="P2139" s="5">
        <v>1.3089906532671791</v>
      </c>
      <c r="Q2139" s="5">
        <v>1.0369909161420217</v>
      </c>
      <c r="R2139" s="6">
        <f>P2139/Q2139</f>
        <v>1.2622971261282538</v>
      </c>
    </row>
    <row r="2140" spans="1:18" x14ac:dyDescent="0.35">
      <c r="A2140" s="9">
        <v>2141</v>
      </c>
      <c r="B2140" s="5">
        <v>1</v>
      </c>
      <c r="C2140" s="5">
        <v>2000000</v>
      </c>
      <c r="D2140" s="5">
        <v>0</v>
      </c>
      <c r="E2140" s="5">
        <v>0.375</v>
      </c>
      <c r="F2140" s="5">
        <v>0.1</v>
      </c>
      <c r="G2140" s="12">
        <f>(C2140*$U$4)/($U$5*$U$3)</f>
        <v>29.387755102040813</v>
      </c>
      <c r="H2140" s="11">
        <f>G2140*COS(RADIANS(D2140))</f>
        <v>29.387755102040813</v>
      </c>
      <c r="I2140" s="11">
        <f>G2140*SIN(RADIANS(D2140))</f>
        <v>0</v>
      </c>
      <c r="J2140" s="12">
        <v>0.33379999999999999</v>
      </c>
      <c r="K2140" s="11">
        <v>49</v>
      </c>
      <c r="L2140" s="12">
        <f>-(F2140*G2140*$U$3)/J2140</f>
        <v>-8.8040009293112096</v>
      </c>
      <c r="M2140" s="11">
        <f>ABS(L2140/$U$6)</f>
        <v>2.566764119332714E-2</v>
      </c>
      <c r="N2140" s="12">
        <f>L2140*SIN(RADIANS(K2140))</f>
        <v>-6.6444638456413578</v>
      </c>
      <c r="O2140" s="12">
        <f>L2140*COS(RADIANS(K2140))</f>
        <v>-5.7759443009154356</v>
      </c>
      <c r="P2140" s="5">
        <v>6.008380291690524</v>
      </c>
      <c r="Q2140" s="5">
        <v>-0.96050881661703968</v>
      </c>
      <c r="R2140" s="6">
        <f>P2140/Q2140</f>
        <v>-6.2554139928172043</v>
      </c>
    </row>
    <row r="2141" spans="1:18" x14ac:dyDescent="0.35">
      <c r="A2141" s="9">
        <v>2142</v>
      </c>
      <c r="B2141" s="5">
        <v>0.75</v>
      </c>
      <c r="C2141" s="5">
        <v>6000000</v>
      </c>
      <c r="D2141" s="5">
        <v>0</v>
      </c>
      <c r="E2141" s="5">
        <v>0</v>
      </c>
      <c r="F2141" s="5">
        <v>1.4999999999999999E-2</v>
      </c>
      <c r="G2141" s="12">
        <f>(C2141*$U$4)/($U$5*$U$3)</f>
        <v>88.16326530612244</v>
      </c>
      <c r="H2141" s="11">
        <f>G2141*COS(RADIANS(D2141))</f>
        <v>88.16326530612244</v>
      </c>
      <c r="I2141" s="11">
        <f>G2141*SIN(RADIANS(D2141))</f>
        <v>0</v>
      </c>
      <c r="J2141" s="11">
        <v>0.27929999999999999</v>
      </c>
      <c r="K2141" s="12">
        <v>0</v>
      </c>
      <c r="L2141" s="12">
        <f>-(F2141*G2141*$U$3)/J2141</f>
        <v>-4.7348692430785411</v>
      </c>
      <c r="M2141" s="11">
        <f>ABS(L2141/$U$6)</f>
        <v>1.3804283507517612E-2</v>
      </c>
      <c r="N2141" s="12">
        <f>L2141*SIN(RADIANS(K2141))</f>
        <v>0</v>
      </c>
      <c r="O2141" s="12">
        <f>L2141*COS(RADIANS(K2141))</f>
        <v>-4.7348692430785411</v>
      </c>
      <c r="P2141" s="5">
        <v>2.8265573678023701</v>
      </c>
      <c r="Q2141" s="5">
        <v>0.90491778266554324</v>
      </c>
      <c r="R2141" s="6">
        <f>P2141/Q2141</f>
        <v>3.1235515777758378</v>
      </c>
    </row>
    <row r="2142" spans="1:18" x14ac:dyDescent="0.35">
      <c r="A2142" s="9">
        <v>1320</v>
      </c>
      <c r="B2142" s="5">
        <v>0.1</v>
      </c>
      <c r="C2142" s="5">
        <v>4000000</v>
      </c>
      <c r="D2142" s="5">
        <v>5</v>
      </c>
      <c r="E2142" s="5">
        <v>0.375</v>
      </c>
      <c r="F2142" s="5">
        <v>0.1</v>
      </c>
      <c r="G2142" s="12">
        <f>(C2142*$U$4)/($U$5*$U$3)</f>
        <v>58.775510204081627</v>
      </c>
      <c r="H2142" s="11">
        <f>G2142*COS(RADIANS(D2142))</f>
        <v>58.551851642943404</v>
      </c>
      <c r="I2142" s="11">
        <f>G2142*SIN(RADIANS(D2142))</f>
        <v>5.1226232472092956</v>
      </c>
      <c r="J2142" s="19">
        <v>0.16789999999999999</v>
      </c>
      <c r="K2142" s="20">
        <v>85</v>
      </c>
      <c r="L2142" s="12">
        <f>-(F2142*G2142*$U$3)/J2142</f>
        <v>-35.006259799929502</v>
      </c>
      <c r="M2142" s="11">
        <f>ABS(L2142/$U$6)</f>
        <v>0.10205906647209767</v>
      </c>
      <c r="N2142" s="12">
        <f>L2142*SIN(RADIANS(K2142))</f>
        <v>-34.873050412711976</v>
      </c>
      <c r="O2142" s="12">
        <f>L2142*COS(RADIANS(K2142))</f>
        <v>-3.0509965736803424</v>
      </c>
      <c r="P2142" s="5">
        <v>2.0348784587686679</v>
      </c>
      <c r="Q2142" s="5">
        <v>0.32670542663737345</v>
      </c>
      <c r="R2142" s="6">
        <f>P2142/Q2142</f>
        <v>6.2284807439922947</v>
      </c>
    </row>
    <row r="2143" spans="1:18" x14ac:dyDescent="0.35">
      <c r="A2143" s="9">
        <v>2144</v>
      </c>
      <c r="B2143" s="5">
        <v>0.75</v>
      </c>
      <c r="C2143" s="5">
        <v>6000000</v>
      </c>
      <c r="D2143" s="5">
        <v>15</v>
      </c>
      <c r="E2143" s="5">
        <v>0.25</v>
      </c>
      <c r="F2143" s="5">
        <v>3.5000000000000003E-2</v>
      </c>
      <c r="G2143" s="12">
        <f>(C2143*$U$4)/($U$5*$U$3)</f>
        <v>88.16326530612244</v>
      </c>
      <c r="H2143" s="11">
        <f>G2143*COS(RADIANS(D2143))</f>
        <v>85.159174889158663</v>
      </c>
      <c r="I2143" s="11">
        <f>G2143*SIN(RADIANS(D2143))</f>
        <v>22.818332139650806</v>
      </c>
      <c r="J2143" s="12">
        <v>0.28370000000000001</v>
      </c>
      <c r="K2143" s="11">
        <v>38</v>
      </c>
      <c r="L2143" s="12">
        <f>-(F2143*G2143*$U$3)/J2143</f>
        <v>-10.876680598217433</v>
      </c>
      <c r="M2143" s="11">
        <f>ABS(L2143/$U$6)</f>
        <v>3.1710439061858407E-2</v>
      </c>
      <c r="N2143" s="12">
        <f>L2143*SIN(RADIANS(K2143))</f>
        <v>-6.6963532237445085</v>
      </c>
      <c r="O2143" s="12">
        <f>L2143*COS(RADIANS(K2143))</f>
        <v>-8.5709412749409299</v>
      </c>
      <c r="P2143" s="5">
        <v>3.4904460522169023</v>
      </c>
      <c r="Q2143" s="5">
        <v>0.57329684047669738</v>
      </c>
      <c r="R2143" s="6">
        <f>P2143/Q2143</f>
        <v>6.0883748274534186</v>
      </c>
    </row>
    <row r="2144" spans="1:18" x14ac:dyDescent="0.35">
      <c r="A2144" s="9">
        <v>2145</v>
      </c>
      <c r="B2144" s="5">
        <v>1</v>
      </c>
      <c r="C2144" s="5">
        <v>4000000</v>
      </c>
      <c r="D2144" s="5">
        <v>20</v>
      </c>
      <c r="E2144" s="5">
        <v>0</v>
      </c>
      <c r="F2144" s="5">
        <v>1.4999999999999999E-2</v>
      </c>
      <c r="G2144" s="12">
        <f>(C2144*$U$4)/($U$5*$U$3)</f>
        <v>58.775510204081627</v>
      </c>
      <c r="H2144" s="11">
        <f>G2144*COS(RADIANS(D2144))</f>
        <v>55.230913221702366</v>
      </c>
      <c r="I2144" s="11">
        <f>G2144*SIN(RADIANS(D2144))</f>
        <v>20.102408424039304</v>
      </c>
      <c r="J2144" s="11">
        <v>0.33379999999999999</v>
      </c>
      <c r="K2144" s="12">
        <v>0</v>
      </c>
      <c r="L2144" s="12">
        <f>-(F2144*G2144*$U$3)/J2144</f>
        <v>-2.6412002787933626</v>
      </c>
      <c r="M2144" s="11">
        <f>ABS(L2144/$U$6)</f>
        <v>7.7002923579981416E-3</v>
      </c>
      <c r="N2144" s="12">
        <f>L2144*SIN(RADIANS(K2144))</f>
        <v>0</v>
      </c>
      <c r="O2144" s="12">
        <f>L2144*COS(RADIANS(K2144))</f>
        <v>-2.6412002787933626</v>
      </c>
      <c r="P2144" s="5">
        <v>0.41370899473907341</v>
      </c>
      <c r="Q2144" s="5">
        <v>2.1491400599839774</v>
      </c>
      <c r="R2144" s="6">
        <f>P2144/Q2144</f>
        <v>0.19249978279319671</v>
      </c>
    </row>
    <row r="2145" spans="1:18" x14ac:dyDescent="0.35">
      <c r="A2145" s="9">
        <v>2146</v>
      </c>
      <c r="B2145" s="5">
        <v>0.5</v>
      </c>
      <c r="C2145" s="5">
        <v>6000000</v>
      </c>
      <c r="D2145" s="5">
        <v>20</v>
      </c>
      <c r="E2145" s="5">
        <v>0.125</v>
      </c>
      <c r="F2145" s="5">
        <v>2.5000000000000001E-2</v>
      </c>
      <c r="G2145" s="12">
        <f>(C2145*$U$4)/($U$5*$U$3)</f>
        <v>88.16326530612244</v>
      </c>
      <c r="H2145" s="11">
        <f>G2145*COS(RADIANS(D2145))</f>
        <v>82.846369832553549</v>
      </c>
      <c r="I2145" s="11">
        <f>G2145*SIN(RADIANS(D2145))</f>
        <v>30.153612636058952</v>
      </c>
      <c r="J2145" s="12">
        <v>0.23300000000000001</v>
      </c>
      <c r="K2145" s="11">
        <v>27</v>
      </c>
      <c r="L2145" s="12">
        <f>-(F2145*G2145*$U$3)/J2145</f>
        <v>-9.4595778225453255</v>
      </c>
      <c r="M2145" s="11">
        <f>ABS(L2145/$U$6)</f>
        <v>2.7578944089053429E-2</v>
      </c>
      <c r="N2145" s="12">
        <f>L2145*SIN(RADIANS(K2145))</f>
        <v>-4.2945584629824856</v>
      </c>
      <c r="O2145" s="12">
        <f>L2145*COS(RADIANS(K2145))</f>
        <v>-8.4285455559554805</v>
      </c>
      <c r="P2145" s="5">
        <v>3.4522383263286471</v>
      </c>
      <c r="Q2145" s="5">
        <v>0.95183809157374522</v>
      </c>
      <c r="R2145" s="6">
        <f>P2145/Q2145</f>
        <v>3.62691759963168</v>
      </c>
    </row>
    <row r="2146" spans="1:18" x14ac:dyDescent="0.35">
      <c r="A2146" s="9">
        <v>2147</v>
      </c>
      <c r="B2146" s="5">
        <v>1</v>
      </c>
      <c r="C2146" s="5">
        <v>2000000</v>
      </c>
      <c r="D2146" s="5">
        <v>15</v>
      </c>
      <c r="E2146" s="5">
        <v>0.125</v>
      </c>
      <c r="F2146" s="5">
        <v>0</v>
      </c>
      <c r="G2146" s="12">
        <f>(C2146*$U$4)/($U$5*$U$3)</f>
        <v>29.387755102040813</v>
      </c>
      <c r="H2146" s="11">
        <f>G2146*COS(RADIANS(D2146))</f>
        <v>28.386391629719554</v>
      </c>
      <c r="I2146" s="11">
        <f>G2146*SIN(RADIANS(D2146))</f>
        <v>7.6061107132169354</v>
      </c>
      <c r="J2146" s="11">
        <v>0.33379999999999999</v>
      </c>
      <c r="K2146" s="12">
        <v>14</v>
      </c>
      <c r="L2146" s="12">
        <f>-(F2146*G2146*$U$3)/J2146</f>
        <v>0</v>
      </c>
      <c r="M2146" s="11">
        <f>ABS(L2146/$U$6)</f>
        <v>0</v>
      </c>
      <c r="N2146" s="12">
        <f>L2146*SIN(RADIANS(K2146))</f>
        <v>0</v>
      </c>
      <c r="O2146" s="12">
        <f>L2146*COS(RADIANS(K2146))</f>
        <v>0</v>
      </c>
      <c r="P2146" s="5">
        <v>5.8928927623649363</v>
      </c>
      <c r="Q2146" s="5">
        <v>2.2356664547232041</v>
      </c>
      <c r="R2146" s="6">
        <f>P2146/Q2146</f>
        <v>2.6358550712765112</v>
      </c>
    </row>
    <row r="2147" spans="1:18" x14ac:dyDescent="0.35">
      <c r="A2147" s="9">
        <v>2058</v>
      </c>
      <c r="B2147" s="5">
        <v>0.1</v>
      </c>
      <c r="C2147" s="5">
        <v>4000000</v>
      </c>
      <c r="D2147" s="5">
        <v>10</v>
      </c>
      <c r="E2147" s="5">
        <v>0.375</v>
      </c>
      <c r="F2147" s="5">
        <v>0.1</v>
      </c>
      <c r="G2147" s="12">
        <f>(C2147*$U$4)/($U$5*$U$3)</f>
        <v>58.775510204081627</v>
      </c>
      <c r="H2147" s="11">
        <f>G2147*COS(RADIANS(D2147))</f>
        <v>57.882578136227728</v>
      </c>
      <c r="I2147" s="11">
        <f>G2147*SIN(RADIANS(D2147))</f>
        <v>10.206260238382843</v>
      </c>
      <c r="J2147" s="19">
        <v>0.16789999999999999</v>
      </c>
      <c r="K2147" s="20">
        <v>85</v>
      </c>
      <c r="L2147" s="12">
        <f>-(F2147*G2147*$U$3)/J2147</f>
        <v>-35.006259799929502</v>
      </c>
      <c r="M2147" s="11">
        <f>ABS(L2147/$U$6)</f>
        <v>0.10205906647209767</v>
      </c>
      <c r="N2147" s="12">
        <f>L2147*SIN(RADIANS(K2147))</f>
        <v>-34.873050412711976</v>
      </c>
      <c r="O2147" s="12">
        <f>L2147*COS(RADIANS(K2147))</f>
        <v>-3.0509965736803424</v>
      </c>
      <c r="P2147" s="5">
        <v>2.1541558433873225</v>
      </c>
      <c r="Q2147" s="5">
        <v>0.53314617881811766</v>
      </c>
      <c r="R2147" s="6">
        <f>P2147/Q2147</f>
        <v>4.0404600632469521</v>
      </c>
    </row>
    <row r="2148" spans="1:18" x14ac:dyDescent="0.35">
      <c r="A2148" s="9">
        <v>2149</v>
      </c>
      <c r="B2148" s="5">
        <v>0.5</v>
      </c>
      <c r="C2148" s="5">
        <v>6000000</v>
      </c>
      <c r="D2148" s="5">
        <v>10</v>
      </c>
      <c r="E2148" s="5">
        <v>0.25</v>
      </c>
      <c r="F2148" s="5">
        <v>1.4999999999999999E-2</v>
      </c>
      <c r="G2148" s="12">
        <f>(C2148*$U$4)/($U$5*$U$3)</f>
        <v>88.16326530612244</v>
      </c>
      <c r="H2148" s="11">
        <f>G2148*COS(RADIANS(D2148))</f>
        <v>86.823867204341596</v>
      </c>
      <c r="I2148" s="11">
        <f>G2148*SIN(RADIANS(D2148))</f>
        <v>15.309390357574264</v>
      </c>
      <c r="J2148" s="11">
        <v>0.23580000000000001</v>
      </c>
      <c r="K2148" s="11">
        <v>49</v>
      </c>
      <c r="L2148" s="12">
        <f>-(F2148*G2148*$U$3)/J2148</f>
        <v>-5.608350210313132</v>
      </c>
      <c r="M2148" s="11">
        <f>ABS(L2148/$U$6)</f>
        <v>1.6350875248726332E-2</v>
      </c>
      <c r="N2148" s="12">
        <f>L2148*SIN(RADIANS(K2148))</f>
        <v>-4.2326756329677186</v>
      </c>
      <c r="O2148" s="12">
        <f>L2148*COS(RADIANS(K2148))</f>
        <v>-3.6794087932167407</v>
      </c>
      <c r="P2148" s="5">
        <v>3.6042053914239682</v>
      </c>
      <c r="Q2148" s="5">
        <v>0.45727483466680663</v>
      </c>
      <c r="R2148" s="6">
        <f>P2148/Q2148</f>
        <v>7.8819237757751814</v>
      </c>
    </row>
    <row r="2149" spans="1:18" x14ac:dyDescent="0.35">
      <c r="A2149" s="9">
        <v>125</v>
      </c>
      <c r="B2149" s="5">
        <v>0.25</v>
      </c>
      <c r="C2149" s="5">
        <v>6000000</v>
      </c>
      <c r="D2149" s="5">
        <v>15</v>
      </c>
      <c r="E2149" s="5">
        <v>0</v>
      </c>
      <c r="F2149" s="5">
        <v>7.4999999999999997E-2</v>
      </c>
      <c r="G2149" s="12">
        <f>(C2149*$U$4)/($U$5*$U$3)</f>
        <v>88.16326530612244</v>
      </c>
      <c r="H2149" s="11">
        <f>G2149*COS(RADIANS(D2149))</f>
        <v>85.159174889158663</v>
      </c>
      <c r="I2149" s="11">
        <f>G2149*SIN(RADIANS(D2149))</f>
        <v>22.818332139650806</v>
      </c>
      <c r="J2149" s="12">
        <v>0.18990000000000001</v>
      </c>
      <c r="K2149" s="19">
        <v>0</v>
      </c>
      <c r="L2149" s="12">
        <f>-(F2149*G2149*$U$3)/J2149</f>
        <v>-34.819615049811389</v>
      </c>
      <c r="M2149" s="11">
        <f>ABS(L2149/$U$6)</f>
        <v>0.10151491268166586</v>
      </c>
      <c r="N2149" s="12">
        <f>L2149*SIN(RADIANS(K2149))</f>
        <v>0</v>
      </c>
      <c r="O2149" s="12">
        <f>L2149*COS(RADIANS(K2149))</f>
        <v>-34.819615049811389</v>
      </c>
      <c r="P2149" s="5">
        <v>2.451827687881917</v>
      </c>
      <c r="Q2149" s="5">
        <v>0.50744719779945202</v>
      </c>
      <c r="R2149" s="6">
        <f>P2149/Q2149</f>
        <v>4.8316902694788411</v>
      </c>
    </row>
    <row r="2150" spans="1:18" x14ac:dyDescent="0.35">
      <c r="A2150" s="9">
        <v>2151</v>
      </c>
      <c r="B2150" s="5">
        <v>0.25</v>
      </c>
      <c r="C2150" s="5">
        <v>6000000</v>
      </c>
      <c r="D2150" s="5">
        <v>10</v>
      </c>
      <c r="E2150" s="5">
        <v>0</v>
      </c>
      <c r="F2150" s="5">
        <v>0</v>
      </c>
      <c r="G2150" s="12">
        <f>(C2150*$U$4)/($U$5*$U$3)</f>
        <v>88.16326530612244</v>
      </c>
      <c r="H2150" s="11">
        <f>G2150*COS(RADIANS(D2150))</f>
        <v>86.823867204341596</v>
      </c>
      <c r="I2150" s="11">
        <f>G2150*SIN(RADIANS(D2150))</f>
        <v>15.309390357574264</v>
      </c>
      <c r="J2150" s="12">
        <v>0.18990000000000001</v>
      </c>
      <c r="K2150" s="12">
        <v>0</v>
      </c>
      <c r="L2150" s="12">
        <f>-(F2150*G2150*$U$3)/J2150</f>
        <v>0</v>
      </c>
      <c r="M2150" s="11">
        <f>ABS(L2150/$U$6)</f>
        <v>0</v>
      </c>
      <c r="N2150" s="12">
        <f>L2150*SIN(RADIANS(K2150))</f>
        <v>0</v>
      </c>
      <c r="O2150" s="12">
        <f>L2150*COS(RADIANS(K2150))</f>
        <v>0</v>
      </c>
      <c r="P2150" s="5">
        <v>2.2920126328902066</v>
      </c>
      <c r="Q2150" s="5">
        <v>0.52572928221056514</v>
      </c>
      <c r="R2150" s="6">
        <f>P2150/Q2150</f>
        <v>4.3596822745973842</v>
      </c>
    </row>
    <row r="2151" spans="1:18" x14ac:dyDescent="0.35">
      <c r="A2151" s="9">
        <v>2152</v>
      </c>
      <c r="B2151" s="5">
        <v>0.5</v>
      </c>
      <c r="C2151" s="5">
        <v>2000000</v>
      </c>
      <c r="D2151" s="5">
        <v>30</v>
      </c>
      <c r="E2151" s="5">
        <v>0.375</v>
      </c>
      <c r="F2151" s="5">
        <v>0.05</v>
      </c>
      <c r="G2151" s="12">
        <f>(C2151*$U$4)/($U$5*$U$3)</f>
        <v>29.387755102040813</v>
      </c>
      <c r="H2151" s="11">
        <f>G2151*COS(RADIANS(D2151))</f>
        <v>25.450542478563094</v>
      </c>
      <c r="I2151" s="11">
        <f>G2151*SIN(RADIANS(D2151))</f>
        <v>14.693877551020405</v>
      </c>
      <c r="J2151" s="12">
        <v>0.24809999999999999</v>
      </c>
      <c r="K2151" s="12">
        <v>67</v>
      </c>
      <c r="L2151" s="12">
        <f>-(F2151*G2151*$U$3)/J2151</f>
        <v>-5.9225624953729978</v>
      </c>
      <c r="M2151" s="11">
        <f>ABS(L2151/$U$6)</f>
        <v>1.7266946050650139E-2</v>
      </c>
      <c r="N2151" s="12">
        <f>L2151*SIN(RADIANS(K2151))</f>
        <v>-5.451747521866241</v>
      </c>
      <c r="O2151" s="12">
        <f>L2151*COS(RADIANS(K2151))</f>
        <v>-2.3141295273653402</v>
      </c>
      <c r="P2151" s="5">
        <v>4.000083938016294</v>
      </c>
      <c r="Q2151" s="5">
        <v>1.1478017000034133</v>
      </c>
      <c r="R2151" s="6">
        <f>P2151/Q2151</f>
        <v>3.4849956556122881</v>
      </c>
    </row>
    <row r="2152" spans="1:18" x14ac:dyDescent="0.35">
      <c r="A2152" s="9">
        <v>2153</v>
      </c>
      <c r="B2152" s="5">
        <v>0.5</v>
      </c>
      <c r="C2152" s="5">
        <v>6000000</v>
      </c>
      <c r="D2152" s="5">
        <v>30</v>
      </c>
      <c r="E2152" s="5">
        <v>0.25</v>
      </c>
      <c r="F2152" s="5">
        <v>1.4999999999999999E-2</v>
      </c>
      <c r="G2152" s="12">
        <f>(C2152*$U$4)/($U$5*$U$3)</f>
        <v>88.16326530612244</v>
      </c>
      <c r="H2152" s="11">
        <f>G2152*COS(RADIANS(D2152))</f>
        <v>76.351627435689281</v>
      </c>
      <c r="I2152" s="11">
        <f>G2152*SIN(RADIANS(D2152))</f>
        <v>44.081632653061213</v>
      </c>
      <c r="J2152" s="11">
        <v>0.23580000000000001</v>
      </c>
      <c r="K2152" s="11">
        <v>49</v>
      </c>
      <c r="L2152" s="12">
        <f>-(F2152*G2152*$U$3)/J2152</f>
        <v>-5.608350210313132</v>
      </c>
      <c r="M2152" s="11">
        <f>ABS(L2152/$U$6)</f>
        <v>1.6350875248726332E-2</v>
      </c>
      <c r="N2152" s="12">
        <f>L2152*SIN(RADIANS(K2152))</f>
        <v>-4.2326756329677186</v>
      </c>
      <c r="O2152" s="12">
        <f>L2152*COS(RADIANS(K2152))</f>
        <v>-3.6794087932167407</v>
      </c>
      <c r="P2152" s="5">
        <v>2.8230305490315688</v>
      </c>
      <c r="Q2152" s="5">
        <v>1.1301898084578008</v>
      </c>
      <c r="R2152" s="6">
        <f>P2152/Q2152</f>
        <v>2.4978375560506354</v>
      </c>
    </row>
    <row r="2153" spans="1:18" x14ac:dyDescent="0.35">
      <c r="A2153" s="9">
        <v>2154</v>
      </c>
      <c r="B2153" s="5">
        <v>0.5</v>
      </c>
      <c r="C2153" s="5">
        <v>2000000</v>
      </c>
      <c r="D2153" s="5">
        <v>30</v>
      </c>
      <c r="E2153" s="5">
        <v>0.25</v>
      </c>
      <c r="F2153" s="5">
        <v>7.4999999999999997E-2</v>
      </c>
      <c r="G2153" s="12">
        <f>(C2153*$U$4)/($U$5*$U$3)</f>
        <v>29.387755102040813</v>
      </c>
      <c r="H2153" s="11">
        <f>G2153*COS(RADIANS(D2153))</f>
        <v>25.450542478563094</v>
      </c>
      <c r="I2153" s="11">
        <f>G2153*SIN(RADIANS(D2153))</f>
        <v>14.693877551020405</v>
      </c>
      <c r="J2153" s="11">
        <v>0.23580000000000001</v>
      </c>
      <c r="K2153" s="11">
        <v>49</v>
      </c>
      <c r="L2153" s="12">
        <f>-(F2153*G2153*$U$3)/J2153</f>
        <v>-9.347250350521886</v>
      </c>
      <c r="M2153" s="11">
        <f>ABS(L2153/$U$6)</f>
        <v>2.7251458747877218E-2</v>
      </c>
      <c r="N2153" s="12">
        <f>L2153*SIN(RADIANS(K2153))</f>
        <v>-7.0544593882795308</v>
      </c>
      <c r="O2153" s="12">
        <f>L2153*COS(RADIANS(K2153))</f>
        <v>-6.1323479886945673</v>
      </c>
      <c r="P2153" s="5">
        <v>4.4572453724766277</v>
      </c>
      <c r="Q2153" s="5">
        <v>1.3339322883514806</v>
      </c>
      <c r="R2153" s="6">
        <f>P2153/Q2153</f>
        <v>3.3414330033086199</v>
      </c>
    </row>
    <row r="2154" spans="1:18" x14ac:dyDescent="0.35">
      <c r="A2154" s="9">
        <v>1180</v>
      </c>
      <c r="B2154" s="5">
        <v>0.25</v>
      </c>
      <c r="C2154" s="5">
        <v>6000000</v>
      </c>
      <c r="D2154" s="5">
        <v>30</v>
      </c>
      <c r="E2154" s="5">
        <v>0</v>
      </c>
      <c r="F2154" s="5">
        <v>7.4999999999999997E-2</v>
      </c>
      <c r="G2154" s="12">
        <f>(C2154*$U$4)/($U$5*$U$3)</f>
        <v>88.16326530612244</v>
      </c>
      <c r="H2154" s="11">
        <f>G2154*COS(RADIANS(D2154))</f>
        <v>76.351627435689281</v>
      </c>
      <c r="I2154" s="11">
        <f>G2154*SIN(RADIANS(D2154))</f>
        <v>44.081632653061213</v>
      </c>
      <c r="J2154" s="12">
        <v>0.18990000000000001</v>
      </c>
      <c r="K2154" s="12">
        <v>0</v>
      </c>
      <c r="L2154" s="12">
        <f>-(F2154*G2154*$U$3)/J2154</f>
        <v>-34.819615049811389</v>
      </c>
      <c r="M2154" s="11">
        <f>ABS(L2154/$U$6)</f>
        <v>0.10151491268166586</v>
      </c>
      <c r="N2154" s="12">
        <f>L2154*SIN(RADIANS(K2154))</f>
        <v>0</v>
      </c>
      <c r="O2154" s="12">
        <f>L2154*COS(RADIANS(K2154))</f>
        <v>-34.819615049811389</v>
      </c>
      <c r="P2154" s="5">
        <v>2.5505658656873424</v>
      </c>
      <c r="Q2154" s="5">
        <v>0.90978566261418303</v>
      </c>
      <c r="R2154" s="6">
        <f>P2154/Q2154</f>
        <v>2.8034799519246465</v>
      </c>
    </row>
    <row r="2155" spans="1:18" x14ac:dyDescent="0.35">
      <c r="A2155" s="9">
        <v>2156</v>
      </c>
      <c r="B2155" s="5">
        <v>0.5</v>
      </c>
      <c r="C2155" s="5">
        <v>4000000</v>
      </c>
      <c r="D2155" s="5">
        <v>10</v>
      </c>
      <c r="E2155" s="5">
        <v>0</v>
      </c>
      <c r="F2155" s="5">
        <v>1.4999999999999999E-2</v>
      </c>
      <c r="G2155" s="12">
        <f>(C2155*$U$4)/($U$5*$U$3)</f>
        <v>58.775510204081627</v>
      </c>
      <c r="H2155" s="11">
        <f>G2155*COS(RADIANS(D2155))</f>
        <v>57.882578136227728</v>
      </c>
      <c r="I2155" s="11">
        <f>G2155*SIN(RADIANS(D2155))</f>
        <v>10.206260238382843</v>
      </c>
      <c r="J2155" s="12">
        <v>0.23230000000000001</v>
      </c>
      <c r="K2155" s="12">
        <v>0</v>
      </c>
      <c r="L2155" s="12">
        <f>-(F2155*G2155*$U$3)/J2155</f>
        <v>-3.7952331169230495</v>
      </c>
      <c r="M2155" s="11">
        <f>ABS(L2155/$U$6)</f>
        <v>1.1064819582866033E-2</v>
      </c>
      <c r="N2155" s="12">
        <f>L2155*SIN(RADIANS(K2155))</f>
        <v>0</v>
      </c>
      <c r="O2155" s="12">
        <f>L2155*COS(RADIANS(K2155))</f>
        <v>-3.7952331169230495</v>
      </c>
      <c r="P2155" s="5">
        <v>3.0142687700596897</v>
      </c>
      <c r="Q2155" s="5">
        <v>0.71007012893406363</v>
      </c>
      <c r="R2155" s="6">
        <f>P2155/Q2155</f>
        <v>4.2450296769765847</v>
      </c>
    </row>
    <row r="2156" spans="1:18" x14ac:dyDescent="0.35">
      <c r="A2156" s="9">
        <v>2157</v>
      </c>
      <c r="B2156" s="5">
        <v>0.1</v>
      </c>
      <c r="C2156" s="5">
        <v>4000000</v>
      </c>
      <c r="D2156" s="5">
        <v>30</v>
      </c>
      <c r="E2156" s="5">
        <v>0.25</v>
      </c>
      <c r="F2156" s="5">
        <v>0</v>
      </c>
      <c r="G2156" s="12">
        <f>(C2156*$U$4)/($U$5*$U$3)</f>
        <v>58.775510204081627</v>
      </c>
      <c r="H2156" s="11">
        <f>G2156*COS(RADIANS(D2156))</f>
        <v>50.901084957126187</v>
      </c>
      <c r="I2156" s="11">
        <f>G2156*SIN(RADIANS(D2156))</f>
        <v>29.38775510204081</v>
      </c>
      <c r="J2156" s="11">
        <v>0.1661</v>
      </c>
      <c r="K2156" s="12">
        <v>80</v>
      </c>
      <c r="L2156" s="12">
        <f>-(F2156*G2156*$U$3)/J2156</f>
        <v>0</v>
      </c>
      <c r="M2156" s="11">
        <f>ABS(L2156/$U$6)</f>
        <v>0</v>
      </c>
      <c r="N2156" s="12">
        <f>L2156*SIN(RADIANS(K2156))</f>
        <v>0</v>
      </c>
      <c r="O2156" s="12">
        <f>L2156*COS(RADIANS(K2156))</f>
        <v>0</v>
      </c>
      <c r="P2156" s="5">
        <v>1.3523040118273277</v>
      </c>
      <c r="Q2156" s="5">
        <v>1.0873621459685912</v>
      </c>
      <c r="R2156" s="6">
        <f>P2156/Q2156</f>
        <v>1.2436555905877467</v>
      </c>
    </row>
    <row r="2157" spans="1:18" x14ac:dyDescent="0.35">
      <c r="A2157" s="9">
        <v>2158</v>
      </c>
      <c r="B2157" s="5">
        <v>0.75</v>
      </c>
      <c r="C2157" s="5">
        <v>4000000</v>
      </c>
      <c r="D2157" s="5">
        <v>0</v>
      </c>
      <c r="E2157" s="5">
        <v>0</v>
      </c>
      <c r="F2157" s="5">
        <v>0.1</v>
      </c>
      <c r="G2157" s="12">
        <f>(C2157*$U$4)/($U$5*$U$3)</f>
        <v>58.775510204081627</v>
      </c>
      <c r="H2157" s="11">
        <f>G2157*COS(RADIANS(D2157))</f>
        <v>58.775510204081627</v>
      </c>
      <c r="I2157" s="11">
        <f>G2157*SIN(RADIANS(D2157))</f>
        <v>0</v>
      </c>
      <c r="J2157" s="11">
        <v>0.27929999999999999</v>
      </c>
      <c r="K2157" s="12">
        <v>0</v>
      </c>
      <c r="L2157" s="12">
        <f>-(F2157*G2157*$U$3)/J2157</f>
        <v>-21.043863302571296</v>
      </c>
      <c r="M2157" s="11">
        <f>ABS(L2157/$U$6)</f>
        <v>6.135237114452273E-2</v>
      </c>
      <c r="N2157" s="12">
        <f>L2157*SIN(RADIANS(K2157))</f>
        <v>0</v>
      </c>
      <c r="O2157" s="12">
        <f>L2157*COS(RADIANS(K2157))</f>
        <v>-21.043863302571296</v>
      </c>
      <c r="P2157" s="5">
        <v>5.0721634774084166</v>
      </c>
      <c r="Q2157" s="5">
        <v>0.10564035524522575</v>
      </c>
      <c r="R2157" s="6">
        <f>P2157/Q2157</f>
        <v>48.013502658470522</v>
      </c>
    </row>
    <row r="2158" spans="1:18" x14ac:dyDescent="0.35">
      <c r="A2158" s="9">
        <v>2159</v>
      </c>
      <c r="B2158" s="5">
        <v>1</v>
      </c>
      <c r="C2158" s="5">
        <v>4000000</v>
      </c>
      <c r="D2158" s="5">
        <v>10</v>
      </c>
      <c r="E2158" s="5">
        <v>0</v>
      </c>
      <c r="F2158" s="5">
        <v>0</v>
      </c>
      <c r="G2158" s="12">
        <f>(C2158*$U$4)/($U$5*$U$3)</f>
        <v>58.775510204081627</v>
      </c>
      <c r="H2158" s="11">
        <f>G2158*COS(RADIANS(D2158))</f>
        <v>57.882578136227728</v>
      </c>
      <c r="I2158" s="11">
        <f>G2158*SIN(RADIANS(D2158))</f>
        <v>10.206260238382843</v>
      </c>
      <c r="J2158" s="11">
        <v>0.33379999999999999</v>
      </c>
      <c r="K2158" s="12">
        <v>0</v>
      </c>
      <c r="L2158" s="12">
        <f>-(F2158*G2158*$U$3)/J2158</f>
        <v>0</v>
      </c>
      <c r="M2158" s="11">
        <f>ABS(L2158/$U$6)</f>
        <v>0</v>
      </c>
      <c r="N2158" s="12">
        <f>L2158*SIN(RADIANS(K2158))</f>
        <v>0</v>
      </c>
      <c r="O2158" s="12">
        <f>L2158*COS(RADIANS(K2158))</f>
        <v>0</v>
      </c>
      <c r="P2158" s="5">
        <v>5.9378396946963976</v>
      </c>
      <c r="Q2158" s="5">
        <v>1.9483274137339652</v>
      </c>
      <c r="R2158" s="6">
        <f>P2158/Q2158</f>
        <v>3.0476600867184538</v>
      </c>
    </row>
    <row r="2159" spans="1:18" x14ac:dyDescent="0.35">
      <c r="A2159" s="9">
        <v>2160</v>
      </c>
      <c r="B2159" s="5">
        <v>0.25</v>
      </c>
      <c r="C2159" s="5">
        <v>6000000</v>
      </c>
      <c r="D2159" s="5">
        <v>5</v>
      </c>
      <c r="E2159" s="5">
        <v>0</v>
      </c>
      <c r="F2159" s="5">
        <v>1.4999999999999999E-2</v>
      </c>
      <c r="G2159" s="12">
        <f>(C2159*$U$4)/($U$5*$U$3)</f>
        <v>88.16326530612244</v>
      </c>
      <c r="H2159" s="11">
        <f>G2159*COS(RADIANS(D2159))</f>
        <v>87.827777464415107</v>
      </c>
      <c r="I2159" s="11">
        <f>G2159*SIN(RADIANS(D2159))</f>
        <v>7.6839348708139434</v>
      </c>
      <c r="J2159" s="12">
        <v>0.18990000000000001</v>
      </c>
      <c r="K2159" s="12">
        <v>0</v>
      </c>
      <c r="L2159" s="12">
        <f>-(F2159*G2159*$U$3)/J2159</f>
        <v>-6.9639230099622775</v>
      </c>
      <c r="M2159" s="11">
        <f>ABS(L2159/$U$6)</f>
        <v>2.030298253633317E-2</v>
      </c>
      <c r="N2159" s="12">
        <f>L2159*SIN(RADIANS(K2159))</f>
        <v>0</v>
      </c>
      <c r="O2159" s="12">
        <f>L2159*COS(RADIANS(K2159))</f>
        <v>-6.9639230099622775</v>
      </c>
      <c r="P2159" s="5">
        <v>2.0285136412675677</v>
      </c>
      <c r="Q2159" s="5">
        <v>0.33483532439587105</v>
      </c>
      <c r="R2159" s="6">
        <f>P2159/Q2159</f>
        <v>6.0582426448808153</v>
      </c>
    </row>
    <row r="2160" spans="1:18" x14ac:dyDescent="0.35">
      <c r="A2160" s="9">
        <v>2161</v>
      </c>
      <c r="B2160" s="5">
        <v>0.5</v>
      </c>
      <c r="C2160" s="5">
        <v>2000000</v>
      </c>
      <c r="D2160" s="5">
        <v>5</v>
      </c>
      <c r="E2160" s="5">
        <v>0</v>
      </c>
      <c r="F2160" s="5">
        <v>3.5000000000000003E-2</v>
      </c>
      <c r="G2160" s="12">
        <f>(C2160*$U$4)/($U$5*$U$3)</f>
        <v>29.387755102040813</v>
      </c>
      <c r="H2160" s="11">
        <f>G2160*COS(RADIANS(D2160))</f>
        <v>29.275925821471702</v>
      </c>
      <c r="I2160" s="11">
        <f>G2160*SIN(RADIANS(D2160))</f>
        <v>2.5613116236046478</v>
      </c>
      <c r="J2160" s="12">
        <v>0.23230000000000001</v>
      </c>
      <c r="K2160" s="12">
        <v>0</v>
      </c>
      <c r="L2160" s="12">
        <f>-(F2160*G2160*$U$3)/J2160</f>
        <v>-4.4277719697435574</v>
      </c>
      <c r="M2160" s="11">
        <f>ABS(L2160/$U$6)</f>
        <v>1.2908956180010372E-2</v>
      </c>
      <c r="N2160" s="12">
        <f>L2160*SIN(RADIANS(K2160))</f>
        <v>0</v>
      </c>
      <c r="O2160" s="12">
        <f>L2160*COS(RADIANS(K2160))</f>
        <v>-4.4277719697435574</v>
      </c>
      <c r="P2160" s="5">
        <v>3.5926935207925998</v>
      </c>
      <c r="Q2160" s="5">
        <v>0.44593406573708372</v>
      </c>
      <c r="R2160" s="6">
        <f>P2160/Q2160</f>
        <v>8.0565576770956984</v>
      </c>
    </row>
    <row r="2161" spans="1:18" x14ac:dyDescent="0.35">
      <c r="A2161" s="9">
        <v>2162</v>
      </c>
      <c r="B2161" s="5">
        <v>0.75</v>
      </c>
      <c r="C2161" s="5">
        <v>2000000</v>
      </c>
      <c r="D2161" s="5">
        <v>15</v>
      </c>
      <c r="E2161" s="5">
        <v>0.25</v>
      </c>
      <c r="F2161" s="5">
        <v>0.05</v>
      </c>
      <c r="G2161" s="12">
        <f>(C2161*$U$4)/($U$5*$U$3)</f>
        <v>29.387755102040813</v>
      </c>
      <c r="H2161" s="11">
        <f>G2161*COS(RADIANS(D2161))</f>
        <v>28.386391629719554</v>
      </c>
      <c r="I2161" s="11">
        <f>G2161*SIN(RADIANS(D2161))</f>
        <v>7.6061107132169354</v>
      </c>
      <c r="J2161" s="12">
        <v>0.28370000000000001</v>
      </c>
      <c r="K2161" s="11">
        <v>38</v>
      </c>
      <c r="L2161" s="12">
        <f>-(F2161*G2161*$U$3)/J2161</f>
        <v>-5.179371713436872</v>
      </c>
      <c r="M2161" s="11">
        <f>ABS(L2161/$U$6)</f>
        <v>1.5100209077075429E-2</v>
      </c>
      <c r="N2161" s="12">
        <f>L2161*SIN(RADIANS(K2161))</f>
        <v>-3.1887396303545272</v>
      </c>
      <c r="O2161" s="12">
        <f>L2161*COS(RADIANS(K2161))</f>
        <v>-4.0814006071147277</v>
      </c>
      <c r="P2161" s="5">
        <v>3.1278834345659914</v>
      </c>
      <c r="Q2161" s="5">
        <v>0.84365695557592035</v>
      </c>
      <c r="R2161" s="6">
        <f>P2161/Q2161</f>
        <v>3.7075299550286402</v>
      </c>
    </row>
    <row r="2162" spans="1:18" x14ac:dyDescent="0.35">
      <c r="A2162" s="9">
        <v>2163</v>
      </c>
      <c r="B2162" s="5">
        <v>0.25</v>
      </c>
      <c r="C2162" s="5">
        <v>6000000</v>
      </c>
      <c r="D2162" s="5">
        <v>15</v>
      </c>
      <c r="E2162" s="5">
        <v>0.375</v>
      </c>
      <c r="F2162" s="5">
        <v>1.4999999999999999E-2</v>
      </c>
      <c r="G2162" s="12">
        <f>(C2162*$U$4)/($U$5*$U$3)</f>
        <v>88.16326530612244</v>
      </c>
      <c r="H2162" s="11">
        <f>G2162*COS(RADIANS(D2162))</f>
        <v>85.159174889158663</v>
      </c>
      <c r="I2162" s="11">
        <f>G2162*SIN(RADIANS(D2162))</f>
        <v>22.818332139650806</v>
      </c>
      <c r="J2162" s="11">
        <v>0.1976</v>
      </c>
      <c r="K2162" s="12">
        <v>78</v>
      </c>
      <c r="L2162" s="12">
        <f>-(F2162*G2162*$U$3)/J2162</f>
        <v>-6.6925555647360149</v>
      </c>
      <c r="M2162" s="11">
        <f>ABS(L2162/$U$6)</f>
        <v>1.9511823803895087E-2</v>
      </c>
      <c r="N2162" s="12">
        <f>L2162*SIN(RADIANS(K2162))</f>
        <v>-6.546307168424212</v>
      </c>
      <c r="O2162" s="12">
        <f>L2162*COS(RADIANS(K2162))</f>
        <v>-1.3914605433560698</v>
      </c>
      <c r="P2162" s="5">
        <v>2.3638315233360618</v>
      </c>
      <c r="Q2162" s="5">
        <v>0.61197321729241128</v>
      </c>
      <c r="R2162" s="6">
        <f>P2162/Q2162</f>
        <v>3.8626388484687273</v>
      </c>
    </row>
    <row r="2163" spans="1:18" x14ac:dyDescent="0.35">
      <c r="A2163" s="9">
        <v>1555</v>
      </c>
      <c r="B2163" s="5">
        <v>0.25</v>
      </c>
      <c r="C2163" s="5">
        <v>6000000</v>
      </c>
      <c r="D2163" s="5">
        <v>5</v>
      </c>
      <c r="E2163" s="5">
        <v>0</v>
      </c>
      <c r="F2163" s="5">
        <v>7.4999999999999997E-2</v>
      </c>
      <c r="G2163" s="12">
        <f>(C2163*$U$4)/($U$5*$U$3)</f>
        <v>88.16326530612244</v>
      </c>
      <c r="H2163" s="11">
        <f>G2163*COS(RADIANS(D2163))</f>
        <v>87.827777464415107</v>
      </c>
      <c r="I2163" s="11">
        <f>G2163*SIN(RADIANS(D2163))</f>
        <v>7.6839348708139434</v>
      </c>
      <c r="J2163" s="19">
        <v>0.18990000000000001</v>
      </c>
      <c r="K2163" s="12">
        <v>0</v>
      </c>
      <c r="L2163" s="12">
        <f>-(F2163*G2163*$U$3)/J2163</f>
        <v>-34.819615049811389</v>
      </c>
      <c r="M2163" s="11">
        <f>ABS(L2163/$U$6)</f>
        <v>0.10151491268166586</v>
      </c>
      <c r="N2163" s="12">
        <f>L2163*SIN(RADIANS(K2163))</f>
        <v>0</v>
      </c>
      <c r="O2163" s="12">
        <f>L2163*COS(RADIANS(K2163))</f>
        <v>-34.819615049811389</v>
      </c>
      <c r="P2163" s="5">
        <v>2.3532275301716976</v>
      </c>
      <c r="Q2163" s="5">
        <v>0.24119454875912358</v>
      </c>
      <c r="R2163" s="6">
        <f>P2163/Q2163</f>
        <v>9.7565535468292079</v>
      </c>
    </row>
    <row r="2164" spans="1:18" x14ac:dyDescent="0.35">
      <c r="A2164" s="9">
        <v>2165</v>
      </c>
      <c r="B2164" s="5">
        <v>0.75</v>
      </c>
      <c r="C2164" s="5">
        <v>2000000</v>
      </c>
      <c r="D2164" s="5">
        <v>30</v>
      </c>
      <c r="E2164" s="5">
        <v>0</v>
      </c>
      <c r="F2164" s="5">
        <v>0</v>
      </c>
      <c r="G2164" s="12">
        <f>(C2164*$U$4)/($U$5*$U$3)</f>
        <v>29.387755102040813</v>
      </c>
      <c r="H2164" s="11">
        <f>G2164*COS(RADIANS(D2164))</f>
        <v>25.450542478563094</v>
      </c>
      <c r="I2164" s="11">
        <f>G2164*SIN(RADIANS(D2164))</f>
        <v>14.693877551020405</v>
      </c>
      <c r="J2164" s="11">
        <v>0.27929999999999999</v>
      </c>
      <c r="K2164" s="12">
        <v>0</v>
      </c>
      <c r="L2164" s="12">
        <f>-(F2164*G2164*$U$3)/J2164</f>
        <v>0</v>
      </c>
      <c r="M2164" s="11">
        <f>ABS(L2164/$U$6)</f>
        <v>0</v>
      </c>
      <c r="N2164" s="12">
        <f>L2164*SIN(RADIANS(K2164))</f>
        <v>0</v>
      </c>
      <c r="O2164" s="12">
        <f>L2164*COS(RADIANS(K2164))</f>
        <v>0</v>
      </c>
      <c r="P2164" s="5">
        <v>3.3632140640777997</v>
      </c>
      <c r="Q2164" s="5">
        <v>2.1131084417357759</v>
      </c>
      <c r="R2164" s="6">
        <f>P2164/Q2164</f>
        <v>1.5915955838570908</v>
      </c>
    </row>
    <row r="2165" spans="1:18" x14ac:dyDescent="0.35">
      <c r="A2165" s="9">
        <v>2166</v>
      </c>
      <c r="B2165" s="5">
        <v>0.5</v>
      </c>
      <c r="C2165" s="5">
        <v>4000000</v>
      </c>
      <c r="D2165" s="5">
        <v>30</v>
      </c>
      <c r="E2165" s="5">
        <v>0</v>
      </c>
      <c r="F2165" s="5">
        <v>0</v>
      </c>
      <c r="G2165" s="12">
        <f>(C2165*$U$4)/($U$5*$U$3)</f>
        <v>58.775510204081627</v>
      </c>
      <c r="H2165" s="11">
        <f>G2165*COS(RADIANS(D2165))</f>
        <v>50.901084957126187</v>
      </c>
      <c r="I2165" s="11">
        <f>G2165*SIN(RADIANS(D2165))</f>
        <v>29.38775510204081</v>
      </c>
      <c r="J2165" s="12">
        <v>0.23230000000000001</v>
      </c>
      <c r="K2165" s="12">
        <v>0</v>
      </c>
      <c r="L2165" s="12">
        <f>-(F2165*G2165*$U$3)/J2165</f>
        <v>0</v>
      </c>
      <c r="M2165" s="11">
        <f>ABS(L2165/$U$6)</f>
        <v>0</v>
      </c>
      <c r="N2165" s="12">
        <f>L2165*SIN(RADIANS(K2165))</f>
        <v>0</v>
      </c>
      <c r="O2165" s="12">
        <f>L2165*COS(RADIANS(K2165))</f>
        <v>0</v>
      </c>
      <c r="P2165" s="5">
        <v>2.9245346565090644</v>
      </c>
      <c r="Q2165" s="5">
        <v>1.4913953989864215</v>
      </c>
      <c r="R2165" s="6">
        <f>P2165/Q2165</f>
        <v>1.9609384999421546</v>
      </c>
    </row>
    <row r="2166" spans="1:18" x14ac:dyDescent="0.35">
      <c r="A2166" s="9">
        <v>2167</v>
      </c>
      <c r="B2166" s="5">
        <v>1</v>
      </c>
      <c r="C2166" s="5">
        <v>2000000</v>
      </c>
      <c r="D2166" s="5">
        <v>15</v>
      </c>
      <c r="E2166" s="5">
        <v>0.25</v>
      </c>
      <c r="F2166" s="5">
        <v>0.05</v>
      </c>
      <c r="G2166" s="12">
        <f>(C2166*$U$4)/($U$5*$U$3)</f>
        <v>29.387755102040813</v>
      </c>
      <c r="H2166" s="11">
        <f>G2166*COS(RADIANS(D2166))</f>
        <v>28.386391629719554</v>
      </c>
      <c r="I2166" s="11">
        <f>G2166*SIN(RADIANS(D2166))</f>
        <v>7.6061107132169354</v>
      </c>
      <c r="J2166" s="13">
        <v>0.33379999999999999</v>
      </c>
      <c r="K2166" s="12">
        <v>30</v>
      </c>
      <c r="L2166" s="12">
        <f>-(F2166*G2166*$U$3)/J2166</f>
        <v>-4.4020004646556048</v>
      </c>
      <c r="M2166" s="11">
        <f>ABS(L2166/$U$6)</f>
        <v>1.283382059666357E-2</v>
      </c>
      <c r="N2166" s="12">
        <f>L2166*SIN(RADIANS(K2166))</f>
        <v>-2.201000232327802</v>
      </c>
      <c r="O2166" s="12">
        <f>L2166*COS(RADIANS(K2166))</f>
        <v>-3.8122442298626571</v>
      </c>
      <c r="P2166" s="5">
        <v>3.7054230430007133</v>
      </c>
      <c r="Q2166" s="5">
        <v>1.0190942306299973</v>
      </c>
      <c r="R2166" s="6">
        <f>P2166/Q2166</f>
        <v>3.6359964874985558</v>
      </c>
    </row>
    <row r="2167" spans="1:18" x14ac:dyDescent="0.35">
      <c r="A2167" s="9">
        <v>2168</v>
      </c>
      <c r="B2167" s="5">
        <v>0.1</v>
      </c>
      <c r="C2167" s="5">
        <v>6000000</v>
      </c>
      <c r="D2167" s="5">
        <v>15</v>
      </c>
      <c r="E2167" s="5">
        <v>0.125</v>
      </c>
      <c r="F2167" s="5">
        <v>2.5000000000000001E-2</v>
      </c>
      <c r="G2167" s="12">
        <f>(C2167*$U$4)/($U$5*$U$3)</f>
        <v>88.16326530612244</v>
      </c>
      <c r="H2167" s="11">
        <f>G2167*COS(RADIANS(D2167))</f>
        <v>85.159174889158663</v>
      </c>
      <c r="I2167" s="11">
        <f>G2167*SIN(RADIANS(D2167))</f>
        <v>22.818332139650806</v>
      </c>
      <c r="J2167" s="12">
        <v>0.1658</v>
      </c>
      <c r="K2167" s="12">
        <v>69</v>
      </c>
      <c r="L2167" s="12">
        <f>-(F2167*G2167*$U$3)/J2167</f>
        <v>-13.293616602250067</v>
      </c>
      <c r="M2167" s="11">
        <f>ABS(L2167/$U$6)</f>
        <v>3.8756899715014774E-2</v>
      </c>
      <c r="N2167" s="12">
        <f>L2167*SIN(RADIANS(K2167))</f>
        <v>-12.410660257218899</v>
      </c>
      <c r="O2167" s="12">
        <f>L2167*COS(RADIANS(K2167))</f>
        <v>-4.7640061237897191</v>
      </c>
      <c r="P2167" s="5">
        <v>1.4253542995001702</v>
      </c>
      <c r="Q2167" s="5">
        <v>0.57509028142555985</v>
      </c>
      <c r="R2167" s="6">
        <f>P2167/Q2167</f>
        <v>2.4784878923130771</v>
      </c>
    </row>
    <row r="2168" spans="1:18" x14ac:dyDescent="0.35">
      <c r="A2168" s="9">
        <v>2169</v>
      </c>
      <c r="B2168" s="5">
        <v>0.25</v>
      </c>
      <c r="C2168" s="5">
        <v>2000000</v>
      </c>
      <c r="D2168" s="5">
        <v>20</v>
      </c>
      <c r="E2168" s="5">
        <v>0.375</v>
      </c>
      <c r="F2168" s="5">
        <v>0</v>
      </c>
      <c r="G2168" s="12">
        <f>(C2168*$U$4)/($U$5*$U$3)</f>
        <v>29.387755102040813</v>
      </c>
      <c r="H2168" s="11">
        <f>G2168*COS(RADIANS(D2168))</f>
        <v>27.615456610851183</v>
      </c>
      <c r="I2168" s="11">
        <f>G2168*SIN(RADIANS(D2168))</f>
        <v>10.051204212019652</v>
      </c>
      <c r="J2168" s="11">
        <v>0.1976</v>
      </c>
      <c r="K2168" s="12">
        <v>78</v>
      </c>
      <c r="L2168" s="12">
        <f>-(F2168*G2168*$U$3)/J2168</f>
        <v>0</v>
      </c>
      <c r="M2168" s="11">
        <f>ABS(L2168/$U$6)</f>
        <v>0</v>
      </c>
      <c r="N2168" s="12">
        <f>L2168*SIN(RADIANS(K2168))</f>
        <v>0</v>
      </c>
      <c r="O2168" s="12">
        <f>L2168*COS(RADIANS(K2168))</f>
        <v>0</v>
      </c>
      <c r="P2168" s="5">
        <v>2.7997299548133703</v>
      </c>
      <c r="Q2168" s="5">
        <v>1.0110367993698466</v>
      </c>
      <c r="R2168" s="6">
        <f>P2168/Q2168</f>
        <v>2.7691672118743558</v>
      </c>
    </row>
    <row r="2169" spans="1:18" x14ac:dyDescent="0.35">
      <c r="A2169" s="9">
        <v>2170</v>
      </c>
      <c r="B2169" s="5">
        <v>1</v>
      </c>
      <c r="C2169" s="5">
        <v>6000000</v>
      </c>
      <c r="D2169" s="5">
        <v>15</v>
      </c>
      <c r="E2169" s="5">
        <v>0</v>
      </c>
      <c r="F2169" s="5">
        <v>3.5000000000000003E-2</v>
      </c>
      <c r="G2169" s="12">
        <f>(C2169*$U$4)/($U$5*$U$3)</f>
        <v>88.16326530612244</v>
      </c>
      <c r="H2169" s="11">
        <f>G2169*COS(RADIANS(D2169))</f>
        <v>85.159174889158663</v>
      </c>
      <c r="I2169" s="11">
        <f>G2169*SIN(RADIANS(D2169))</f>
        <v>22.818332139650806</v>
      </c>
      <c r="J2169" s="11">
        <v>0.33379999999999999</v>
      </c>
      <c r="K2169" s="12">
        <v>0</v>
      </c>
      <c r="L2169" s="12">
        <f>-(F2169*G2169*$U$3)/J2169</f>
        <v>-9.2442009757767707</v>
      </c>
      <c r="M2169" s="11">
        <f>ABS(L2169/$U$6)</f>
        <v>2.6951023252993502E-2</v>
      </c>
      <c r="N2169" s="12">
        <f>L2169*SIN(RADIANS(K2169))</f>
        <v>0</v>
      </c>
      <c r="O2169" s="12">
        <f>L2169*COS(RADIANS(K2169))</f>
        <v>-9.2442009757767707</v>
      </c>
      <c r="P2169" s="5">
        <v>0.43688513477240665</v>
      </c>
      <c r="Q2169" s="5">
        <v>2.2008124905696822</v>
      </c>
      <c r="R2169" s="6">
        <f>P2169/Q2169</f>
        <v>0.19851083935793121</v>
      </c>
    </row>
    <row r="2170" spans="1:18" x14ac:dyDescent="0.35">
      <c r="A2170" s="9">
        <v>2171</v>
      </c>
      <c r="B2170" s="5">
        <v>0.5</v>
      </c>
      <c r="C2170" s="5">
        <v>6000000</v>
      </c>
      <c r="D2170" s="5">
        <v>0</v>
      </c>
      <c r="E2170" s="5">
        <v>0.375</v>
      </c>
      <c r="F2170" s="5">
        <v>2.5000000000000001E-2</v>
      </c>
      <c r="G2170" s="12">
        <f>(C2170*$U$4)/($U$5*$U$3)</f>
        <v>88.16326530612244</v>
      </c>
      <c r="H2170" s="11">
        <f>G2170*COS(RADIANS(D2170))</f>
        <v>88.16326530612244</v>
      </c>
      <c r="I2170" s="11">
        <f>G2170*SIN(RADIANS(D2170))</f>
        <v>0</v>
      </c>
      <c r="J2170" s="12">
        <v>0.24809999999999999</v>
      </c>
      <c r="K2170" s="12">
        <v>67</v>
      </c>
      <c r="L2170" s="12">
        <f>-(F2170*G2170*$U$3)/J2170</f>
        <v>-8.8838437430594972</v>
      </c>
      <c r="M2170" s="11">
        <f>ABS(L2170/$U$6)</f>
        <v>2.590041907597521E-2</v>
      </c>
      <c r="N2170" s="12">
        <f>L2170*SIN(RADIANS(K2170))</f>
        <v>-8.1776212827993611</v>
      </c>
      <c r="O2170" s="12">
        <f>L2170*COS(RADIANS(K2170))</f>
        <v>-3.4711942910480107</v>
      </c>
      <c r="P2170" s="5">
        <v>2.8599591039221766</v>
      </c>
      <c r="Q2170" s="5">
        <v>-8.5396945268678956E-2</v>
      </c>
      <c r="R2170" s="6">
        <f>P2170/Q2170</f>
        <v>-33.49018041481542</v>
      </c>
    </row>
    <row r="2171" spans="1:18" x14ac:dyDescent="0.35">
      <c r="A2171" s="9">
        <v>2172</v>
      </c>
      <c r="B2171" s="5">
        <v>0.1</v>
      </c>
      <c r="C2171" s="5">
        <v>2000000</v>
      </c>
      <c r="D2171" s="5">
        <v>0</v>
      </c>
      <c r="E2171" s="5">
        <v>0</v>
      </c>
      <c r="F2171" s="5">
        <v>0.15</v>
      </c>
      <c r="G2171" s="12">
        <f>(C2171*$U$4)/($U$5*$U$3)</f>
        <v>29.387755102040813</v>
      </c>
      <c r="H2171" s="11">
        <f>G2171*COS(RADIANS(D2171))</f>
        <v>29.387755102040813</v>
      </c>
      <c r="I2171" s="11">
        <f>G2171*SIN(RADIANS(D2171))</f>
        <v>0</v>
      </c>
      <c r="J2171" s="11">
        <v>0.16569999999999999</v>
      </c>
      <c r="K2171" s="12">
        <v>0</v>
      </c>
      <c r="L2171" s="12">
        <f>-(F2171*G2171*$U$3)/J2171</f>
        <v>-26.603278607761752</v>
      </c>
      <c r="M2171" s="11">
        <f>ABS(L2171/$U$6)</f>
        <v>7.7560579031375365E-2</v>
      </c>
      <c r="N2171" s="12">
        <f>L2171*SIN(RADIANS(K2171))</f>
        <v>0</v>
      </c>
      <c r="O2171" s="12">
        <f>L2171*COS(RADIANS(K2171))</f>
        <v>-26.603278607761752</v>
      </c>
      <c r="P2171" s="5">
        <v>1.4383710479095473</v>
      </c>
      <c r="Q2171" s="5">
        <v>0.14906933968090033</v>
      </c>
      <c r="R2171" s="6">
        <f>P2171/Q2171</f>
        <v>9.6490066367003582</v>
      </c>
    </row>
    <row r="2172" spans="1:18" x14ac:dyDescent="0.35">
      <c r="A2172" s="9">
        <v>2173</v>
      </c>
      <c r="B2172" s="5">
        <v>0.5</v>
      </c>
      <c r="C2172" s="5">
        <v>2000000</v>
      </c>
      <c r="D2172" s="5">
        <v>0</v>
      </c>
      <c r="E2172" s="5">
        <v>0.25</v>
      </c>
      <c r="F2172" s="5">
        <v>0</v>
      </c>
      <c r="G2172" s="12">
        <f>(C2172*$U$4)/($U$5*$U$3)</f>
        <v>29.387755102040813</v>
      </c>
      <c r="H2172" s="11">
        <f>G2172*COS(RADIANS(D2172))</f>
        <v>29.387755102040813</v>
      </c>
      <c r="I2172" s="11">
        <f>G2172*SIN(RADIANS(D2172))</f>
        <v>0</v>
      </c>
      <c r="J2172" s="11">
        <v>0.23580000000000001</v>
      </c>
      <c r="K2172" s="11">
        <v>49</v>
      </c>
      <c r="L2172" s="12">
        <f>-(F2172*G2172*$U$3)/J2172</f>
        <v>0</v>
      </c>
      <c r="M2172" s="11">
        <f>ABS(L2172/$U$6)</f>
        <v>0</v>
      </c>
      <c r="N2172" s="12">
        <f>L2172*SIN(RADIANS(K2172))</f>
        <v>0</v>
      </c>
      <c r="O2172" s="12">
        <f>L2172*COS(RADIANS(K2172))</f>
        <v>0</v>
      </c>
      <c r="P2172" s="5">
        <v>4.3341630125202233</v>
      </c>
      <c r="Q2172" s="5">
        <v>0.31549451175961934</v>
      </c>
      <c r="R2172" s="6">
        <f>P2172/Q2172</f>
        <v>13.737681167089512</v>
      </c>
    </row>
    <row r="2173" spans="1:18" x14ac:dyDescent="0.35">
      <c r="A2173" s="9">
        <v>2174</v>
      </c>
      <c r="B2173" s="5">
        <v>0.25</v>
      </c>
      <c r="C2173" s="5">
        <v>4000000</v>
      </c>
      <c r="D2173" s="5">
        <v>5</v>
      </c>
      <c r="E2173" s="5">
        <v>0</v>
      </c>
      <c r="F2173" s="5">
        <v>3.5000000000000003E-2</v>
      </c>
      <c r="G2173" s="12">
        <f>(C2173*$U$4)/($U$5*$U$3)</f>
        <v>58.775510204081627</v>
      </c>
      <c r="H2173" s="11">
        <f>G2173*COS(RADIANS(D2173))</f>
        <v>58.551851642943404</v>
      </c>
      <c r="I2173" s="11">
        <f>G2173*SIN(RADIANS(D2173))</f>
        <v>5.1226232472092956</v>
      </c>
      <c r="J2173" s="12">
        <v>0.18990000000000001</v>
      </c>
      <c r="K2173" s="12">
        <v>0</v>
      </c>
      <c r="L2173" s="12">
        <f>-(F2173*G2173*$U$3)/J2173</f>
        <v>-10.832769126607987</v>
      </c>
      <c r="M2173" s="11">
        <f>ABS(L2173/$U$6)</f>
        <v>3.1582417278740491E-2</v>
      </c>
      <c r="N2173" s="12">
        <f>L2173*SIN(RADIANS(K2173))</f>
        <v>0</v>
      </c>
      <c r="O2173" s="12">
        <f>L2173*COS(RADIANS(K2173))</f>
        <v>-10.832769126607987</v>
      </c>
      <c r="P2173" s="5">
        <v>2.113511768015838</v>
      </c>
      <c r="Q2173" s="5">
        <v>0.30552238837740459</v>
      </c>
      <c r="R2173" s="6">
        <f>P2173/Q2173</f>
        <v>6.9176985007235112</v>
      </c>
    </row>
    <row r="2174" spans="1:18" x14ac:dyDescent="0.35">
      <c r="A2174" s="9">
        <v>2175</v>
      </c>
      <c r="B2174" s="5">
        <v>0.5</v>
      </c>
      <c r="C2174" s="5">
        <v>6000000</v>
      </c>
      <c r="D2174" s="5">
        <v>15</v>
      </c>
      <c r="E2174" s="5">
        <v>0</v>
      </c>
      <c r="F2174" s="5">
        <v>3.5000000000000003E-2</v>
      </c>
      <c r="G2174" s="12">
        <f>(C2174*$U$4)/($U$5*$U$3)</f>
        <v>88.16326530612244</v>
      </c>
      <c r="H2174" s="11">
        <f>G2174*COS(RADIANS(D2174))</f>
        <v>85.159174889158663</v>
      </c>
      <c r="I2174" s="11">
        <f>G2174*SIN(RADIANS(D2174))</f>
        <v>22.818332139650806</v>
      </c>
      <c r="J2174" s="12">
        <v>0.23230000000000001</v>
      </c>
      <c r="K2174" s="12">
        <v>0</v>
      </c>
      <c r="L2174" s="12">
        <f>-(F2174*G2174*$U$3)/J2174</f>
        <v>-13.283315909230675</v>
      </c>
      <c r="M2174" s="11">
        <f>ABS(L2174/$U$6)</f>
        <v>3.8726868540031122E-2</v>
      </c>
      <c r="N2174" s="12">
        <f>L2174*SIN(RADIANS(K2174))</f>
        <v>0</v>
      </c>
      <c r="O2174" s="12">
        <f>L2174*COS(RADIANS(K2174))</f>
        <v>-13.283315909230675</v>
      </c>
      <c r="P2174" s="5">
        <v>3.1589682161310715</v>
      </c>
      <c r="Q2174" s="5">
        <v>0.81207822597821966</v>
      </c>
      <c r="R2174" s="6">
        <f>P2174/Q2174</f>
        <v>3.8899801953510282</v>
      </c>
    </row>
    <row r="2175" spans="1:18" x14ac:dyDescent="0.35">
      <c r="A2175" s="9">
        <v>2176</v>
      </c>
      <c r="B2175" s="5">
        <v>0.75</v>
      </c>
      <c r="C2175" s="5">
        <v>4000000</v>
      </c>
      <c r="D2175" s="5">
        <v>15</v>
      </c>
      <c r="E2175" s="5">
        <v>0.375</v>
      </c>
      <c r="F2175" s="5">
        <v>7.4999999999999997E-2</v>
      </c>
      <c r="G2175" s="12">
        <f>(C2175*$U$4)/($U$5*$U$3)</f>
        <v>58.775510204081627</v>
      </c>
      <c r="H2175" s="11">
        <f>G2175*COS(RADIANS(D2175))</f>
        <v>56.772783259439109</v>
      </c>
      <c r="I2175" s="11">
        <f>G2175*SIN(RADIANS(D2175))</f>
        <v>15.212221426433871</v>
      </c>
      <c r="J2175" s="11">
        <v>0.29299999999999998</v>
      </c>
      <c r="K2175" s="12">
        <v>57</v>
      </c>
      <c r="L2175" s="12">
        <f>-(F2175*G2175*$U$3)/J2175</f>
        <v>-15.044925820157413</v>
      </c>
      <c r="M2175" s="11">
        <f>ABS(L2175/$U$6)</f>
        <v>4.3862757493170298E-2</v>
      </c>
      <c r="N2175" s="12">
        <f>L2175*SIN(RADIANS(K2175))</f>
        <v>-12.617736482288192</v>
      </c>
      <c r="O2175" s="12">
        <f>L2175*COS(RADIANS(K2175))</f>
        <v>-8.1940538805631977</v>
      </c>
      <c r="P2175" s="5">
        <v>5.1294158754039954</v>
      </c>
      <c r="Q2175" s="5">
        <v>0.31608812320888824</v>
      </c>
      <c r="R2175" s="6">
        <f>P2175/Q2175</f>
        <v>16.227803257303023</v>
      </c>
    </row>
    <row r="2176" spans="1:18" x14ac:dyDescent="0.35">
      <c r="A2176" s="9">
        <v>2177</v>
      </c>
      <c r="B2176" s="5">
        <v>0.1</v>
      </c>
      <c r="C2176" s="5">
        <v>2000000</v>
      </c>
      <c r="D2176" s="5">
        <v>0</v>
      </c>
      <c r="E2176" s="5">
        <v>0.125</v>
      </c>
      <c r="F2176" s="5">
        <v>0.1</v>
      </c>
      <c r="G2176" s="12">
        <f>(C2176*$U$4)/($U$5*$U$3)</f>
        <v>29.387755102040813</v>
      </c>
      <c r="H2176" s="11">
        <f>G2176*COS(RADIANS(D2176))</f>
        <v>29.387755102040813</v>
      </c>
      <c r="I2176" s="11">
        <f>G2176*SIN(RADIANS(D2176))</f>
        <v>0</v>
      </c>
      <c r="J2176" s="12">
        <v>0.1658</v>
      </c>
      <c r="K2176" s="12">
        <v>69</v>
      </c>
      <c r="L2176" s="12">
        <f>-(F2176*G2176*$U$3)/J2176</f>
        <v>-17.724822136333422</v>
      </c>
      <c r="M2176" s="11">
        <f>ABS(L2176/$U$6)</f>
        <v>5.1675866286686363E-2</v>
      </c>
      <c r="N2176" s="12">
        <f>L2176*SIN(RADIANS(K2176))</f>
        <v>-16.547547009625198</v>
      </c>
      <c r="O2176" s="12">
        <f>L2176*COS(RADIANS(K2176))</f>
        <v>-6.3520081650529594</v>
      </c>
      <c r="P2176" s="5">
        <v>1.3781119927701657</v>
      </c>
      <c r="Q2176" s="5">
        <v>0.2285218856839768</v>
      </c>
      <c r="R2176" s="6">
        <f>P2176/Q2176</f>
        <v>6.0305470902509466</v>
      </c>
    </row>
    <row r="2177" spans="1:18" x14ac:dyDescent="0.35">
      <c r="A2177" s="9">
        <v>1839</v>
      </c>
      <c r="B2177" s="5">
        <v>0.25</v>
      </c>
      <c r="C2177" s="5">
        <v>6000000</v>
      </c>
      <c r="D2177" s="5">
        <v>20</v>
      </c>
      <c r="E2177" s="5">
        <v>0</v>
      </c>
      <c r="F2177" s="5">
        <v>7.4999999999999997E-2</v>
      </c>
      <c r="G2177" s="12">
        <f>(C2177*$U$4)/($U$5*$U$3)</f>
        <v>88.16326530612244</v>
      </c>
      <c r="H2177" s="11">
        <f>G2177*COS(RADIANS(D2177))</f>
        <v>82.846369832553549</v>
      </c>
      <c r="I2177" s="11">
        <f>G2177*SIN(RADIANS(D2177))</f>
        <v>30.153612636058952</v>
      </c>
      <c r="J2177" s="12">
        <v>0.18990000000000001</v>
      </c>
      <c r="K2177" s="19">
        <v>0</v>
      </c>
      <c r="L2177" s="12">
        <f>-(F2177*G2177*$U$3)/J2177</f>
        <v>-34.819615049811389</v>
      </c>
      <c r="M2177" s="11">
        <f>ABS(L2177/$U$6)</f>
        <v>0.10151491268166586</v>
      </c>
      <c r="N2177" s="12">
        <f>L2177*SIN(RADIANS(K2177))</f>
        <v>0</v>
      </c>
      <c r="O2177" s="12">
        <f>L2177*COS(RADIANS(K2177))</f>
        <v>-34.819615049811389</v>
      </c>
      <c r="P2177" s="5">
        <v>2.4872573093257917</v>
      </c>
      <c r="Q2177" s="5">
        <v>0.64519136544907563</v>
      </c>
      <c r="R2177" s="6">
        <f>P2177/Q2177</f>
        <v>3.8550691198332672</v>
      </c>
    </row>
    <row r="2178" spans="1:18" x14ac:dyDescent="0.35">
      <c r="A2178" s="9">
        <v>2179</v>
      </c>
      <c r="B2178" s="5">
        <v>0.25</v>
      </c>
      <c r="C2178" s="5">
        <v>6000000</v>
      </c>
      <c r="D2178" s="5">
        <v>5</v>
      </c>
      <c r="E2178" s="5">
        <v>0.125</v>
      </c>
      <c r="F2178" s="5">
        <v>0</v>
      </c>
      <c r="G2178" s="12">
        <f>(C2178*$U$4)/($U$5*$U$3)</f>
        <v>88.16326530612244</v>
      </c>
      <c r="H2178" s="11">
        <f>G2178*COS(RADIANS(D2178))</f>
        <v>87.827777464415107</v>
      </c>
      <c r="I2178" s="11">
        <f>G2178*SIN(RADIANS(D2178))</f>
        <v>7.6839348708139434</v>
      </c>
      <c r="J2178" s="11">
        <v>0.19020000000000001</v>
      </c>
      <c r="K2178" s="12">
        <v>46</v>
      </c>
      <c r="L2178" s="12">
        <f>-(F2178*G2178*$U$3)/J2178</f>
        <v>0</v>
      </c>
      <c r="M2178" s="11">
        <f>ABS(L2178/$U$6)</f>
        <v>0</v>
      </c>
      <c r="N2178" s="12">
        <f>L2178*SIN(RADIANS(K2178))</f>
        <v>0</v>
      </c>
      <c r="O2178" s="12">
        <f>L2178*COS(RADIANS(K2178))</f>
        <v>0</v>
      </c>
      <c r="P2178" s="5">
        <v>2.3386428142924345</v>
      </c>
      <c r="Q2178" s="5">
        <v>0.39909572988842162</v>
      </c>
      <c r="R2178" s="6">
        <f>P2178/Q2178</f>
        <v>5.8598542634025863</v>
      </c>
    </row>
    <row r="2179" spans="1:18" x14ac:dyDescent="0.35">
      <c r="A2179" s="9">
        <v>2180</v>
      </c>
      <c r="B2179" s="5">
        <v>0.75</v>
      </c>
      <c r="C2179" s="5">
        <v>4000000</v>
      </c>
      <c r="D2179" s="5">
        <v>15</v>
      </c>
      <c r="E2179" s="5">
        <v>0</v>
      </c>
      <c r="F2179" s="5">
        <v>0.1</v>
      </c>
      <c r="G2179" s="12">
        <f>(C2179*$U$4)/($U$5*$U$3)</f>
        <v>58.775510204081627</v>
      </c>
      <c r="H2179" s="11">
        <f>G2179*COS(RADIANS(D2179))</f>
        <v>56.772783259439109</v>
      </c>
      <c r="I2179" s="11">
        <f>G2179*SIN(RADIANS(D2179))</f>
        <v>15.212221426433871</v>
      </c>
      <c r="J2179" s="11">
        <v>0.27929999999999999</v>
      </c>
      <c r="K2179" s="12">
        <v>0</v>
      </c>
      <c r="L2179" s="12">
        <f>-(F2179*G2179*$U$3)/J2179</f>
        <v>-21.043863302571296</v>
      </c>
      <c r="M2179" s="11">
        <f>ABS(L2179/$U$6)</f>
        <v>6.135237114452273E-2</v>
      </c>
      <c r="N2179" s="12">
        <f>L2179*SIN(RADIANS(K2179))</f>
        <v>0</v>
      </c>
      <c r="O2179" s="12">
        <f>L2179*COS(RADIANS(K2179))</f>
        <v>-21.043863302571296</v>
      </c>
      <c r="P2179" s="5">
        <v>3.0160333938602237</v>
      </c>
      <c r="Q2179" s="5">
        <v>0.91014222450718929</v>
      </c>
      <c r="R2179" s="6">
        <f>P2179/Q2179</f>
        <v>3.3138044941199185</v>
      </c>
    </row>
    <row r="2180" spans="1:18" x14ac:dyDescent="0.35">
      <c r="A2180" s="9">
        <v>2181</v>
      </c>
      <c r="B2180" s="5">
        <v>1</v>
      </c>
      <c r="C2180" s="5">
        <v>4000000</v>
      </c>
      <c r="D2180" s="5">
        <v>30</v>
      </c>
      <c r="E2180" s="5">
        <v>0.25</v>
      </c>
      <c r="F2180" s="5">
        <v>1.4999999999999999E-2</v>
      </c>
      <c r="G2180" s="12">
        <f>(C2180*$U$4)/($U$5*$U$3)</f>
        <v>58.775510204081627</v>
      </c>
      <c r="H2180" s="11">
        <f>G2180*COS(RADIANS(D2180))</f>
        <v>50.901084957126187</v>
      </c>
      <c r="I2180" s="11">
        <f>G2180*SIN(RADIANS(D2180))</f>
        <v>29.38775510204081</v>
      </c>
      <c r="J2180" s="13">
        <v>0.33379999999999999</v>
      </c>
      <c r="K2180" s="12">
        <v>30</v>
      </c>
      <c r="L2180" s="12">
        <f>-(F2180*G2180*$U$3)/J2180</f>
        <v>-2.6412002787933626</v>
      </c>
      <c r="M2180" s="11">
        <f>ABS(L2180/$U$6)</f>
        <v>7.7002923579981416E-3</v>
      </c>
      <c r="N2180" s="12">
        <f>L2180*SIN(RADIANS(K2180))</f>
        <v>-1.3206001393966811</v>
      </c>
      <c r="O2180" s="12">
        <f>L2180*COS(RADIANS(K2180))</f>
        <v>-2.2873465379175939</v>
      </c>
      <c r="P2180" s="5">
        <v>3.2209207887519802</v>
      </c>
      <c r="Q2180" s="5">
        <v>1.7239307922683265</v>
      </c>
      <c r="R2180" s="6">
        <f>P2180/Q2180</f>
        <v>1.8683585229740767</v>
      </c>
    </row>
    <row r="2181" spans="1:18" x14ac:dyDescent="0.35">
      <c r="A2181" s="9">
        <v>2182</v>
      </c>
      <c r="B2181" s="5">
        <v>0.75</v>
      </c>
      <c r="C2181" s="5">
        <v>6000000</v>
      </c>
      <c r="D2181" s="5">
        <v>0</v>
      </c>
      <c r="E2181" s="5">
        <v>0.125</v>
      </c>
      <c r="F2181" s="5">
        <v>0.1</v>
      </c>
      <c r="G2181" s="12">
        <f>(C2181*$U$4)/($U$5*$U$3)</f>
        <v>88.16326530612244</v>
      </c>
      <c r="H2181" s="11">
        <f>G2181*COS(RADIANS(D2181))</f>
        <v>88.16326530612244</v>
      </c>
      <c r="I2181" s="11">
        <f>G2181*SIN(RADIANS(D2181))</f>
        <v>0</v>
      </c>
      <c r="J2181" s="12">
        <v>0.2802</v>
      </c>
      <c r="K2181" s="12">
        <v>19</v>
      </c>
      <c r="L2181" s="12">
        <f>-(F2181*G2181*$U$3)/J2181</f>
        <v>-31.464405890835987</v>
      </c>
      <c r="M2181" s="11">
        <f>ABS(L2181/$U$6)</f>
        <v>9.1732961780862932E-2</v>
      </c>
      <c r="N2181" s="12">
        <f>L2181*SIN(RADIANS(K2181))</f>
        <v>-10.243808556970363</v>
      </c>
      <c r="O2181" s="12">
        <f>L2181*COS(RADIANS(K2181))</f>
        <v>-29.750180239981997</v>
      </c>
      <c r="P2181" s="5">
        <v>3.6643624347852248</v>
      </c>
      <c r="Q2181" s="5">
        <v>0.19351172352519924</v>
      </c>
      <c r="R2181" s="6">
        <f>P2181/Q2181</f>
        <v>18.936126287501381</v>
      </c>
    </row>
    <row r="2182" spans="1:18" x14ac:dyDescent="0.35">
      <c r="A2182" s="9">
        <v>2183</v>
      </c>
      <c r="B2182" s="5">
        <v>0.5</v>
      </c>
      <c r="C2182" s="5">
        <v>4000000</v>
      </c>
      <c r="D2182" s="5">
        <v>20</v>
      </c>
      <c r="E2182" s="5">
        <v>0</v>
      </c>
      <c r="F2182" s="5">
        <v>1.4999999999999999E-2</v>
      </c>
      <c r="G2182" s="12">
        <f>(C2182*$U$4)/($U$5*$U$3)</f>
        <v>58.775510204081627</v>
      </c>
      <c r="H2182" s="11">
        <f>G2182*COS(RADIANS(D2182))</f>
        <v>55.230913221702366</v>
      </c>
      <c r="I2182" s="11">
        <f>G2182*SIN(RADIANS(D2182))</f>
        <v>20.102408424039304</v>
      </c>
      <c r="J2182" s="12">
        <v>0.23230000000000001</v>
      </c>
      <c r="K2182" s="12">
        <v>0</v>
      </c>
      <c r="L2182" s="12">
        <f>-(F2182*G2182*$U$3)/J2182</f>
        <v>-3.7952331169230495</v>
      </c>
      <c r="M2182" s="11">
        <f>ABS(L2182/$U$6)</f>
        <v>1.1064819582866033E-2</v>
      </c>
      <c r="N2182" s="12">
        <f>L2182*SIN(RADIANS(K2182))</f>
        <v>0</v>
      </c>
      <c r="O2182" s="12">
        <f>L2182*COS(RADIANS(K2182))</f>
        <v>-3.7952331169230495</v>
      </c>
      <c r="P2182" s="5">
        <v>2.5535976730978995</v>
      </c>
      <c r="Q2182" s="5">
        <v>0.99923164071068116</v>
      </c>
      <c r="R2182" s="6">
        <f>P2182/Q2182</f>
        <v>2.5555612623332369</v>
      </c>
    </row>
    <row r="2183" spans="1:18" x14ac:dyDescent="0.35">
      <c r="A2183" s="9">
        <v>2184</v>
      </c>
      <c r="B2183" s="5">
        <v>0.5</v>
      </c>
      <c r="C2183" s="5">
        <v>6000000</v>
      </c>
      <c r="D2183" s="5">
        <v>0</v>
      </c>
      <c r="E2183" s="5">
        <v>0.25</v>
      </c>
      <c r="F2183" s="5">
        <v>1.4999999999999999E-2</v>
      </c>
      <c r="G2183" s="12">
        <f>(C2183*$U$4)/($U$5*$U$3)</f>
        <v>88.16326530612244</v>
      </c>
      <c r="H2183" s="11">
        <f>G2183*COS(RADIANS(D2183))</f>
        <v>88.16326530612244</v>
      </c>
      <c r="I2183" s="11">
        <f>G2183*SIN(RADIANS(D2183))</f>
        <v>0</v>
      </c>
      <c r="J2183" s="11">
        <v>0.23580000000000001</v>
      </c>
      <c r="K2183" s="11">
        <v>49</v>
      </c>
      <c r="L2183" s="12">
        <f>-(F2183*G2183*$U$3)/J2183</f>
        <v>-5.608350210313132</v>
      </c>
      <c r="M2183" s="11">
        <f>ABS(L2183/$U$6)</f>
        <v>1.6350875248726332E-2</v>
      </c>
      <c r="N2183" s="12">
        <f>L2183*SIN(RADIANS(K2183))</f>
        <v>-4.2326756329677186</v>
      </c>
      <c r="O2183" s="12">
        <f>L2183*COS(RADIANS(K2183))</f>
        <v>-3.6794087932167407</v>
      </c>
      <c r="P2183" s="5">
        <v>3.6169904432847124</v>
      </c>
      <c r="Q2183" s="5">
        <v>3.7694570614554752E-3</v>
      </c>
      <c r="R2183" s="6">
        <f>P2183/Q2183</f>
        <v>959.55210108909114</v>
      </c>
    </row>
    <row r="2184" spans="1:18" x14ac:dyDescent="0.35">
      <c r="A2184" s="9">
        <v>2185</v>
      </c>
      <c r="B2184" s="5">
        <v>0.5</v>
      </c>
      <c r="C2184" s="5">
        <v>4000000</v>
      </c>
      <c r="D2184" s="5">
        <v>30</v>
      </c>
      <c r="E2184" s="5">
        <v>0.25</v>
      </c>
      <c r="F2184" s="5">
        <v>0</v>
      </c>
      <c r="G2184" s="12">
        <f>(C2184*$U$4)/($U$5*$U$3)</f>
        <v>58.775510204081627</v>
      </c>
      <c r="H2184" s="11">
        <f>G2184*COS(RADIANS(D2184))</f>
        <v>50.901084957126187</v>
      </c>
      <c r="I2184" s="11">
        <f>G2184*SIN(RADIANS(D2184))</f>
        <v>29.38775510204081</v>
      </c>
      <c r="J2184" s="11">
        <v>0.23580000000000001</v>
      </c>
      <c r="K2184" s="11">
        <v>49</v>
      </c>
      <c r="L2184" s="12">
        <f>-(F2184*G2184*$U$3)/J2184</f>
        <v>0</v>
      </c>
      <c r="M2184" s="11">
        <f>ABS(L2184/$U$6)</f>
        <v>0</v>
      </c>
      <c r="N2184" s="12">
        <f>L2184*SIN(RADIANS(K2184))</f>
        <v>0</v>
      </c>
      <c r="O2184" s="12">
        <f>L2184*COS(RADIANS(K2184))</f>
        <v>0</v>
      </c>
      <c r="P2184" s="5">
        <v>3.4171901015370389</v>
      </c>
      <c r="Q2184" s="5">
        <v>1.7092114387999615</v>
      </c>
      <c r="R2184" s="6">
        <f>P2184/Q2184</f>
        <v>1.9992787457216237</v>
      </c>
    </row>
    <row r="2185" spans="1:18" x14ac:dyDescent="0.35">
      <c r="A2185" s="9">
        <v>2186</v>
      </c>
      <c r="B2185" s="5">
        <v>0.1</v>
      </c>
      <c r="C2185" s="5">
        <v>6000000</v>
      </c>
      <c r="D2185" s="5">
        <v>5</v>
      </c>
      <c r="E2185" s="5">
        <v>0.125</v>
      </c>
      <c r="F2185" s="5">
        <v>0</v>
      </c>
      <c r="G2185" s="12">
        <f>(C2185*$U$4)/($U$5*$U$3)</f>
        <v>88.16326530612244</v>
      </c>
      <c r="H2185" s="11">
        <f>G2185*COS(RADIANS(D2185))</f>
        <v>87.827777464415107</v>
      </c>
      <c r="I2185" s="11">
        <f>G2185*SIN(RADIANS(D2185))</f>
        <v>7.6839348708139434</v>
      </c>
      <c r="J2185" s="12">
        <v>0.1658</v>
      </c>
      <c r="K2185" s="12">
        <v>69</v>
      </c>
      <c r="L2185" s="12">
        <f>-(F2185*G2185*$U$3)/J2185</f>
        <v>0</v>
      </c>
      <c r="M2185" s="11">
        <f>ABS(L2185/$U$6)</f>
        <v>0</v>
      </c>
      <c r="N2185" s="12">
        <f>L2185*SIN(RADIANS(K2185))</f>
        <v>0</v>
      </c>
      <c r="O2185" s="12">
        <f>L2185*COS(RADIANS(K2185))</f>
        <v>0</v>
      </c>
      <c r="P2185" s="5">
        <v>1.3604381048010354</v>
      </c>
      <c r="Q2185" s="5">
        <v>0.35368039902832965</v>
      </c>
      <c r="R2185" s="6">
        <f>P2185/Q2185</f>
        <v>3.8465182366299722</v>
      </c>
    </row>
    <row r="2186" spans="1:18" x14ac:dyDescent="0.35">
      <c r="A2186" s="9">
        <v>2187</v>
      </c>
      <c r="B2186" s="5">
        <v>0.25</v>
      </c>
      <c r="C2186" s="5">
        <v>2000000</v>
      </c>
      <c r="D2186" s="5">
        <v>20</v>
      </c>
      <c r="E2186" s="5">
        <v>0</v>
      </c>
      <c r="F2186" s="5">
        <v>0.15</v>
      </c>
      <c r="G2186" s="12">
        <f>(C2186*$U$4)/($U$5*$U$3)</f>
        <v>29.387755102040813</v>
      </c>
      <c r="H2186" s="11">
        <f>G2186*COS(RADIANS(D2186))</f>
        <v>27.615456610851183</v>
      </c>
      <c r="I2186" s="11">
        <f>G2186*SIN(RADIANS(D2186))</f>
        <v>10.051204212019652</v>
      </c>
      <c r="J2186" s="12">
        <v>0.18990000000000001</v>
      </c>
      <c r="K2186" s="12">
        <v>0</v>
      </c>
      <c r="L2186" s="12">
        <f>-(F2186*G2186*$U$3)/J2186</f>
        <v>-23.213076699874257</v>
      </c>
      <c r="M2186" s="11">
        <f>ABS(L2186/$U$6)</f>
        <v>6.7676608454443898E-2</v>
      </c>
      <c r="N2186" s="12">
        <f>L2186*SIN(RADIANS(K2186))</f>
        <v>0</v>
      </c>
      <c r="O2186" s="12">
        <f>L2186*COS(RADIANS(K2186))</f>
        <v>-23.213076699874257</v>
      </c>
      <c r="P2186" s="5">
        <v>2.5351329932167874</v>
      </c>
      <c r="Q2186" s="5">
        <v>0.54120314449138174</v>
      </c>
      <c r="R2186" s="6">
        <f>P2186/Q2186</f>
        <v>4.6842539978205124</v>
      </c>
    </row>
    <row r="2187" spans="1:18" x14ac:dyDescent="0.35">
      <c r="A2187" s="9">
        <v>1901</v>
      </c>
      <c r="B2187" s="5">
        <v>0.25</v>
      </c>
      <c r="C2187" s="5">
        <v>6000000</v>
      </c>
      <c r="D2187" s="5">
        <v>10</v>
      </c>
      <c r="E2187" s="5">
        <v>0</v>
      </c>
      <c r="F2187" s="5">
        <v>7.4999999999999997E-2</v>
      </c>
      <c r="G2187" s="12">
        <f>(C2187*$U$4)/($U$5*$U$3)</f>
        <v>88.16326530612244</v>
      </c>
      <c r="H2187" s="11">
        <f>G2187*COS(RADIANS(D2187))</f>
        <v>86.823867204341596</v>
      </c>
      <c r="I2187" s="11">
        <f>G2187*SIN(RADIANS(D2187))</f>
        <v>15.309390357574264</v>
      </c>
      <c r="J2187" s="12">
        <v>0.18990000000000001</v>
      </c>
      <c r="K2187" s="19">
        <v>0</v>
      </c>
      <c r="L2187" s="12">
        <f>-(F2187*G2187*$U$3)/J2187</f>
        <v>-34.819615049811389</v>
      </c>
      <c r="M2187" s="11">
        <f>ABS(L2187/$U$6)</f>
        <v>0.10151491268166586</v>
      </c>
      <c r="N2187" s="12">
        <f>L2187*SIN(RADIANS(K2187))</f>
        <v>0</v>
      </c>
      <c r="O2187" s="12">
        <f>L2187*COS(RADIANS(K2187))</f>
        <v>-34.819615049811389</v>
      </c>
      <c r="P2187" s="5">
        <v>2.4093059385862547</v>
      </c>
      <c r="Q2187" s="5">
        <v>0.37301472374495714</v>
      </c>
      <c r="R2187" s="6">
        <f>P2187/Q2187</f>
        <v>6.4590102889171188</v>
      </c>
    </row>
    <row r="2188" spans="1:18" x14ac:dyDescent="0.35">
      <c r="A2188" s="9">
        <v>2080</v>
      </c>
      <c r="B2188" s="5">
        <v>0.25</v>
      </c>
      <c r="C2188" s="5">
        <v>6000000</v>
      </c>
      <c r="D2188" s="5">
        <v>0</v>
      </c>
      <c r="E2188" s="5">
        <v>0</v>
      </c>
      <c r="F2188" s="5">
        <v>7.4999999999999997E-2</v>
      </c>
      <c r="G2188" s="12">
        <f>(C2188*$U$4)/($U$5*$U$3)</f>
        <v>88.16326530612244</v>
      </c>
      <c r="H2188" s="11">
        <f>G2188*COS(RADIANS(D2188))</f>
        <v>88.16326530612244</v>
      </c>
      <c r="I2188" s="11">
        <f>G2188*SIN(RADIANS(D2188))</f>
        <v>0</v>
      </c>
      <c r="J2188" s="19">
        <v>0.18990000000000001</v>
      </c>
      <c r="K2188" s="12">
        <v>0</v>
      </c>
      <c r="L2188" s="12">
        <f>-(F2188*G2188*$U$3)/J2188</f>
        <v>-34.819615049811389</v>
      </c>
      <c r="M2188" s="11">
        <f>ABS(L2188/$U$6)</f>
        <v>0.10151491268166586</v>
      </c>
      <c r="N2188" s="12">
        <f>L2188*SIN(RADIANS(K2188))</f>
        <v>0</v>
      </c>
      <c r="O2188" s="12">
        <f>L2188*COS(RADIANS(K2188))</f>
        <v>-34.819615049811389</v>
      </c>
      <c r="P2188" s="5">
        <v>2.2695893504682019</v>
      </c>
      <c r="Q2188" s="5">
        <v>0.11970257736452808</v>
      </c>
      <c r="R2188" s="6">
        <f>P2188/Q2188</f>
        <v>18.960237953412339</v>
      </c>
    </row>
    <row r="2189" spans="1:18" x14ac:dyDescent="0.35">
      <c r="A2189" s="9">
        <v>144</v>
      </c>
      <c r="B2189" s="5">
        <v>0.25</v>
      </c>
      <c r="C2189" s="5">
        <v>6000000</v>
      </c>
      <c r="D2189" s="5">
        <v>30</v>
      </c>
      <c r="E2189" s="5">
        <v>0.125</v>
      </c>
      <c r="F2189" s="5">
        <v>7.4999999999999997E-2</v>
      </c>
      <c r="G2189" s="12">
        <f>(C2189*$U$4)/($U$5*$U$3)</f>
        <v>88.16326530612244</v>
      </c>
      <c r="H2189" s="11">
        <f>G2189*COS(RADIANS(D2189))</f>
        <v>76.351627435689281</v>
      </c>
      <c r="I2189" s="11">
        <f>G2189*SIN(RADIANS(D2189))</f>
        <v>44.081632653061213</v>
      </c>
      <c r="J2189" s="20">
        <v>0.19020000000000001</v>
      </c>
      <c r="K2189" s="12">
        <v>46</v>
      </c>
      <c r="L2189" s="12">
        <f>-(F2189*G2189*$U$3)/J2189</f>
        <v>-34.764694521341653</v>
      </c>
      <c r="M2189" s="11">
        <f>ABS(L2189/$U$6)</f>
        <v>0.10135479452286196</v>
      </c>
      <c r="N2189" s="12">
        <f>L2189*SIN(RADIANS(K2189))</f>
        <v>-25.0076284158161</v>
      </c>
      <c r="O2189" s="12">
        <f>L2189*COS(RADIANS(K2189))</f>
        <v>-24.149586045700023</v>
      </c>
      <c r="P2189" s="5">
        <v>2.6864962721318606</v>
      </c>
      <c r="Q2189" s="5">
        <v>1.0036071082496665</v>
      </c>
      <c r="R2189" s="6">
        <f>P2189/Q2189</f>
        <v>2.6768406182547118</v>
      </c>
    </row>
    <row r="2190" spans="1:18" x14ac:dyDescent="0.35">
      <c r="A2190" s="9">
        <v>2191</v>
      </c>
      <c r="B2190" s="5">
        <v>0.25</v>
      </c>
      <c r="C2190" s="5">
        <v>4000000</v>
      </c>
      <c r="D2190" s="5">
        <v>30</v>
      </c>
      <c r="E2190" s="5">
        <v>0.375</v>
      </c>
      <c r="F2190" s="5">
        <v>3.5000000000000003E-2</v>
      </c>
      <c r="G2190" s="12">
        <f>(C2190*$U$4)/($U$5*$U$3)</f>
        <v>58.775510204081627</v>
      </c>
      <c r="H2190" s="11">
        <f>G2190*COS(RADIANS(D2190))</f>
        <v>50.901084957126187</v>
      </c>
      <c r="I2190" s="11">
        <f>G2190*SIN(RADIANS(D2190))</f>
        <v>29.38775510204081</v>
      </c>
      <c r="J2190" s="11">
        <v>0.1976</v>
      </c>
      <c r="K2190" s="12">
        <v>78</v>
      </c>
      <c r="L2190" s="12">
        <f>-(F2190*G2190*$U$3)/J2190</f>
        <v>-10.410641989589356</v>
      </c>
      <c r="M2190" s="11">
        <f>ABS(L2190/$U$6)</f>
        <v>3.0351725917170135E-2</v>
      </c>
      <c r="N2190" s="12">
        <f>L2190*SIN(RADIANS(K2190))</f>
        <v>-10.183144484215441</v>
      </c>
      <c r="O2190" s="12">
        <f>L2190*COS(RADIANS(K2190))</f>
        <v>-2.1644941785538863</v>
      </c>
      <c r="P2190" s="5">
        <v>2.6303589930230853</v>
      </c>
      <c r="Q2190" s="5">
        <v>0.96175681028377835</v>
      </c>
      <c r="R2190" s="6">
        <f>P2190/Q2190</f>
        <v>2.7349522924063985</v>
      </c>
    </row>
    <row r="2191" spans="1:18" x14ac:dyDescent="0.35">
      <c r="A2191" s="9">
        <v>2192</v>
      </c>
      <c r="B2191" s="5">
        <v>0.25</v>
      </c>
      <c r="C2191" s="5">
        <v>2000000</v>
      </c>
      <c r="D2191" s="5">
        <v>0</v>
      </c>
      <c r="E2191" s="5">
        <v>0.375</v>
      </c>
      <c r="F2191" s="5">
        <v>0.15</v>
      </c>
      <c r="G2191" s="12">
        <f>(C2191*$U$4)/($U$5*$U$3)</f>
        <v>29.387755102040813</v>
      </c>
      <c r="H2191" s="11">
        <f>G2191*COS(RADIANS(D2191))</f>
        <v>29.387755102040813</v>
      </c>
      <c r="I2191" s="11">
        <f>G2191*SIN(RADIANS(D2191))</f>
        <v>0</v>
      </c>
      <c r="J2191" s="11">
        <v>0.1976</v>
      </c>
      <c r="K2191" s="12">
        <v>78</v>
      </c>
      <c r="L2191" s="12">
        <f>-(F2191*G2191*$U$3)/J2191</f>
        <v>-22.308518549120052</v>
      </c>
      <c r="M2191" s="11">
        <f>ABS(L2191/$U$6)</f>
        <v>6.5039412679650299E-2</v>
      </c>
      <c r="N2191" s="12">
        <f>L2191*SIN(RADIANS(K2191))</f>
        <v>-21.821023894747377</v>
      </c>
      <c r="O2191" s="12">
        <f>L2191*COS(RADIANS(K2191))</f>
        <v>-4.6382018111869003</v>
      </c>
      <c r="P2191" s="5">
        <v>2.7109729857095766</v>
      </c>
      <c r="Q2191" s="5">
        <v>-1.3021124071681486E-2</v>
      </c>
      <c r="R2191" s="6">
        <f>P2191/Q2191</f>
        <v>-208.19807650903479</v>
      </c>
    </row>
    <row r="2192" spans="1:18" x14ac:dyDescent="0.35">
      <c r="A2192" s="9">
        <v>2193</v>
      </c>
      <c r="B2192" s="5">
        <v>0.25</v>
      </c>
      <c r="C2192" s="5">
        <v>4000000</v>
      </c>
      <c r="D2192" s="5">
        <v>0</v>
      </c>
      <c r="E2192" s="5">
        <v>0.25</v>
      </c>
      <c r="F2192" s="5">
        <v>1.4999999999999999E-2</v>
      </c>
      <c r="G2192" s="12">
        <f>(C2192*$U$4)/($U$5*$U$3)</f>
        <v>58.775510204081627</v>
      </c>
      <c r="H2192" s="11">
        <f>G2192*COS(RADIANS(D2192))</f>
        <v>58.775510204081627</v>
      </c>
      <c r="I2192" s="11">
        <f>G2192*SIN(RADIANS(D2192))</f>
        <v>0</v>
      </c>
      <c r="J2192" s="12">
        <v>0.1913</v>
      </c>
      <c r="K2192" s="11">
        <v>67</v>
      </c>
      <c r="L2192" s="12">
        <f>-(F2192*G2192*$U$3)/J2192</f>
        <v>-4.6086390646169599</v>
      </c>
      <c r="M2192" s="11">
        <f>ABS(L2192/$U$6)</f>
        <v>1.3436265494510087E-2</v>
      </c>
      <c r="N2192" s="12">
        <f>L2192*SIN(RADIANS(K2192))</f>
        <v>-4.2422746267904268</v>
      </c>
      <c r="O2192" s="12">
        <f>L2192*COS(RADIANS(K2192))</f>
        <v>-1.8007387425175356</v>
      </c>
      <c r="P2192" s="5">
        <v>2.0216423783693198</v>
      </c>
      <c r="Q2192" s="5">
        <v>0.15574363621310772</v>
      </c>
      <c r="R2192" s="6">
        <f>P2192/Q2192</f>
        <v>12.980577746387393</v>
      </c>
    </row>
    <row r="2193" spans="1:18" x14ac:dyDescent="0.35">
      <c r="A2193" s="9">
        <v>2194</v>
      </c>
      <c r="B2193" s="5">
        <v>0.75</v>
      </c>
      <c r="C2193" s="5">
        <v>6000000</v>
      </c>
      <c r="D2193" s="5">
        <v>10</v>
      </c>
      <c r="E2193" s="5">
        <v>0.375</v>
      </c>
      <c r="F2193" s="5">
        <v>1.4999999999999999E-2</v>
      </c>
      <c r="G2193" s="12">
        <f>(C2193*$U$4)/($U$5*$U$3)</f>
        <v>88.16326530612244</v>
      </c>
      <c r="H2193" s="11">
        <f>G2193*COS(RADIANS(D2193))</f>
        <v>86.823867204341596</v>
      </c>
      <c r="I2193" s="11">
        <f>G2193*SIN(RADIANS(D2193))</f>
        <v>15.309390357574264</v>
      </c>
      <c r="J2193" s="11">
        <v>0.29299999999999998</v>
      </c>
      <c r="K2193" s="12">
        <v>57</v>
      </c>
      <c r="L2193" s="12">
        <f>-(F2193*G2193*$U$3)/J2193</f>
        <v>-4.513477746047224</v>
      </c>
      <c r="M2193" s="11">
        <f>ABS(L2193/$U$6)</f>
        <v>1.315882724795109E-2</v>
      </c>
      <c r="N2193" s="12">
        <f>L2193*SIN(RADIANS(K2193))</f>
        <v>-3.7853209446864575</v>
      </c>
      <c r="O2193" s="12">
        <f>L2193*COS(RADIANS(K2193))</f>
        <v>-2.4582161641689595</v>
      </c>
      <c r="P2193" s="5">
        <v>4.4444977827306884</v>
      </c>
      <c r="Q2193" s="5">
        <v>8.9855210250740988E-2</v>
      </c>
      <c r="R2193" s="6">
        <f>P2193/Q2193</f>
        <v>49.462883346756591</v>
      </c>
    </row>
    <row r="2194" spans="1:18" x14ac:dyDescent="0.35">
      <c r="A2194" s="9">
        <v>2195</v>
      </c>
      <c r="B2194" s="5">
        <v>0.1</v>
      </c>
      <c r="C2194" s="5">
        <v>4000000</v>
      </c>
      <c r="D2194" s="5">
        <v>10</v>
      </c>
      <c r="E2194" s="5">
        <v>0.375</v>
      </c>
      <c r="F2194" s="5">
        <v>1.4999999999999999E-2</v>
      </c>
      <c r="G2194" s="12">
        <f>(C2194*$U$4)/($U$5*$U$3)</f>
        <v>58.775510204081627</v>
      </c>
      <c r="H2194" s="11">
        <f>G2194*COS(RADIANS(D2194))</f>
        <v>57.882578136227728</v>
      </c>
      <c r="I2194" s="11">
        <f>G2194*SIN(RADIANS(D2194))</f>
        <v>10.206260238382843</v>
      </c>
      <c r="J2194" s="12">
        <v>0.16789999999999999</v>
      </c>
      <c r="K2194" s="11">
        <v>85</v>
      </c>
      <c r="L2194" s="12">
        <f>-(F2194*G2194*$U$3)/J2194</f>
        <v>-5.2509389699894244</v>
      </c>
      <c r="M2194" s="11">
        <f>ABS(L2194/$U$6)</f>
        <v>1.5308859970814648E-2</v>
      </c>
      <c r="N2194" s="12">
        <f>L2194*SIN(RADIANS(K2194))</f>
        <v>-5.2309575619067958</v>
      </c>
      <c r="O2194" s="12">
        <f>L2194*COS(RADIANS(K2194))</f>
        <v>-0.45764948605205125</v>
      </c>
      <c r="P2194" s="5">
        <v>1.7568059479150091</v>
      </c>
      <c r="Q2194" s="5">
        <v>0.50901881332890853</v>
      </c>
      <c r="R2194" s="6">
        <f>P2194/Q2194</f>
        <v>3.4513575960498502</v>
      </c>
    </row>
    <row r="2195" spans="1:18" x14ac:dyDescent="0.35">
      <c r="A2195" s="9">
        <v>2196</v>
      </c>
      <c r="B2195" s="5">
        <v>0.5</v>
      </c>
      <c r="C2195" s="5">
        <v>6000000</v>
      </c>
      <c r="D2195" s="5">
        <v>15</v>
      </c>
      <c r="E2195" s="5">
        <v>0.25</v>
      </c>
      <c r="F2195" s="5">
        <v>0.05</v>
      </c>
      <c r="G2195" s="12">
        <f>(C2195*$U$4)/($U$5*$U$3)</f>
        <v>88.16326530612244</v>
      </c>
      <c r="H2195" s="11">
        <f>G2195*COS(RADIANS(D2195))</f>
        <v>85.159174889158663</v>
      </c>
      <c r="I2195" s="11">
        <f>G2195*SIN(RADIANS(D2195))</f>
        <v>22.818332139650806</v>
      </c>
      <c r="J2195" s="11">
        <v>0.23580000000000001</v>
      </c>
      <c r="K2195" s="11">
        <v>49</v>
      </c>
      <c r="L2195" s="12">
        <f>-(F2195*G2195*$U$3)/J2195</f>
        <v>-18.694500701043772</v>
      </c>
      <c r="M2195" s="11">
        <f>ABS(L2195/$U$6)</f>
        <v>5.4502917495754435E-2</v>
      </c>
      <c r="N2195" s="12">
        <f>L2195*SIN(RADIANS(K2195))</f>
        <v>-14.108918776559062</v>
      </c>
      <c r="O2195" s="12">
        <f>L2195*COS(RADIANS(K2195))</f>
        <v>-12.264695977389135</v>
      </c>
      <c r="P2195" s="5">
        <v>3.1424078692990847</v>
      </c>
      <c r="Q2195" s="5">
        <v>0.54818025336804588</v>
      </c>
      <c r="R2195" s="6">
        <f>P2195/Q2195</f>
        <v>5.7324353622590003</v>
      </c>
    </row>
    <row r="2196" spans="1:18" x14ac:dyDescent="0.35">
      <c r="A2196" s="9">
        <v>2197</v>
      </c>
      <c r="B2196" s="5">
        <v>1</v>
      </c>
      <c r="C2196" s="5">
        <v>2000000</v>
      </c>
      <c r="D2196" s="5">
        <v>30</v>
      </c>
      <c r="E2196" s="5">
        <v>0</v>
      </c>
      <c r="F2196" s="5">
        <v>3.5000000000000003E-2</v>
      </c>
      <c r="G2196" s="12">
        <f>(C2196*$U$4)/($U$5*$U$3)</f>
        <v>29.387755102040813</v>
      </c>
      <c r="H2196" s="11">
        <f>G2196*COS(RADIANS(D2196))</f>
        <v>25.450542478563094</v>
      </c>
      <c r="I2196" s="11">
        <f>G2196*SIN(RADIANS(D2196))</f>
        <v>14.693877551020405</v>
      </c>
      <c r="J2196" s="11">
        <v>0.33379999999999999</v>
      </c>
      <c r="K2196" s="12">
        <v>0</v>
      </c>
      <c r="L2196" s="12">
        <f>-(F2196*G2196*$U$3)/J2196</f>
        <v>-3.0814003252589233</v>
      </c>
      <c r="M2196" s="11">
        <f>ABS(L2196/$U$6)</f>
        <v>8.983674417664499E-3</v>
      </c>
      <c r="N2196" s="12">
        <f>L2196*SIN(RADIANS(K2196))</f>
        <v>0</v>
      </c>
      <c r="O2196" s="12">
        <f>L2196*COS(RADIANS(K2196))</f>
        <v>-3.0814003252589233</v>
      </c>
      <c r="P2196" s="5">
        <v>8.7959034697259686E-2</v>
      </c>
      <c r="Q2196" s="5">
        <v>1.8801768503060443</v>
      </c>
      <c r="R2196" s="6">
        <f>P2196/Q2196</f>
        <v>4.678231980302397E-2</v>
      </c>
    </row>
    <row r="2197" spans="1:18" x14ac:dyDescent="0.35">
      <c r="A2197" s="9">
        <v>2198</v>
      </c>
      <c r="B2197" s="5">
        <v>0.1</v>
      </c>
      <c r="C2197" s="5">
        <v>6000000</v>
      </c>
      <c r="D2197" s="5">
        <v>20</v>
      </c>
      <c r="E2197" s="5">
        <v>0</v>
      </c>
      <c r="F2197" s="5">
        <v>3.5000000000000003E-2</v>
      </c>
      <c r="G2197" s="12">
        <f>(C2197*$U$4)/($U$5*$U$3)</f>
        <v>88.16326530612244</v>
      </c>
      <c r="H2197" s="11">
        <f>G2197*COS(RADIANS(D2197))</f>
        <v>82.846369832553549</v>
      </c>
      <c r="I2197" s="11">
        <f>G2197*SIN(RADIANS(D2197))</f>
        <v>30.153612636058952</v>
      </c>
      <c r="J2197" s="11">
        <v>0.16569999999999999</v>
      </c>
      <c r="K2197" s="12">
        <v>0</v>
      </c>
      <c r="L2197" s="12">
        <f>-(F2197*G2197*$U$3)/J2197</f>
        <v>-18.622295025433228</v>
      </c>
      <c r="M2197" s="11">
        <f>ABS(L2197/$U$6)</f>
        <v>5.4292405321962764E-2</v>
      </c>
      <c r="N2197" s="12">
        <f>L2197*SIN(RADIANS(K2197))</f>
        <v>0</v>
      </c>
      <c r="O2197" s="12">
        <f>L2197*COS(RADIANS(K2197))</f>
        <v>-18.622295025433228</v>
      </c>
      <c r="P2197" s="5">
        <v>1.4216666694529883</v>
      </c>
      <c r="Q2197" s="5">
        <v>0.6363348919226347</v>
      </c>
      <c r="R2197" s="6">
        <f>P2197/Q2197</f>
        <v>2.2341485395489422</v>
      </c>
    </row>
    <row r="2198" spans="1:18" x14ac:dyDescent="0.35">
      <c r="A2198" s="9">
        <v>2199</v>
      </c>
      <c r="B2198" s="5">
        <v>0.25</v>
      </c>
      <c r="C2198" s="5">
        <v>2000000</v>
      </c>
      <c r="D2198" s="5">
        <v>30</v>
      </c>
      <c r="E2198" s="5">
        <v>0.25</v>
      </c>
      <c r="F2198" s="5">
        <v>0.1</v>
      </c>
      <c r="G2198" s="12">
        <f>(C2198*$U$4)/($U$5*$U$3)</f>
        <v>29.387755102040813</v>
      </c>
      <c r="H2198" s="11">
        <f>G2198*COS(RADIANS(D2198))</f>
        <v>25.450542478563094</v>
      </c>
      <c r="I2198" s="11">
        <f>G2198*SIN(RADIANS(D2198))</f>
        <v>14.693877551020405</v>
      </c>
      <c r="J2198" s="12">
        <v>0.1913</v>
      </c>
      <c r="K2198" s="11">
        <v>67</v>
      </c>
      <c r="L2198" s="12">
        <f>-(F2198*G2198*$U$3)/J2198</f>
        <v>-15.362130215389866</v>
      </c>
      <c r="M2198" s="11">
        <f>ABS(L2198/$U$6)</f>
        <v>4.4787551648366959E-2</v>
      </c>
      <c r="N2198" s="12">
        <f>L2198*SIN(RADIANS(K2198))</f>
        <v>-14.140915422634755</v>
      </c>
      <c r="O2198" s="12">
        <f>L2198*COS(RADIANS(K2198))</f>
        <v>-6.0024624750584517</v>
      </c>
      <c r="P2198" s="5">
        <v>2.6203604561877114</v>
      </c>
      <c r="Q2198" s="5">
        <v>0.99227934230536741</v>
      </c>
      <c r="R2198" s="6">
        <f>P2198/Q2198</f>
        <v>2.6407487735256234</v>
      </c>
    </row>
    <row r="2199" spans="1:18" x14ac:dyDescent="0.35">
      <c r="A2199" s="9">
        <v>2200</v>
      </c>
      <c r="B2199" s="5">
        <v>0.25</v>
      </c>
      <c r="C2199" s="5">
        <v>4000000</v>
      </c>
      <c r="D2199" s="5">
        <v>0</v>
      </c>
      <c r="E2199" s="5">
        <v>0.25</v>
      </c>
      <c r="F2199" s="5">
        <v>7.4999999999999997E-2</v>
      </c>
      <c r="G2199" s="12">
        <f>(C2199*$U$4)/($U$5*$U$3)</f>
        <v>58.775510204081627</v>
      </c>
      <c r="H2199" s="11">
        <f>G2199*COS(RADIANS(D2199))</f>
        <v>58.775510204081627</v>
      </c>
      <c r="I2199" s="11">
        <f>G2199*SIN(RADIANS(D2199))</f>
        <v>0</v>
      </c>
      <c r="J2199" s="12">
        <v>0.1913</v>
      </c>
      <c r="K2199" s="11">
        <v>67</v>
      </c>
      <c r="L2199" s="12">
        <f>-(F2199*G2199*$U$3)/J2199</f>
        <v>-23.043195323084799</v>
      </c>
      <c r="M2199" s="11">
        <f>ABS(L2199/$U$6)</f>
        <v>6.7181327472550428E-2</v>
      </c>
      <c r="N2199" s="12">
        <f>L2199*SIN(RADIANS(K2199))</f>
        <v>-21.211373133952133</v>
      </c>
      <c r="O2199" s="12">
        <f>L2199*COS(RADIANS(K2199))</f>
        <v>-9.0036937125876779</v>
      </c>
      <c r="P2199" s="5">
        <v>2.1070622715827412</v>
      </c>
      <c r="Q2199" s="5">
        <v>0.12590482187500002</v>
      </c>
      <c r="R2199" s="6">
        <f>P2199/Q2199</f>
        <v>16.735358028421349</v>
      </c>
    </row>
    <row r="2200" spans="1:18" x14ac:dyDescent="0.35">
      <c r="A2200" s="9">
        <v>2201</v>
      </c>
      <c r="B2200" s="5">
        <v>0.75</v>
      </c>
      <c r="C2200" s="5">
        <v>6000000</v>
      </c>
      <c r="D2200" s="5">
        <v>0</v>
      </c>
      <c r="E2200" s="5">
        <v>0.375</v>
      </c>
      <c r="F2200" s="5">
        <v>2.5000000000000001E-2</v>
      </c>
      <c r="G2200" s="12">
        <f>(C2200*$U$4)/($U$5*$U$3)</f>
        <v>88.16326530612244</v>
      </c>
      <c r="H2200" s="11">
        <f>G2200*COS(RADIANS(D2200))</f>
        <v>88.16326530612244</v>
      </c>
      <c r="I2200" s="11">
        <f>G2200*SIN(RADIANS(D2200))</f>
        <v>0</v>
      </c>
      <c r="J2200" s="11">
        <v>0.29299999999999998</v>
      </c>
      <c r="K2200" s="12">
        <v>57</v>
      </c>
      <c r="L2200" s="12">
        <f>-(F2200*G2200*$U$3)/J2200</f>
        <v>-7.5224629100787066</v>
      </c>
      <c r="M2200" s="11">
        <f>ABS(L2200/$U$6)</f>
        <v>2.1931378746585149E-2</v>
      </c>
      <c r="N2200" s="12">
        <f>L2200*SIN(RADIANS(K2200))</f>
        <v>-6.3088682411440962</v>
      </c>
      <c r="O2200" s="12">
        <f>L2200*COS(RADIANS(K2200))</f>
        <v>-4.0970269402815989</v>
      </c>
      <c r="P2200" s="5">
        <v>3.7370887165526239</v>
      </c>
      <c r="Q2200" s="5">
        <v>-0.33207023727772061</v>
      </c>
      <c r="R2200" s="6">
        <f>P2200/Q2200</f>
        <v>-11.253910459392303</v>
      </c>
    </row>
    <row r="2201" spans="1:18" x14ac:dyDescent="0.35">
      <c r="A2201" s="9">
        <v>2202</v>
      </c>
      <c r="B2201" s="5">
        <v>0.25</v>
      </c>
      <c r="C2201" s="5">
        <v>6000000</v>
      </c>
      <c r="D2201" s="5">
        <v>0</v>
      </c>
      <c r="E2201" s="5">
        <v>0.25</v>
      </c>
      <c r="F2201" s="5">
        <v>3.5000000000000003E-2</v>
      </c>
      <c r="G2201" s="12">
        <f>(C2201*$U$4)/($U$5*$U$3)</f>
        <v>88.16326530612244</v>
      </c>
      <c r="H2201" s="11">
        <f>G2201*COS(RADIANS(D2201))</f>
        <v>88.16326530612244</v>
      </c>
      <c r="I2201" s="11">
        <f>G2201*SIN(RADIANS(D2201))</f>
        <v>0</v>
      </c>
      <c r="J2201" s="12">
        <v>0.1913</v>
      </c>
      <c r="K2201" s="11">
        <v>67</v>
      </c>
      <c r="L2201" s="12">
        <f>-(F2201*G2201*$U$3)/J2201</f>
        <v>-16.13023672615936</v>
      </c>
      <c r="M2201" s="11">
        <f>ABS(L2201/$U$6)</f>
        <v>4.702692923078531E-2</v>
      </c>
      <c r="N2201" s="12">
        <f>L2201*SIN(RADIANS(K2201))</f>
        <v>-14.847961193766494</v>
      </c>
      <c r="O2201" s="12">
        <f>L2201*COS(RADIANS(K2201))</f>
        <v>-6.3025855988113744</v>
      </c>
      <c r="P2201" s="5">
        <v>1.9675986118300239</v>
      </c>
      <c r="Q2201" s="5">
        <v>0.13543533356908674</v>
      </c>
      <c r="R2201" s="6">
        <f>P2201/Q2201</f>
        <v>14.527956331471911</v>
      </c>
    </row>
    <row r="2202" spans="1:18" x14ac:dyDescent="0.35">
      <c r="A2202" s="9">
        <v>331</v>
      </c>
      <c r="B2202" s="5">
        <v>0.25</v>
      </c>
      <c r="C2202" s="5">
        <v>6000000</v>
      </c>
      <c r="D2202" s="5">
        <v>15</v>
      </c>
      <c r="E2202" s="5">
        <v>0.125</v>
      </c>
      <c r="F2202" s="5">
        <v>7.4999999999999997E-2</v>
      </c>
      <c r="G2202" s="12">
        <f>(C2202*$U$4)/($U$5*$U$3)</f>
        <v>88.16326530612244</v>
      </c>
      <c r="H2202" s="11">
        <f>G2202*COS(RADIANS(D2202))</f>
        <v>85.159174889158663</v>
      </c>
      <c r="I2202" s="11">
        <f>G2202*SIN(RADIANS(D2202))</f>
        <v>22.818332139650806</v>
      </c>
      <c r="J2202" s="20">
        <v>0.19020000000000001</v>
      </c>
      <c r="K2202" s="19">
        <v>46</v>
      </c>
      <c r="L2202" s="12">
        <f>-(F2202*G2202*$U$3)/J2202</f>
        <v>-34.764694521341653</v>
      </c>
      <c r="M2202" s="11">
        <f>ABS(L2202/$U$6)</f>
        <v>0.10135479452286196</v>
      </c>
      <c r="N2202" s="12">
        <f>L2202*SIN(RADIANS(K2202))</f>
        <v>-25.0076284158161</v>
      </c>
      <c r="O2202" s="12">
        <f>L2202*COS(RADIANS(K2202))</f>
        <v>-24.149586045700023</v>
      </c>
      <c r="P2202" s="5">
        <v>2.5497204028491898</v>
      </c>
      <c r="Q2202" s="5">
        <v>0.56261509529150799</v>
      </c>
      <c r="R2202" s="6">
        <f>P2202/Q2202</f>
        <v>4.5319089803804538</v>
      </c>
    </row>
    <row r="2203" spans="1:18" x14ac:dyDescent="0.35">
      <c r="A2203" s="9">
        <v>2204</v>
      </c>
      <c r="B2203" s="5">
        <v>0.1</v>
      </c>
      <c r="C2203" s="5">
        <v>2000000</v>
      </c>
      <c r="D2203" s="5">
        <v>15</v>
      </c>
      <c r="E2203" s="5">
        <v>0.25</v>
      </c>
      <c r="F2203" s="5">
        <v>0.15</v>
      </c>
      <c r="G2203" s="12">
        <f>(C2203*$U$4)/($U$5*$U$3)</f>
        <v>29.387755102040813</v>
      </c>
      <c r="H2203" s="11">
        <f>G2203*COS(RADIANS(D2203))</f>
        <v>28.386391629719554</v>
      </c>
      <c r="I2203" s="11">
        <f>G2203*SIN(RADIANS(D2203))</f>
        <v>7.6061107132169354</v>
      </c>
      <c r="J2203" s="11">
        <v>0.1661</v>
      </c>
      <c r="K2203" s="12">
        <v>80</v>
      </c>
      <c r="L2203" s="12">
        <f>-(F2203*G2203*$U$3)/J2203</f>
        <v>-26.539212915750284</v>
      </c>
      <c r="M2203" s="11">
        <f>ABS(L2203/$U$6)</f>
        <v>7.7373798588193252E-2</v>
      </c>
      <c r="N2203" s="12">
        <f>L2203*SIN(RADIANS(K2203))</f>
        <v>-26.136022638272607</v>
      </c>
      <c r="O2203" s="12">
        <f>L2203*COS(RADIANS(K2203))</f>
        <v>-4.6084859595346996</v>
      </c>
      <c r="P2203" s="5">
        <v>2.1022496448618284</v>
      </c>
      <c r="Q2203" s="5">
        <v>0.69087966852664129</v>
      </c>
      <c r="R2203" s="6">
        <f>P2203/Q2203</f>
        <v>3.0428593293895183</v>
      </c>
    </row>
    <row r="2204" spans="1:18" x14ac:dyDescent="0.35">
      <c r="A2204" s="9">
        <v>2205</v>
      </c>
      <c r="B2204" s="5">
        <v>0.25</v>
      </c>
      <c r="C2204" s="5">
        <v>2000000</v>
      </c>
      <c r="D2204" s="5">
        <v>0</v>
      </c>
      <c r="E2204" s="5">
        <v>0.375</v>
      </c>
      <c r="F2204" s="5">
        <v>3.5000000000000003E-2</v>
      </c>
      <c r="G2204" s="12">
        <f>(C2204*$U$4)/($U$5*$U$3)</f>
        <v>29.387755102040813</v>
      </c>
      <c r="H2204" s="11">
        <f>G2204*COS(RADIANS(D2204))</f>
        <v>29.387755102040813</v>
      </c>
      <c r="I2204" s="11">
        <f>G2204*SIN(RADIANS(D2204))</f>
        <v>0</v>
      </c>
      <c r="J2204" s="11">
        <v>0.1976</v>
      </c>
      <c r="K2204" s="12">
        <v>78</v>
      </c>
      <c r="L2204" s="12">
        <f>-(F2204*G2204*$U$3)/J2204</f>
        <v>-5.2053209947946781</v>
      </c>
      <c r="M2204" s="11">
        <f>ABS(L2204/$U$6)</f>
        <v>1.5175862958585067E-2</v>
      </c>
      <c r="N2204" s="12">
        <f>L2204*SIN(RADIANS(K2204))</f>
        <v>-5.0915722421077207</v>
      </c>
      <c r="O2204" s="12">
        <f>L2204*COS(RADIANS(K2204))</f>
        <v>-1.0822470892769431</v>
      </c>
      <c r="P2204" s="5">
        <v>2.0219501728291309</v>
      </c>
      <c r="Q2204" s="5">
        <v>5.3944578659770454E-2</v>
      </c>
      <c r="R2204" s="6">
        <f>P2204/Q2204</f>
        <v>37.481990277125185</v>
      </c>
    </row>
    <row r="2205" spans="1:18" x14ac:dyDescent="0.35">
      <c r="A2205" s="9">
        <v>2206</v>
      </c>
      <c r="B2205" s="5">
        <v>0.1</v>
      </c>
      <c r="C2205" s="5">
        <v>2000000</v>
      </c>
      <c r="D2205" s="5">
        <v>5</v>
      </c>
      <c r="E2205" s="5">
        <v>0.375</v>
      </c>
      <c r="F2205" s="5">
        <v>3.5000000000000003E-2</v>
      </c>
      <c r="G2205" s="12">
        <f>(C2205*$U$4)/($U$5*$U$3)</f>
        <v>29.387755102040813</v>
      </c>
      <c r="H2205" s="11">
        <f>G2205*COS(RADIANS(D2205))</f>
        <v>29.275925821471702</v>
      </c>
      <c r="I2205" s="11">
        <f>G2205*SIN(RADIANS(D2205))</f>
        <v>2.5613116236046478</v>
      </c>
      <c r="J2205" s="12">
        <v>0.16789999999999999</v>
      </c>
      <c r="K2205" s="11">
        <v>85</v>
      </c>
      <c r="L2205" s="12">
        <f>-(F2205*G2205*$U$3)/J2205</f>
        <v>-6.126095464987662</v>
      </c>
      <c r="M2205" s="11">
        <f>ABS(L2205/$U$6)</f>
        <v>1.7860336632617092E-2</v>
      </c>
      <c r="N2205" s="12">
        <f>L2205*SIN(RADIANS(K2205))</f>
        <v>-6.1027838222245956</v>
      </c>
      <c r="O2205" s="12">
        <f>L2205*COS(RADIANS(K2205))</f>
        <v>-0.53392440039405986</v>
      </c>
      <c r="P2205" s="5">
        <v>1.7709532792255098</v>
      </c>
      <c r="Q2205" s="5">
        <v>0.33378680076770006</v>
      </c>
      <c r="R2205" s="6">
        <f>P2205/Q2205</f>
        <v>5.3056420300394382</v>
      </c>
    </row>
    <row r="2206" spans="1:18" x14ac:dyDescent="0.35">
      <c r="A2206" s="9">
        <v>2207</v>
      </c>
      <c r="B2206" s="5">
        <v>0.1</v>
      </c>
      <c r="C2206" s="5">
        <v>2000000</v>
      </c>
      <c r="D2206" s="5">
        <v>15</v>
      </c>
      <c r="E2206" s="5">
        <v>0.125</v>
      </c>
      <c r="F2206" s="5">
        <v>0.05</v>
      </c>
      <c r="G2206" s="12">
        <f>(C2206*$U$4)/($U$5*$U$3)</f>
        <v>29.387755102040813</v>
      </c>
      <c r="H2206" s="11">
        <f>G2206*COS(RADIANS(D2206))</f>
        <v>28.386391629719554</v>
      </c>
      <c r="I2206" s="11">
        <f>G2206*SIN(RADIANS(D2206))</f>
        <v>7.6061107132169354</v>
      </c>
      <c r="J2206" s="12">
        <v>0.1658</v>
      </c>
      <c r="K2206" s="12">
        <v>69</v>
      </c>
      <c r="L2206" s="12">
        <f>-(F2206*G2206*$U$3)/J2206</f>
        <v>-8.8624110681667112</v>
      </c>
      <c r="M2206" s="11">
        <f>ABS(L2206/$U$6)</f>
        <v>2.5837933143343182E-2</v>
      </c>
      <c r="N2206" s="12">
        <f>L2206*SIN(RADIANS(K2206))</f>
        <v>-8.2737735048125991</v>
      </c>
      <c r="O2206" s="12">
        <f>L2206*COS(RADIANS(K2206))</f>
        <v>-3.1760040825264797</v>
      </c>
      <c r="P2206" s="5">
        <v>1.5759392365688218</v>
      </c>
      <c r="Q2206" s="5">
        <v>0.58719376327162776</v>
      </c>
      <c r="R2206" s="6">
        <f>P2206/Q2206</f>
        <v>2.6838487312744399</v>
      </c>
    </row>
    <row r="2207" spans="1:18" x14ac:dyDescent="0.35">
      <c r="A2207" s="9">
        <v>2208</v>
      </c>
      <c r="B2207" s="5">
        <v>0.75</v>
      </c>
      <c r="C2207" s="5">
        <v>4000000</v>
      </c>
      <c r="D2207" s="5">
        <v>20</v>
      </c>
      <c r="E2207" s="5">
        <v>0.125</v>
      </c>
      <c r="F2207" s="5">
        <v>0.05</v>
      </c>
      <c r="G2207" s="12">
        <f>(C2207*$U$4)/($U$5*$U$3)</f>
        <v>58.775510204081627</v>
      </c>
      <c r="H2207" s="11">
        <f>G2207*COS(RADIANS(D2207))</f>
        <v>55.230913221702366</v>
      </c>
      <c r="I2207" s="11">
        <f>G2207*SIN(RADIANS(D2207))</f>
        <v>20.102408424039304</v>
      </c>
      <c r="J2207" s="12">
        <v>0.2802</v>
      </c>
      <c r="K2207" s="12">
        <v>19</v>
      </c>
      <c r="L2207" s="12">
        <f>-(F2207*G2207*$U$3)/J2207</f>
        <v>-10.488135296945329</v>
      </c>
      <c r="M2207" s="11">
        <f>ABS(L2207/$U$6)</f>
        <v>3.0577653926954312E-2</v>
      </c>
      <c r="N2207" s="12">
        <f>L2207*SIN(RADIANS(K2207))</f>
        <v>-3.414602852323454</v>
      </c>
      <c r="O2207" s="12">
        <f>L2207*COS(RADIANS(K2207))</f>
        <v>-9.9167267466606646</v>
      </c>
      <c r="P2207" s="5">
        <v>4.6093466827740333</v>
      </c>
      <c r="Q2207" s="5">
        <v>0.95528554007295041</v>
      </c>
      <c r="R2207" s="6">
        <f>P2207/Q2207</f>
        <v>4.8250983495699522</v>
      </c>
    </row>
    <row r="2208" spans="1:18" x14ac:dyDescent="0.35">
      <c r="A2208" s="9">
        <v>2209</v>
      </c>
      <c r="B2208" s="5">
        <v>1</v>
      </c>
      <c r="C2208" s="5">
        <v>4000000</v>
      </c>
      <c r="D2208" s="5">
        <v>15</v>
      </c>
      <c r="E2208" s="5">
        <v>0</v>
      </c>
      <c r="F2208" s="5">
        <v>1.4999999999999999E-2</v>
      </c>
      <c r="G2208" s="12">
        <f>(C2208*$U$4)/($U$5*$U$3)</f>
        <v>58.775510204081627</v>
      </c>
      <c r="H2208" s="11">
        <f>G2208*COS(RADIANS(D2208))</f>
        <v>56.772783259439109</v>
      </c>
      <c r="I2208" s="11">
        <f>G2208*SIN(RADIANS(D2208))</f>
        <v>15.212221426433871</v>
      </c>
      <c r="J2208" s="11">
        <v>0.33379999999999999</v>
      </c>
      <c r="K2208" s="12">
        <v>0</v>
      </c>
      <c r="L2208" s="12">
        <f>-(F2208*G2208*$U$3)/J2208</f>
        <v>-2.6412002787933626</v>
      </c>
      <c r="M2208" s="11">
        <f>ABS(L2208/$U$6)</f>
        <v>7.7002923579981416E-3</v>
      </c>
      <c r="N2208" s="12">
        <f>L2208*SIN(RADIANS(K2208))</f>
        <v>0</v>
      </c>
      <c r="O2208" s="12">
        <f>L2208*COS(RADIANS(K2208))</f>
        <v>-2.6412002787933626</v>
      </c>
      <c r="P2208" s="5">
        <v>0.5884933307980853</v>
      </c>
      <c r="Q2208" s="5">
        <v>2.2637534831277883</v>
      </c>
      <c r="R2208" s="6">
        <f>P2208/Q2208</f>
        <v>0.25996352305330278</v>
      </c>
    </row>
    <row r="2209" spans="1:18" x14ac:dyDescent="0.35">
      <c r="A2209" s="9">
        <v>780</v>
      </c>
      <c r="B2209" s="5">
        <v>0.25</v>
      </c>
      <c r="C2209" s="5">
        <v>6000000</v>
      </c>
      <c r="D2209" s="5">
        <v>10</v>
      </c>
      <c r="E2209" s="5">
        <v>0.125</v>
      </c>
      <c r="F2209" s="5">
        <v>7.4999999999999997E-2</v>
      </c>
      <c r="G2209" s="12">
        <f>(C2209*$U$4)/($U$5*$U$3)</f>
        <v>88.16326530612244</v>
      </c>
      <c r="H2209" s="11">
        <f>G2209*COS(RADIANS(D2209))</f>
        <v>86.823867204341596</v>
      </c>
      <c r="I2209" s="11">
        <f>G2209*SIN(RADIANS(D2209))</f>
        <v>15.309390357574264</v>
      </c>
      <c r="J2209" s="20">
        <v>0.19020000000000001</v>
      </c>
      <c r="K2209" s="19">
        <v>46</v>
      </c>
      <c r="L2209" s="12">
        <f>-(F2209*G2209*$U$3)/J2209</f>
        <v>-34.764694521341653</v>
      </c>
      <c r="M2209" s="11">
        <f>ABS(L2209/$U$6)</f>
        <v>0.10135479452286196</v>
      </c>
      <c r="N2209" s="12">
        <f>L2209*SIN(RADIANS(K2209))</f>
        <v>-25.0076284158161</v>
      </c>
      <c r="O2209" s="12">
        <f>L2209*COS(RADIANS(K2209))</f>
        <v>-24.149586045700023</v>
      </c>
      <c r="P2209" s="5">
        <v>2.5027982057676748</v>
      </c>
      <c r="Q2209" s="5">
        <v>0.41881394914979381</v>
      </c>
      <c r="R2209" s="6">
        <f>P2209/Q2209</f>
        <v>5.9759189273624678</v>
      </c>
    </row>
    <row r="2210" spans="1:18" x14ac:dyDescent="0.35">
      <c r="A2210" s="9">
        <v>2211</v>
      </c>
      <c r="B2210" s="5">
        <v>0.75</v>
      </c>
      <c r="C2210" s="5">
        <v>2000000</v>
      </c>
      <c r="D2210" s="5">
        <v>0</v>
      </c>
      <c r="E2210" s="5">
        <v>0</v>
      </c>
      <c r="F2210" s="5">
        <v>2.5000000000000001E-2</v>
      </c>
      <c r="G2210" s="12">
        <f>(C2210*$U$4)/($U$5*$U$3)</f>
        <v>29.387755102040813</v>
      </c>
      <c r="H2210" s="11">
        <f>G2210*COS(RADIANS(D2210))</f>
        <v>29.387755102040813</v>
      </c>
      <c r="I2210" s="11">
        <f>G2210*SIN(RADIANS(D2210))</f>
        <v>0</v>
      </c>
      <c r="J2210" s="11">
        <v>0.27929999999999999</v>
      </c>
      <c r="K2210" s="12">
        <v>0</v>
      </c>
      <c r="L2210" s="12">
        <f>-(F2210*G2210*$U$3)/J2210</f>
        <v>-2.630482912821412</v>
      </c>
      <c r="M2210" s="11">
        <f>ABS(L2210/$U$6)</f>
        <v>7.6690463930653412E-3</v>
      </c>
      <c r="N2210" s="12">
        <f>L2210*SIN(RADIANS(K2210))</f>
        <v>0</v>
      </c>
      <c r="O2210" s="12">
        <f>L2210*COS(RADIANS(K2210))</f>
        <v>-2.630482912821412</v>
      </c>
      <c r="P2210" s="5">
        <v>2.9346195421165859</v>
      </c>
      <c r="Q2210" s="5">
        <v>0.8326505282517892</v>
      </c>
      <c r="R2210" s="6">
        <f>P2210/Q2210</f>
        <v>3.5244312500203834</v>
      </c>
    </row>
    <row r="2211" spans="1:18" x14ac:dyDescent="0.35">
      <c r="A2211" s="9">
        <v>1218</v>
      </c>
      <c r="B2211" s="5">
        <v>0.25</v>
      </c>
      <c r="C2211" s="5">
        <v>6000000</v>
      </c>
      <c r="D2211" s="5">
        <v>5</v>
      </c>
      <c r="E2211" s="5">
        <v>0.125</v>
      </c>
      <c r="F2211" s="5">
        <v>7.4999999999999997E-2</v>
      </c>
      <c r="G2211" s="12">
        <f>(C2211*$U$4)/($U$5*$U$3)</f>
        <v>88.16326530612244</v>
      </c>
      <c r="H2211" s="11">
        <f>G2211*COS(RADIANS(D2211))</f>
        <v>87.827777464415107</v>
      </c>
      <c r="I2211" s="11">
        <f>G2211*SIN(RADIANS(D2211))</f>
        <v>7.6839348708139434</v>
      </c>
      <c r="J2211" s="11">
        <v>0.19020000000000001</v>
      </c>
      <c r="K2211" s="12">
        <v>46</v>
      </c>
      <c r="L2211" s="12">
        <f>-(F2211*G2211*$U$3)/J2211</f>
        <v>-34.764694521341653</v>
      </c>
      <c r="M2211" s="11">
        <f>ABS(L2211/$U$6)</f>
        <v>0.10135479452286196</v>
      </c>
      <c r="N2211" s="12">
        <f>L2211*SIN(RADIANS(K2211))</f>
        <v>-25.0076284158161</v>
      </c>
      <c r="O2211" s="12">
        <f>L2211*COS(RADIANS(K2211))</f>
        <v>-24.149586045700023</v>
      </c>
      <c r="P2211" s="5">
        <v>2.4361232522122913</v>
      </c>
      <c r="Q2211" s="5">
        <v>0.2760229031166464</v>
      </c>
      <c r="R2211" s="6">
        <f>P2211/Q2211</f>
        <v>8.8258011371715526</v>
      </c>
    </row>
    <row r="2212" spans="1:18" x14ac:dyDescent="0.35">
      <c r="A2212" s="9">
        <v>2213</v>
      </c>
      <c r="B2212" s="5">
        <v>1</v>
      </c>
      <c r="C2212" s="5">
        <v>2000000</v>
      </c>
      <c r="D2212" s="5">
        <v>15</v>
      </c>
      <c r="E2212" s="5">
        <v>0.25</v>
      </c>
      <c r="F2212" s="5">
        <v>1.4999999999999999E-2</v>
      </c>
      <c r="G2212" s="12">
        <f>(C2212*$U$4)/($U$5*$U$3)</f>
        <v>29.387755102040813</v>
      </c>
      <c r="H2212" s="11">
        <f>G2212*COS(RADIANS(D2212))</f>
        <v>28.386391629719554</v>
      </c>
      <c r="I2212" s="11">
        <f>G2212*SIN(RADIANS(D2212))</f>
        <v>7.6061107132169354</v>
      </c>
      <c r="J2212" s="13">
        <v>0.33379999999999999</v>
      </c>
      <c r="K2212" s="12">
        <v>30</v>
      </c>
      <c r="L2212" s="12">
        <f>-(F2212*G2212*$U$3)/J2212</f>
        <v>-1.3206001393966813</v>
      </c>
      <c r="M2212" s="11">
        <f>ABS(L2212/$U$6)</f>
        <v>3.8501461789990708E-3</v>
      </c>
      <c r="N2212" s="12">
        <f>L2212*SIN(RADIANS(K2212))</f>
        <v>-0.66030006969834054</v>
      </c>
      <c r="O2212" s="12">
        <f>L2212*COS(RADIANS(K2212))</f>
        <v>-1.143673268958797</v>
      </c>
      <c r="P2212" s="5">
        <v>3.5473273178006162</v>
      </c>
      <c r="Q2212" s="5">
        <v>1.1340934382738272</v>
      </c>
      <c r="R2212" s="6">
        <f>P2212/Q2212</f>
        <v>3.1278968717074198</v>
      </c>
    </row>
    <row r="2213" spans="1:18" x14ac:dyDescent="0.35">
      <c r="A2213" s="9">
        <v>2214</v>
      </c>
      <c r="B2213" s="5">
        <v>0.1</v>
      </c>
      <c r="C2213" s="5">
        <v>4000000</v>
      </c>
      <c r="D2213" s="5">
        <v>0</v>
      </c>
      <c r="E2213" s="5">
        <v>0.125</v>
      </c>
      <c r="F2213" s="5">
        <v>7.4999999999999997E-2</v>
      </c>
      <c r="G2213" s="12">
        <f>(C2213*$U$4)/($U$5*$U$3)</f>
        <v>58.775510204081627</v>
      </c>
      <c r="H2213" s="11">
        <f>G2213*COS(RADIANS(D2213))</f>
        <v>58.775510204081627</v>
      </c>
      <c r="I2213" s="11">
        <f>G2213*SIN(RADIANS(D2213))</f>
        <v>0</v>
      </c>
      <c r="J2213" s="12">
        <v>0.1658</v>
      </c>
      <c r="K2213" s="12">
        <v>69</v>
      </c>
      <c r="L2213" s="12">
        <f>-(F2213*G2213*$U$3)/J2213</f>
        <v>-26.587233204500134</v>
      </c>
      <c r="M2213" s="11">
        <f>ABS(L2213/$U$6)</f>
        <v>7.7513799430029548E-2</v>
      </c>
      <c r="N2213" s="12">
        <f>L2213*SIN(RADIANS(K2213))</f>
        <v>-24.821320514437797</v>
      </c>
      <c r="O2213" s="12">
        <f>L2213*COS(RADIANS(K2213))</f>
        <v>-9.5280122475794382</v>
      </c>
      <c r="P2213" s="5">
        <v>1.3586751621193445</v>
      </c>
      <c r="Q2213" s="5">
        <v>0.23027684041699209</v>
      </c>
      <c r="R2213" s="6">
        <f>P2213/Q2213</f>
        <v>5.9001815365323553</v>
      </c>
    </row>
    <row r="2214" spans="1:18" x14ac:dyDescent="0.35">
      <c r="A2214" s="9">
        <v>2215</v>
      </c>
      <c r="B2214" s="5">
        <v>0.75</v>
      </c>
      <c r="C2214" s="5">
        <v>4000000</v>
      </c>
      <c r="D2214" s="5">
        <v>30</v>
      </c>
      <c r="E2214" s="5">
        <v>0.125</v>
      </c>
      <c r="F2214" s="5">
        <v>1.4999999999999999E-2</v>
      </c>
      <c r="G2214" s="12">
        <f>(C2214*$U$4)/($U$5*$U$3)</f>
        <v>58.775510204081627</v>
      </c>
      <c r="H2214" s="11">
        <f>G2214*COS(RADIANS(D2214))</f>
        <v>50.901084957126187</v>
      </c>
      <c r="I2214" s="11">
        <f>G2214*SIN(RADIANS(D2214))</f>
        <v>29.38775510204081</v>
      </c>
      <c r="J2214" s="12">
        <v>0.2802</v>
      </c>
      <c r="K2214" s="12">
        <v>19</v>
      </c>
      <c r="L2214" s="12">
        <f>-(F2214*G2214*$U$3)/J2214</f>
        <v>-3.1464405890835989</v>
      </c>
      <c r="M2214" s="11">
        <f>ABS(L2214/$U$6)</f>
        <v>9.1732961780862949E-3</v>
      </c>
      <c r="N2214" s="12">
        <f>L2214*SIN(RADIANS(K2214))</f>
        <v>-1.0243808556970362</v>
      </c>
      <c r="O2214" s="12">
        <f>L2214*COS(RADIANS(K2214))</f>
        <v>-2.9750180239981998</v>
      </c>
      <c r="P2214" s="5">
        <v>3.3330681366106694</v>
      </c>
      <c r="Q2214" s="5">
        <v>1.3804478340676991</v>
      </c>
      <c r="R2214" s="6">
        <f>P2214/Q2214</f>
        <v>2.4144832237443397</v>
      </c>
    </row>
    <row r="2215" spans="1:18" x14ac:dyDescent="0.35">
      <c r="A2215" s="9">
        <v>2216</v>
      </c>
      <c r="B2215" s="5">
        <v>0.1</v>
      </c>
      <c r="C2215" s="5">
        <v>2000000</v>
      </c>
      <c r="D2215" s="5">
        <v>15</v>
      </c>
      <c r="E2215" s="5">
        <v>0.25</v>
      </c>
      <c r="F2215" s="5">
        <v>2.5000000000000001E-2</v>
      </c>
      <c r="G2215" s="12">
        <f>(C2215*$U$4)/($U$5*$U$3)</f>
        <v>29.387755102040813</v>
      </c>
      <c r="H2215" s="11">
        <f>G2215*COS(RADIANS(D2215))</f>
        <v>28.386391629719554</v>
      </c>
      <c r="I2215" s="11">
        <f>G2215*SIN(RADIANS(D2215))</f>
        <v>7.6061107132169354</v>
      </c>
      <c r="J2215" s="11">
        <v>0.1661</v>
      </c>
      <c r="K2215" s="12">
        <v>80</v>
      </c>
      <c r="L2215" s="12">
        <f>-(F2215*G2215*$U$3)/J2215</f>
        <v>-4.4232021526250476</v>
      </c>
      <c r="M2215" s="11">
        <f>ABS(L2215/$U$6)</f>
        <v>1.2895633098032209E-2</v>
      </c>
      <c r="N2215" s="12">
        <f>L2215*SIN(RADIANS(K2215))</f>
        <v>-4.3560037730454351</v>
      </c>
      <c r="O2215" s="12">
        <f>L2215*COS(RADIANS(K2215))</f>
        <v>-0.76808099325578327</v>
      </c>
      <c r="P2215" s="5">
        <v>1.5634669032109387</v>
      </c>
      <c r="Q2215" s="5">
        <v>0.62700887602957223</v>
      </c>
      <c r="R2215" s="6">
        <f>P2215/Q2215</f>
        <v>2.4935323294166563</v>
      </c>
    </row>
    <row r="2216" spans="1:18" x14ac:dyDescent="0.35">
      <c r="A2216" s="9">
        <v>2217</v>
      </c>
      <c r="B2216" s="5">
        <v>0.5</v>
      </c>
      <c r="C2216" s="5">
        <v>4000000</v>
      </c>
      <c r="D2216" s="5">
        <v>5</v>
      </c>
      <c r="E2216" s="5">
        <v>0.375</v>
      </c>
      <c r="F2216" s="5">
        <v>2.5000000000000001E-2</v>
      </c>
      <c r="G2216" s="12">
        <f>(C2216*$U$4)/($U$5*$U$3)</f>
        <v>58.775510204081627</v>
      </c>
      <c r="H2216" s="11">
        <f>G2216*COS(RADIANS(D2216))</f>
        <v>58.551851642943404</v>
      </c>
      <c r="I2216" s="11">
        <f>G2216*SIN(RADIANS(D2216))</f>
        <v>5.1226232472092956</v>
      </c>
      <c r="J2216" s="12">
        <v>0.24809999999999999</v>
      </c>
      <c r="K2216" s="12">
        <v>67</v>
      </c>
      <c r="L2216" s="12">
        <f>-(F2216*G2216*$U$3)/J2216</f>
        <v>-5.9225624953729978</v>
      </c>
      <c r="M2216" s="11">
        <f>ABS(L2216/$U$6)</f>
        <v>1.7266946050650139E-2</v>
      </c>
      <c r="N2216" s="12">
        <f>L2216*SIN(RADIANS(K2216))</f>
        <v>-5.451747521866241</v>
      </c>
      <c r="O2216" s="12">
        <f>L2216*COS(RADIANS(K2216))</f>
        <v>-2.3141295273653402</v>
      </c>
      <c r="P2216" s="5">
        <v>2.9902614054956804</v>
      </c>
      <c r="Q2216" s="5">
        <v>9.1069093007369664E-2</v>
      </c>
      <c r="R2216" s="6">
        <f>P2216/Q2216</f>
        <v>32.835084953066314</v>
      </c>
    </row>
    <row r="2217" spans="1:18" x14ac:dyDescent="0.35">
      <c r="A2217" s="9">
        <v>2218</v>
      </c>
      <c r="B2217" s="5">
        <v>0.25</v>
      </c>
      <c r="C2217" s="5">
        <v>4000000</v>
      </c>
      <c r="D2217" s="5">
        <v>0</v>
      </c>
      <c r="E2217" s="5">
        <v>0.375</v>
      </c>
      <c r="F2217" s="5">
        <v>3.5000000000000003E-2</v>
      </c>
      <c r="G2217" s="12">
        <f>(C2217*$U$4)/($U$5*$U$3)</f>
        <v>58.775510204081627</v>
      </c>
      <c r="H2217" s="11">
        <f>G2217*COS(RADIANS(D2217))</f>
        <v>58.775510204081627</v>
      </c>
      <c r="I2217" s="11">
        <f>G2217*SIN(RADIANS(D2217))</f>
        <v>0</v>
      </c>
      <c r="J2217" s="11">
        <v>0.1976</v>
      </c>
      <c r="K2217" s="12">
        <v>78</v>
      </c>
      <c r="L2217" s="12">
        <f>-(F2217*G2217*$U$3)/J2217</f>
        <v>-10.410641989589356</v>
      </c>
      <c r="M2217" s="11">
        <f>ABS(L2217/$U$6)</f>
        <v>3.0351725917170135E-2</v>
      </c>
      <c r="N2217" s="12">
        <f>L2217*SIN(RADIANS(K2217))</f>
        <v>-10.183144484215441</v>
      </c>
      <c r="O2217" s="12">
        <f>L2217*COS(RADIANS(K2217))</f>
        <v>-2.1644941785538863</v>
      </c>
      <c r="P2217" s="5">
        <v>2.0270832767197007</v>
      </c>
      <c r="Q2217" s="5">
        <v>5.0328989568853705E-2</v>
      </c>
      <c r="R2217" s="6">
        <f>P2217/Q2217</f>
        <v>40.27665355662473</v>
      </c>
    </row>
    <row r="2218" spans="1:18" x14ac:dyDescent="0.35">
      <c r="A2218" s="9">
        <v>2219</v>
      </c>
      <c r="B2218" s="5">
        <v>0.25</v>
      </c>
      <c r="C2218" s="5">
        <v>4000000</v>
      </c>
      <c r="D2218" s="5">
        <v>15</v>
      </c>
      <c r="E2218" s="5">
        <v>0.25</v>
      </c>
      <c r="F2218" s="5">
        <v>7.4999999999999997E-2</v>
      </c>
      <c r="G2218" s="12">
        <f>(C2218*$U$4)/($U$5*$U$3)</f>
        <v>58.775510204081627</v>
      </c>
      <c r="H2218" s="11">
        <f>G2218*COS(RADIANS(D2218))</f>
        <v>56.772783259439109</v>
      </c>
      <c r="I2218" s="11">
        <f>G2218*SIN(RADIANS(D2218))</f>
        <v>15.212221426433871</v>
      </c>
      <c r="J2218" s="12">
        <v>0.1913</v>
      </c>
      <c r="K2218" s="11">
        <v>67</v>
      </c>
      <c r="L2218" s="12">
        <f>-(F2218*G2218*$U$3)/J2218</f>
        <v>-23.043195323084799</v>
      </c>
      <c r="M2218" s="11">
        <f>ABS(L2218/$U$6)</f>
        <v>6.7181327472550428E-2</v>
      </c>
      <c r="N2218" s="12">
        <f>L2218*SIN(RADIANS(K2218))</f>
        <v>-21.211373133952133</v>
      </c>
      <c r="O2218" s="12">
        <f>L2218*COS(RADIANS(K2218))</f>
        <v>-9.0036937125876779</v>
      </c>
      <c r="P2218" s="5">
        <v>2.2982448392804535</v>
      </c>
      <c r="Q2218" s="5">
        <v>0.52875921182397212</v>
      </c>
      <c r="R2218" s="6">
        <f>P2218/Q2218</f>
        <v>4.3464866197840468</v>
      </c>
    </row>
    <row r="2219" spans="1:18" x14ac:dyDescent="0.35">
      <c r="A2219" s="9">
        <v>2220</v>
      </c>
      <c r="B2219" s="5">
        <v>0.1</v>
      </c>
      <c r="C2219" s="5">
        <v>2000000</v>
      </c>
      <c r="D2219" s="5">
        <v>10</v>
      </c>
      <c r="E2219" s="5">
        <v>0.25</v>
      </c>
      <c r="F2219" s="5">
        <v>7.4999999999999997E-2</v>
      </c>
      <c r="G2219" s="12">
        <f>(C2219*$U$4)/($U$5*$U$3)</f>
        <v>29.387755102040813</v>
      </c>
      <c r="H2219" s="11">
        <f>G2219*COS(RADIANS(D2219))</f>
        <v>28.941289068113864</v>
      </c>
      <c r="I2219" s="11">
        <f>G2219*SIN(RADIANS(D2219))</f>
        <v>5.1031301191914213</v>
      </c>
      <c r="J2219" s="11">
        <v>0.1661</v>
      </c>
      <c r="K2219" s="12">
        <v>80</v>
      </c>
      <c r="L2219" s="12">
        <f>-(F2219*G2219*$U$3)/J2219</f>
        <v>-13.269606457875142</v>
      </c>
      <c r="M2219" s="11">
        <f>ABS(L2219/$U$6)</f>
        <v>3.8686899294096626E-2</v>
      </c>
      <c r="N2219" s="12">
        <f>L2219*SIN(RADIANS(K2219))</f>
        <v>-13.068011319136303</v>
      </c>
      <c r="O2219" s="12">
        <f>L2219*COS(RADIANS(K2219))</f>
        <v>-2.3042429797673498</v>
      </c>
      <c r="P2219" s="5">
        <v>1.7958433438208838</v>
      </c>
      <c r="Q2219" s="5">
        <v>0.49639175626458132</v>
      </c>
      <c r="R2219" s="6">
        <f>P2219/Q2219</f>
        <v>3.6177944560055968</v>
      </c>
    </row>
    <row r="2220" spans="1:18" x14ac:dyDescent="0.35">
      <c r="A2220" s="9">
        <v>2221</v>
      </c>
      <c r="B2220" s="5">
        <v>0.5</v>
      </c>
      <c r="C2220" s="5">
        <v>2000000</v>
      </c>
      <c r="D2220" s="5">
        <v>10</v>
      </c>
      <c r="E2220" s="5">
        <v>0</v>
      </c>
      <c r="F2220" s="5">
        <v>7.4999999999999997E-2</v>
      </c>
      <c r="G2220" s="12">
        <f>(C2220*$U$4)/($U$5*$U$3)</f>
        <v>29.387755102040813</v>
      </c>
      <c r="H2220" s="11">
        <f>G2220*COS(RADIANS(D2220))</f>
        <v>28.941289068113864</v>
      </c>
      <c r="I2220" s="11">
        <f>G2220*SIN(RADIANS(D2220))</f>
        <v>5.1031301191914213</v>
      </c>
      <c r="J2220" s="12">
        <v>0.23230000000000001</v>
      </c>
      <c r="K2220" s="12">
        <v>0</v>
      </c>
      <c r="L2220" s="12">
        <f>-(F2220*G2220*$U$3)/J2220</f>
        <v>-9.4880827923076243</v>
      </c>
      <c r="M2220" s="11">
        <f>ABS(L2220/$U$6)</f>
        <v>2.7662048957165085E-2</v>
      </c>
      <c r="N2220" s="12">
        <f>L2220*SIN(RADIANS(K2220))</f>
        <v>0</v>
      </c>
      <c r="O2220" s="12">
        <f>L2220*COS(RADIANS(K2220))</f>
        <v>-9.4880827923076243</v>
      </c>
      <c r="P2220" s="5">
        <v>4.6092932961599136</v>
      </c>
      <c r="Q2220" s="5">
        <v>0.60266418469655769</v>
      </c>
      <c r="R2220" s="6">
        <f>P2220/Q2220</f>
        <v>7.6481951527959131</v>
      </c>
    </row>
    <row r="2221" spans="1:18" x14ac:dyDescent="0.35">
      <c r="A2221" s="9">
        <v>2222</v>
      </c>
      <c r="B2221" s="5">
        <v>0.75</v>
      </c>
      <c r="C2221" s="5">
        <v>2000000</v>
      </c>
      <c r="D2221" s="5">
        <v>5</v>
      </c>
      <c r="E2221" s="5">
        <v>0.25</v>
      </c>
      <c r="F2221" s="5">
        <v>1.4999999999999999E-2</v>
      </c>
      <c r="G2221" s="12">
        <f>(C2221*$U$4)/($U$5*$U$3)</f>
        <v>29.387755102040813</v>
      </c>
      <c r="H2221" s="11">
        <f>G2221*COS(RADIANS(D2221))</f>
        <v>29.275925821471702</v>
      </c>
      <c r="I2221" s="11">
        <f>G2221*SIN(RADIANS(D2221))</f>
        <v>2.5613116236046478</v>
      </c>
      <c r="J2221" s="12">
        <v>0.28370000000000001</v>
      </c>
      <c r="K2221" s="11">
        <v>38</v>
      </c>
      <c r="L2221" s="12">
        <f>-(F2221*G2221*$U$3)/J2221</f>
        <v>-1.5538115140310615</v>
      </c>
      <c r="M2221" s="11">
        <f>ABS(L2221/$U$6)</f>
        <v>4.5300627231226282E-3</v>
      </c>
      <c r="N2221" s="12">
        <f>L2221*SIN(RADIANS(K2221))</f>
        <v>-0.95662188910635815</v>
      </c>
      <c r="O2221" s="12">
        <f>L2221*COS(RADIANS(K2221))</f>
        <v>-1.2244201821344183</v>
      </c>
      <c r="P2221" s="5">
        <v>4.6775628560471985</v>
      </c>
      <c r="Q2221" s="5">
        <v>2.0403095208375664E-2</v>
      </c>
      <c r="R2221" s="6">
        <f>P2221/Q2221</f>
        <v>229.25751256245741</v>
      </c>
    </row>
    <row r="2222" spans="1:18" x14ac:dyDescent="0.35">
      <c r="A2222" s="9">
        <v>2223</v>
      </c>
      <c r="B2222" s="5">
        <v>0.1</v>
      </c>
      <c r="C2222" s="5">
        <v>4000000</v>
      </c>
      <c r="D2222" s="5">
        <v>30</v>
      </c>
      <c r="E2222" s="5">
        <v>0.375</v>
      </c>
      <c r="F2222" s="5">
        <v>0</v>
      </c>
      <c r="G2222" s="12">
        <f>(C2222*$U$4)/($U$5*$U$3)</f>
        <v>58.775510204081627</v>
      </c>
      <c r="H2222" s="11">
        <f>G2222*COS(RADIANS(D2222))</f>
        <v>50.901084957126187</v>
      </c>
      <c r="I2222" s="11">
        <f>G2222*SIN(RADIANS(D2222))</f>
        <v>29.38775510204081</v>
      </c>
      <c r="J2222" s="12">
        <v>0.16789999999999999</v>
      </c>
      <c r="K2222" s="11">
        <v>85</v>
      </c>
      <c r="L2222" s="12">
        <f>-(F2222*G2222*$U$3)/J2222</f>
        <v>0</v>
      </c>
      <c r="M2222" s="11">
        <f>ABS(L2222/$U$6)</f>
        <v>0</v>
      </c>
      <c r="N2222" s="12">
        <f>L2222*SIN(RADIANS(K2222))</f>
        <v>0</v>
      </c>
      <c r="O2222" s="12">
        <f>L2222*COS(RADIANS(K2222))</f>
        <v>0</v>
      </c>
      <c r="P2222" s="5">
        <v>1.5393330588491332</v>
      </c>
      <c r="Q2222" s="5">
        <v>1.1826660934520155</v>
      </c>
      <c r="R2222" s="6">
        <f>P2222/Q2222</f>
        <v>1.3015787527619593</v>
      </c>
    </row>
    <row r="2223" spans="1:18" x14ac:dyDescent="0.35">
      <c r="A2223" s="9">
        <v>2224</v>
      </c>
      <c r="B2223" s="5">
        <v>0.1</v>
      </c>
      <c r="C2223" s="5">
        <v>6000000</v>
      </c>
      <c r="D2223" s="5">
        <v>15</v>
      </c>
      <c r="E2223" s="5">
        <v>0.375</v>
      </c>
      <c r="F2223" s="5">
        <v>1.4999999999999999E-2</v>
      </c>
      <c r="G2223" s="12">
        <f>(C2223*$U$4)/($U$5*$U$3)</f>
        <v>88.16326530612244</v>
      </c>
      <c r="H2223" s="11">
        <f>G2223*COS(RADIANS(D2223))</f>
        <v>85.159174889158663</v>
      </c>
      <c r="I2223" s="11">
        <f>G2223*SIN(RADIANS(D2223))</f>
        <v>22.818332139650806</v>
      </c>
      <c r="J2223" s="12">
        <v>0.16789999999999999</v>
      </c>
      <c r="K2223" s="11">
        <v>85</v>
      </c>
      <c r="L2223" s="12">
        <f>-(F2223*G2223*$U$3)/J2223</f>
        <v>-7.8764084549841371</v>
      </c>
      <c r="M2223" s="11">
        <f>ABS(L2223/$U$6)</f>
        <v>2.2963289956221974E-2</v>
      </c>
      <c r="N2223" s="12">
        <f>L2223*SIN(RADIANS(K2223))</f>
        <v>-7.8464363428601942</v>
      </c>
      <c r="O2223" s="12">
        <f>L2223*COS(RADIANS(K2223))</f>
        <v>-0.68647422907807698</v>
      </c>
      <c r="P2223" s="5">
        <v>1.7794230031635057</v>
      </c>
      <c r="Q2223" s="5">
        <v>0.68251263485503477</v>
      </c>
      <c r="R2223" s="6">
        <f>P2223/Q2223</f>
        <v>2.6071649260258076</v>
      </c>
    </row>
    <row r="2224" spans="1:18" x14ac:dyDescent="0.35">
      <c r="A2224" s="9">
        <v>2225</v>
      </c>
      <c r="B2224" s="5">
        <v>0.75</v>
      </c>
      <c r="C2224" s="5">
        <v>6000000</v>
      </c>
      <c r="D2224" s="5">
        <v>30</v>
      </c>
      <c r="E2224" s="5">
        <v>0.375</v>
      </c>
      <c r="F2224" s="5">
        <v>0.05</v>
      </c>
      <c r="G2224" s="12">
        <f>(C2224*$U$4)/($U$5*$U$3)</f>
        <v>88.16326530612244</v>
      </c>
      <c r="H2224" s="11">
        <f>G2224*COS(RADIANS(D2224))</f>
        <v>76.351627435689281</v>
      </c>
      <c r="I2224" s="11">
        <f>G2224*SIN(RADIANS(D2224))</f>
        <v>44.081632653061213</v>
      </c>
      <c r="J2224" s="11">
        <v>0.29299999999999998</v>
      </c>
      <c r="K2224" s="12">
        <v>57</v>
      </c>
      <c r="L2224" s="12">
        <f>-(F2224*G2224*$U$3)/J2224</f>
        <v>-15.044925820157413</v>
      </c>
      <c r="M2224" s="11">
        <f>ABS(L2224/$U$6)</f>
        <v>4.3862757493170298E-2</v>
      </c>
      <c r="N2224" s="12">
        <f>L2224*SIN(RADIANS(K2224))</f>
        <v>-12.617736482288192</v>
      </c>
      <c r="O2224" s="12">
        <f>L2224*COS(RADIANS(K2224))</f>
        <v>-8.1940538805631977</v>
      </c>
      <c r="P2224" s="5">
        <v>5.5369733671576551</v>
      </c>
      <c r="Q2224" s="5">
        <v>1.3401929629897191</v>
      </c>
      <c r="R2224" s="6">
        <f>P2224/Q2224</f>
        <v>4.1314747354035539</v>
      </c>
    </row>
    <row r="2225" spans="1:18" x14ac:dyDescent="0.35">
      <c r="A2225" s="9">
        <v>2226</v>
      </c>
      <c r="B2225" s="5">
        <v>0.25</v>
      </c>
      <c r="C2225" s="5">
        <v>4000000</v>
      </c>
      <c r="D2225" s="5">
        <v>5</v>
      </c>
      <c r="E2225" s="5">
        <v>0.375</v>
      </c>
      <c r="F2225" s="5">
        <v>0</v>
      </c>
      <c r="G2225" s="12">
        <f>(C2225*$U$4)/($U$5*$U$3)</f>
        <v>58.775510204081627</v>
      </c>
      <c r="H2225" s="11">
        <f>G2225*COS(RADIANS(D2225))</f>
        <v>58.551851642943404</v>
      </c>
      <c r="I2225" s="11">
        <f>G2225*SIN(RADIANS(D2225))</f>
        <v>5.1226232472092956</v>
      </c>
      <c r="J2225" s="11">
        <v>0.1976</v>
      </c>
      <c r="K2225" s="12">
        <v>78</v>
      </c>
      <c r="L2225" s="12">
        <f>-(F2225*G2225*$U$3)/J2225</f>
        <v>0</v>
      </c>
      <c r="M2225" s="11">
        <f>ABS(L2225/$U$6)</f>
        <v>0</v>
      </c>
      <c r="N2225" s="12">
        <f>L2225*SIN(RADIANS(K2225))</f>
        <v>0</v>
      </c>
      <c r="O2225" s="12">
        <f>L2225*COS(RADIANS(K2225))</f>
        <v>0</v>
      </c>
      <c r="P2225" s="5">
        <v>2.7717215109144022</v>
      </c>
      <c r="Q2225" s="5">
        <v>0.47418825850536267</v>
      </c>
      <c r="R2225" s="6">
        <f>P2225/Q2225</f>
        <v>5.8451922020398497</v>
      </c>
    </row>
    <row r="2226" spans="1:18" x14ac:dyDescent="0.35">
      <c r="A2226" s="9">
        <v>2227</v>
      </c>
      <c r="B2226" s="5">
        <v>0.1</v>
      </c>
      <c r="C2226" s="5">
        <v>6000000</v>
      </c>
      <c r="D2226" s="5">
        <v>10</v>
      </c>
      <c r="E2226" s="5">
        <v>0.375</v>
      </c>
      <c r="F2226" s="5">
        <v>3.5000000000000003E-2</v>
      </c>
      <c r="G2226" s="12">
        <f>(C2226*$U$4)/($U$5*$U$3)</f>
        <v>88.16326530612244</v>
      </c>
      <c r="H2226" s="11">
        <f>G2226*COS(RADIANS(D2226))</f>
        <v>86.823867204341596</v>
      </c>
      <c r="I2226" s="11">
        <f>G2226*SIN(RADIANS(D2226))</f>
        <v>15.309390357574264</v>
      </c>
      <c r="J2226" s="12">
        <v>0.16789999999999999</v>
      </c>
      <c r="K2226" s="11">
        <v>85</v>
      </c>
      <c r="L2226" s="12">
        <f>-(F2226*G2226*$U$3)/J2226</f>
        <v>-18.378286394962991</v>
      </c>
      <c r="M2226" s="11">
        <f>ABS(L2226/$U$6)</f>
        <v>5.3581009897851285E-2</v>
      </c>
      <c r="N2226" s="12">
        <f>L2226*SIN(RADIANS(K2226))</f>
        <v>-18.308351466673791</v>
      </c>
      <c r="O2226" s="12">
        <f>L2226*COS(RADIANS(K2226))</f>
        <v>-1.6017732011821799</v>
      </c>
      <c r="P2226" s="5">
        <v>1.8438656832227214</v>
      </c>
      <c r="Q2226" s="5">
        <v>0.51495602976520627</v>
      </c>
      <c r="R2226" s="6">
        <f>P2226/Q2226</f>
        <v>3.5806274257307567</v>
      </c>
    </row>
    <row r="2227" spans="1:18" x14ac:dyDescent="0.35">
      <c r="A2227" s="9">
        <v>2228</v>
      </c>
      <c r="B2227" s="5">
        <v>0.25</v>
      </c>
      <c r="C2227" s="5">
        <v>4000000</v>
      </c>
      <c r="D2227" s="5">
        <v>0</v>
      </c>
      <c r="E2227" s="5">
        <v>0.25</v>
      </c>
      <c r="F2227" s="5">
        <v>0.1</v>
      </c>
      <c r="G2227" s="12">
        <f>(C2227*$U$4)/($U$5*$U$3)</f>
        <v>58.775510204081627</v>
      </c>
      <c r="H2227" s="11">
        <f>G2227*COS(RADIANS(D2227))</f>
        <v>58.775510204081627</v>
      </c>
      <c r="I2227" s="11">
        <f>G2227*SIN(RADIANS(D2227))</f>
        <v>0</v>
      </c>
      <c r="J2227" s="12">
        <v>0.1913</v>
      </c>
      <c r="K2227" s="11">
        <v>67</v>
      </c>
      <c r="L2227" s="12">
        <f>-(F2227*G2227*$U$3)/J2227</f>
        <v>-30.724260430779733</v>
      </c>
      <c r="M2227" s="11">
        <f>ABS(L2227/$U$6)</f>
        <v>8.9575103296733918E-2</v>
      </c>
      <c r="N2227" s="12">
        <f>L2227*SIN(RADIANS(K2227))</f>
        <v>-28.281830845269511</v>
      </c>
      <c r="O2227" s="12">
        <f>L2227*COS(RADIANS(K2227))</f>
        <v>-12.004924950116903</v>
      </c>
      <c r="P2227" s="5">
        <v>2.2803286159818246</v>
      </c>
      <c r="Q2227" s="5">
        <v>7.7605482382838181E-2</v>
      </c>
      <c r="R2227" s="6">
        <f>P2227/Q2227</f>
        <v>29.383602111158329</v>
      </c>
    </row>
    <row r="2228" spans="1:18" x14ac:dyDescent="0.35">
      <c r="A2228" s="9">
        <v>2229</v>
      </c>
      <c r="B2228" s="5">
        <v>1</v>
      </c>
      <c r="C2228" s="5">
        <v>2000000</v>
      </c>
      <c r="D2228" s="5">
        <v>5</v>
      </c>
      <c r="E2228" s="5">
        <v>0</v>
      </c>
      <c r="F2228" s="5">
        <v>7.4999999999999997E-2</v>
      </c>
      <c r="G2228" s="12">
        <f>(C2228*$U$4)/($U$5*$U$3)</f>
        <v>29.387755102040813</v>
      </c>
      <c r="H2228" s="11">
        <f>G2228*COS(RADIANS(D2228))</f>
        <v>29.275925821471702</v>
      </c>
      <c r="I2228" s="11">
        <f>G2228*SIN(RADIANS(D2228))</f>
        <v>2.5613116236046478</v>
      </c>
      <c r="J2228" s="11">
        <v>0.33379999999999999</v>
      </c>
      <c r="K2228" s="12">
        <v>0</v>
      </c>
      <c r="L2228" s="12">
        <f>-(F2228*G2228*$U$3)/J2228</f>
        <v>-6.6030006969834067</v>
      </c>
      <c r="M2228" s="11">
        <f>ABS(L2228/$U$6)</f>
        <v>1.9250730894995356E-2</v>
      </c>
      <c r="N2228" s="12">
        <f>L2228*SIN(RADIANS(K2228))</f>
        <v>0</v>
      </c>
      <c r="O2228" s="12">
        <f>L2228*COS(RADIANS(K2228))</f>
        <v>-6.6030006969834067</v>
      </c>
      <c r="P2228" s="5">
        <v>6.4259352113220389</v>
      </c>
      <c r="Q2228" s="5">
        <v>0.60837811134287945</v>
      </c>
      <c r="R2228" s="6">
        <f>P2228/Q2228</f>
        <v>10.562403695192129</v>
      </c>
    </row>
    <row r="2229" spans="1:18" x14ac:dyDescent="0.35">
      <c r="A2229" s="9">
        <v>2230</v>
      </c>
      <c r="B2229" s="5">
        <v>0.75</v>
      </c>
      <c r="C2229" s="5">
        <v>6000000</v>
      </c>
      <c r="D2229" s="5">
        <v>0</v>
      </c>
      <c r="E2229" s="5">
        <v>0.25</v>
      </c>
      <c r="F2229" s="5">
        <v>0</v>
      </c>
      <c r="G2229" s="12">
        <f>(C2229*$U$4)/($U$5*$U$3)</f>
        <v>88.16326530612244</v>
      </c>
      <c r="H2229" s="11">
        <f>G2229*COS(RADIANS(D2229))</f>
        <v>88.16326530612244</v>
      </c>
      <c r="I2229" s="11">
        <f>G2229*SIN(RADIANS(D2229))</f>
        <v>0</v>
      </c>
      <c r="J2229" s="12">
        <v>0.28370000000000001</v>
      </c>
      <c r="K2229" s="11">
        <v>38</v>
      </c>
      <c r="L2229" s="12">
        <f>-(F2229*G2229*$U$3)/J2229</f>
        <v>0</v>
      </c>
      <c r="M2229" s="11">
        <f>ABS(L2229/$U$6)</f>
        <v>0</v>
      </c>
      <c r="N2229" s="12">
        <f>L2229*SIN(RADIANS(K2229))</f>
        <v>0</v>
      </c>
      <c r="O2229" s="12">
        <f>L2229*COS(RADIANS(K2229))</f>
        <v>0</v>
      </c>
      <c r="P2229" s="5">
        <v>6.067003130813946</v>
      </c>
      <c r="Q2229" s="5">
        <v>0.4965387998407863</v>
      </c>
      <c r="R2229" s="6">
        <f>P2229/Q2229</f>
        <v>12.218588220617024</v>
      </c>
    </row>
    <row r="2230" spans="1:18" x14ac:dyDescent="0.35">
      <c r="A2230" s="9">
        <v>2231</v>
      </c>
      <c r="B2230" s="5">
        <v>0.1</v>
      </c>
      <c r="C2230" s="5">
        <v>4000000</v>
      </c>
      <c r="D2230" s="5">
        <v>0</v>
      </c>
      <c r="E2230" s="5">
        <v>0.375</v>
      </c>
      <c r="F2230" s="5">
        <v>7.4999999999999997E-2</v>
      </c>
      <c r="G2230" s="12">
        <f>(C2230*$U$4)/($U$5*$U$3)</f>
        <v>58.775510204081627</v>
      </c>
      <c r="H2230" s="11">
        <f>G2230*COS(RADIANS(D2230))</f>
        <v>58.775510204081627</v>
      </c>
      <c r="I2230" s="11">
        <f>G2230*SIN(RADIANS(D2230))</f>
        <v>0</v>
      </c>
      <c r="J2230" s="12">
        <v>0.16789999999999999</v>
      </c>
      <c r="K2230" s="11">
        <v>85</v>
      </c>
      <c r="L2230" s="12">
        <f>-(F2230*G2230*$U$3)/J2230</f>
        <v>-26.254694849947125</v>
      </c>
      <c r="M2230" s="11">
        <f>ABS(L2230/$U$6)</f>
        <v>7.6544299854073253E-2</v>
      </c>
      <c r="N2230" s="12">
        <f>L2230*SIN(RADIANS(K2230))</f>
        <v>-26.154787809533982</v>
      </c>
      <c r="O2230" s="12">
        <f>L2230*COS(RADIANS(K2230))</f>
        <v>-2.2882474302602565</v>
      </c>
      <c r="P2230" s="5">
        <v>1.7374050726312513</v>
      </c>
      <c r="Q2230" s="5">
        <v>0.18924129200293954</v>
      </c>
      <c r="R2230" s="6">
        <f>P2230/Q2230</f>
        <v>9.1808983876746293</v>
      </c>
    </row>
    <row r="2231" spans="1:18" x14ac:dyDescent="0.35">
      <c r="A2231" s="9">
        <v>2232</v>
      </c>
      <c r="B2231" s="5">
        <v>0.75</v>
      </c>
      <c r="C2231" s="5">
        <v>2000000</v>
      </c>
      <c r="D2231" s="5">
        <v>15</v>
      </c>
      <c r="E2231" s="5">
        <v>0.375</v>
      </c>
      <c r="F2231" s="5">
        <v>2.5000000000000001E-2</v>
      </c>
      <c r="G2231" s="12">
        <f>(C2231*$U$4)/($U$5*$U$3)</f>
        <v>29.387755102040813</v>
      </c>
      <c r="H2231" s="11">
        <f>G2231*COS(RADIANS(D2231))</f>
        <v>28.386391629719554</v>
      </c>
      <c r="I2231" s="11">
        <f>G2231*SIN(RADIANS(D2231))</f>
        <v>7.6061107132169354</v>
      </c>
      <c r="J2231" s="11">
        <v>0.29299999999999998</v>
      </c>
      <c r="K2231" s="12">
        <v>57</v>
      </c>
      <c r="L2231" s="12">
        <f>-(F2231*G2231*$U$3)/J2231</f>
        <v>-2.5074876366929022</v>
      </c>
      <c r="M2231" s="11">
        <f>ABS(L2231/$U$6)</f>
        <v>7.31045958219505E-3</v>
      </c>
      <c r="N2231" s="12">
        <f>L2231*SIN(RADIANS(K2231))</f>
        <v>-2.1029560803813654</v>
      </c>
      <c r="O2231" s="12">
        <f>L2231*COS(RADIANS(K2231))</f>
        <v>-1.3656756467605331</v>
      </c>
      <c r="P2231" s="5">
        <v>4.2052128957437604</v>
      </c>
      <c r="Q2231" s="5">
        <v>0.43226076414481462</v>
      </c>
      <c r="R2231" s="6">
        <f>P2231/Q2231</f>
        <v>9.7284168366827384</v>
      </c>
    </row>
    <row r="2232" spans="1:18" x14ac:dyDescent="0.35">
      <c r="A2232" s="9">
        <v>2233</v>
      </c>
      <c r="B2232" s="5">
        <v>1</v>
      </c>
      <c r="C2232" s="5">
        <v>6000000</v>
      </c>
      <c r="D2232" s="5">
        <v>10</v>
      </c>
      <c r="E2232" s="5">
        <v>0.25</v>
      </c>
      <c r="F2232" s="5">
        <v>1.4999999999999999E-2</v>
      </c>
      <c r="G2232" s="12">
        <f>(C2232*$U$4)/($U$5*$U$3)</f>
        <v>88.16326530612244</v>
      </c>
      <c r="H2232" s="11">
        <f>G2232*COS(RADIANS(D2232))</f>
        <v>86.823867204341596</v>
      </c>
      <c r="I2232" s="11">
        <f>G2232*SIN(RADIANS(D2232))</f>
        <v>15.309390357574264</v>
      </c>
      <c r="J2232" s="13">
        <v>0.33379999999999999</v>
      </c>
      <c r="K2232" s="12">
        <v>30</v>
      </c>
      <c r="L2232" s="12">
        <f>-(F2232*G2232*$U$3)/J2232</f>
        <v>-3.9618004181900441</v>
      </c>
      <c r="M2232" s="11">
        <f>ABS(L2232/$U$6)</f>
        <v>1.1550438536997214E-2</v>
      </c>
      <c r="N2232" s="12">
        <f>L2232*SIN(RADIANS(K2232))</f>
        <v>-1.9809002090950218</v>
      </c>
      <c r="O2232" s="12">
        <f>L2232*COS(RADIANS(K2232))</f>
        <v>-3.4310198068763911</v>
      </c>
      <c r="P2232" s="5">
        <v>3.5823842611750893</v>
      </c>
      <c r="Q2232" s="5">
        <v>0.90070976268217751</v>
      </c>
      <c r="R2232" s="6">
        <f>P2232/Q2232</f>
        <v>3.9772903654416831</v>
      </c>
    </row>
    <row r="2233" spans="1:18" x14ac:dyDescent="0.35">
      <c r="A2233" s="9">
        <v>2234</v>
      </c>
      <c r="B2233" s="5">
        <v>0.75</v>
      </c>
      <c r="C2233" s="5">
        <v>2000000</v>
      </c>
      <c r="D2233" s="5">
        <v>30</v>
      </c>
      <c r="E2233" s="5">
        <v>0</v>
      </c>
      <c r="F2233" s="5">
        <v>1.4999999999999999E-2</v>
      </c>
      <c r="G2233" s="12">
        <f>(C2233*$U$4)/($U$5*$U$3)</f>
        <v>29.387755102040813</v>
      </c>
      <c r="H2233" s="11">
        <f>G2233*COS(RADIANS(D2233))</f>
        <v>25.450542478563094</v>
      </c>
      <c r="I2233" s="11">
        <f>G2233*SIN(RADIANS(D2233))</f>
        <v>14.693877551020405</v>
      </c>
      <c r="J2233" s="11">
        <v>0.27929999999999999</v>
      </c>
      <c r="K2233" s="12">
        <v>0</v>
      </c>
      <c r="L2233" s="12">
        <f>-(F2233*G2233*$U$3)/J2233</f>
        <v>-1.5782897476928472</v>
      </c>
      <c r="M2233" s="11">
        <f>ABS(L2233/$U$6)</f>
        <v>4.6014278358392051E-3</v>
      </c>
      <c r="N2233" s="12">
        <f>L2233*SIN(RADIANS(K2233))</f>
        <v>0</v>
      </c>
      <c r="O2233" s="12">
        <f>L2233*COS(RADIANS(K2233))</f>
        <v>-1.5782897476928472</v>
      </c>
      <c r="P2233" s="5">
        <v>2.0816531272028982</v>
      </c>
      <c r="Q2233" s="5">
        <v>1.3475261075896638</v>
      </c>
      <c r="R2233" s="6">
        <f>P2233/Q2233</f>
        <v>1.5447961382554407</v>
      </c>
    </row>
    <row r="2234" spans="1:18" x14ac:dyDescent="0.35">
      <c r="A2234" s="9">
        <v>2235</v>
      </c>
      <c r="B2234" s="5">
        <v>0.25</v>
      </c>
      <c r="C2234" s="5">
        <v>6000000</v>
      </c>
      <c r="D2234" s="5">
        <v>15</v>
      </c>
      <c r="E2234" s="5">
        <v>0.375</v>
      </c>
      <c r="F2234" s="5">
        <v>3.5000000000000003E-2</v>
      </c>
      <c r="G2234" s="12">
        <f>(C2234*$U$4)/($U$5*$U$3)</f>
        <v>88.16326530612244</v>
      </c>
      <c r="H2234" s="11">
        <f>G2234*COS(RADIANS(D2234))</f>
        <v>85.159174889158663</v>
      </c>
      <c r="I2234" s="11">
        <f>G2234*SIN(RADIANS(D2234))</f>
        <v>22.818332139650806</v>
      </c>
      <c r="J2234" s="11">
        <v>0.1976</v>
      </c>
      <c r="K2234" s="12">
        <v>78</v>
      </c>
      <c r="L2234" s="12">
        <f>-(F2234*G2234*$U$3)/J2234</f>
        <v>-15.615962984384037</v>
      </c>
      <c r="M2234" s="11">
        <f>ABS(L2234/$U$6)</f>
        <v>4.5527588875755212E-2</v>
      </c>
      <c r="N2234" s="12">
        <f>L2234*SIN(RADIANS(K2234))</f>
        <v>-15.274716726323165</v>
      </c>
      <c r="O2234" s="12">
        <f>L2234*COS(RADIANS(K2234))</f>
        <v>-3.2467412678308301</v>
      </c>
      <c r="P2234" s="5">
        <v>2.3622718646230858</v>
      </c>
      <c r="Q2234" s="5">
        <v>0.4530083358188628</v>
      </c>
      <c r="R2234" s="6">
        <f>P2234/Q2234</f>
        <v>5.2146322216190955</v>
      </c>
    </row>
    <row r="2235" spans="1:18" x14ac:dyDescent="0.35">
      <c r="A2235" s="9">
        <v>2236</v>
      </c>
      <c r="B2235" s="5">
        <v>0.25</v>
      </c>
      <c r="C2235" s="5">
        <v>6000000</v>
      </c>
      <c r="D2235" s="5">
        <v>30</v>
      </c>
      <c r="E2235" s="5">
        <v>0.125</v>
      </c>
      <c r="F2235" s="5">
        <v>2.5000000000000001E-2</v>
      </c>
      <c r="G2235" s="12">
        <f>(C2235*$U$4)/($U$5*$U$3)</f>
        <v>88.16326530612244</v>
      </c>
      <c r="H2235" s="11">
        <f>G2235*COS(RADIANS(D2235))</f>
        <v>76.351627435689281</v>
      </c>
      <c r="I2235" s="11">
        <f>G2235*SIN(RADIANS(D2235))</f>
        <v>44.081632653061213</v>
      </c>
      <c r="J2235" s="11">
        <v>0.19020000000000001</v>
      </c>
      <c r="K2235" s="12">
        <v>46</v>
      </c>
      <c r="L2235" s="12">
        <f>-(F2235*G2235*$U$3)/J2235</f>
        <v>-11.588231507113885</v>
      </c>
      <c r="M2235" s="11">
        <f>ABS(L2235/$U$6)</f>
        <v>3.3784931507620658E-2</v>
      </c>
      <c r="N2235" s="12">
        <f>L2235*SIN(RADIANS(K2235))</f>
        <v>-8.3358761386053679</v>
      </c>
      <c r="O2235" s="12">
        <f>L2235*COS(RADIANS(K2235))</f>
        <v>-8.0498620152333409</v>
      </c>
      <c r="P2235" s="5">
        <v>2.1697899038748982</v>
      </c>
      <c r="Q2235" s="5">
        <v>0.92656625634961076</v>
      </c>
      <c r="R2235" s="6">
        <f>P2235/Q2235</f>
        <v>2.3417536403961119</v>
      </c>
    </row>
    <row r="2236" spans="1:18" x14ac:dyDescent="0.35">
      <c r="A2236" s="9">
        <v>2237</v>
      </c>
      <c r="B2236" s="5">
        <v>1</v>
      </c>
      <c r="C2236" s="5">
        <v>4000000</v>
      </c>
      <c r="D2236" s="5">
        <v>0</v>
      </c>
      <c r="E2236" s="5">
        <v>0.375</v>
      </c>
      <c r="F2236" s="5">
        <v>2.5000000000000001E-2</v>
      </c>
      <c r="G2236" s="12">
        <f>(C2236*$U$4)/($U$5*$U$3)</f>
        <v>58.775510204081627</v>
      </c>
      <c r="H2236" s="11">
        <f>G2236*COS(RADIANS(D2236))</f>
        <v>58.775510204081627</v>
      </c>
      <c r="I2236" s="11">
        <f>G2236*SIN(RADIANS(D2236))</f>
        <v>0</v>
      </c>
      <c r="J2236" s="12">
        <v>0.33379999999999999</v>
      </c>
      <c r="K2236" s="11">
        <v>49</v>
      </c>
      <c r="L2236" s="12">
        <f>-(F2236*G2236*$U$3)/J2236</f>
        <v>-4.4020004646556048</v>
      </c>
      <c r="M2236" s="11">
        <f>ABS(L2236/$U$6)</f>
        <v>1.283382059666357E-2</v>
      </c>
      <c r="N2236" s="12">
        <f>L2236*SIN(RADIANS(K2236))</f>
        <v>-3.3222319228206789</v>
      </c>
      <c r="O2236" s="12">
        <f>L2236*COS(RADIANS(K2236))</f>
        <v>-2.8879721504577178</v>
      </c>
      <c r="P2236" s="5">
        <v>4.795478070354747</v>
      </c>
      <c r="Q2236" s="5">
        <v>-0.44830702009677226</v>
      </c>
      <c r="R2236" s="6">
        <f>P2236/Q2236</f>
        <v>-10.696861426170814</v>
      </c>
    </row>
    <row r="2237" spans="1:18" x14ac:dyDescent="0.35">
      <c r="A2237" s="9">
        <v>2238</v>
      </c>
      <c r="B2237" s="5">
        <v>0.25</v>
      </c>
      <c r="C2237" s="5">
        <v>2000000</v>
      </c>
      <c r="D2237" s="5">
        <v>20</v>
      </c>
      <c r="E2237" s="5">
        <v>0.375</v>
      </c>
      <c r="F2237" s="5">
        <v>1.4999999999999999E-2</v>
      </c>
      <c r="G2237" s="12">
        <f>(C2237*$U$4)/($U$5*$U$3)</f>
        <v>29.387755102040813</v>
      </c>
      <c r="H2237" s="11">
        <f>G2237*COS(RADIANS(D2237))</f>
        <v>27.615456610851183</v>
      </c>
      <c r="I2237" s="11">
        <f>G2237*SIN(RADIANS(D2237))</f>
        <v>10.051204212019652</v>
      </c>
      <c r="J2237" s="11">
        <v>0.1976</v>
      </c>
      <c r="K2237" s="12">
        <v>78</v>
      </c>
      <c r="L2237" s="12">
        <f>-(F2237*G2237*$U$3)/J2237</f>
        <v>-2.2308518549120051</v>
      </c>
      <c r="M2237" s="11">
        <f>ABS(L2237/$U$6)</f>
        <v>6.5039412679650296E-3</v>
      </c>
      <c r="N2237" s="12">
        <f>L2237*SIN(RADIANS(K2237))</f>
        <v>-2.1821023894747373</v>
      </c>
      <c r="O2237" s="12">
        <f>L2237*COS(RADIANS(K2237))</f>
        <v>-0.46382018111869</v>
      </c>
      <c r="P2237" s="5">
        <v>2.3938151874505706</v>
      </c>
      <c r="Q2237" s="5">
        <v>0.75865436908914441</v>
      </c>
      <c r="R2237" s="6">
        <f>P2237/Q2237</f>
        <v>3.1553435727584791</v>
      </c>
    </row>
    <row r="2238" spans="1:18" x14ac:dyDescent="0.35">
      <c r="A2238" s="9">
        <v>2239</v>
      </c>
      <c r="B2238" s="5">
        <v>0.25</v>
      </c>
      <c r="C2238" s="5">
        <v>4000000</v>
      </c>
      <c r="D2238" s="5">
        <v>5</v>
      </c>
      <c r="E2238" s="5">
        <v>0</v>
      </c>
      <c r="F2238" s="5">
        <v>0.1</v>
      </c>
      <c r="G2238" s="12">
        <f>(C2238*$U$4)/($U$5*$U$3)</f>
        <v>58.775510204081627</v>
      </c>
      <c r="H2238" s="11">
        <f>G2238*COS(RADIANS(D2238))</f>
        <v>58.551851642943404</v>
      </c>
      <c r="I2238" s="11">
        <f>G2238*SIN(RADIANS(D2238))</f>
        <v>5.1226232472092956</v>
      </c>
      <c r="J2238" s="12">
        <v>0.18990000000000001</v>
      </c>
      <c r="K2238" s="12">
        <v>0</v>
      </c>
      <c r="L2238" s="12">
        <f>-(F2238*G2238*$U$3)/J2238</f>
        <v>-30.95076893316568</v>
      </c>
      <c r="M2238" s="11">
        <f>ABS(L2238/$U$6)</f>
        <v>9.023547793925854E-2</v>
      </c>
      <c r="N2238" s="12">
        <f>L2238*SIN(RADIANS(K2238))</f>
        <v>0</v>
      </c>
      <c r="O2238" s="12">
        <f>L2238*COS(RADIANS(K2238))</f>
        <v>-30.95076893316568</v>
      </c>
      <c r="P2238" s="5">
        <v>2.3230397259823419</v>
      </c>
      <c r="Q2238" s="5">
        <v>0.2062648401166074</v>
      </c>
      <c r="R2238" s="6">
        <f>P2238/Q2238</f>
        <v>11.262412559838415</v>
      </c>
    </row>
    <row r="2239" spans="1:18" x14ac:dyDescent="0.35">
      <c r="A2239" s="9">
        <v>2240</v>
      </c>
      <c r="B2239" s="5">
        <v>0.1</v>
      </c>
      <c r="C2239" s="5">
        <v>4000000</v>
      </c>
      <c r="D2239" s="5">
        <v>0</v>
      </c>
      <c r="E2239" s="5">
        <v>0.375</v>
      </c>
      <c r="F2239" s="5">
        <v>0.05</v>
      </c>
      <c r="G2239" s="12">
        <f>(C2239*$U$4)/($U$5*$U$3)</f>
        <v>58.775510204081627</v>
      </c>
      <c r="H2239" s="11">
        <f>G2239*COS(RADIANS(D2239))</f>
        <v>58.775510204081627</v>
      </c>
      <c r="I2239" s="11">
        <f>G2239*SIN(RADIANS(D2239))</f>
        <v>0</v>
      </c>
      <c r="J2239" s="12">
        <v>0.16789999999999999</v>
      </c>
      <c r="K2239" s="11">
        <v>85</v>
      </c>
      <c r="L2239" s="12">
        <f>-(F2239*G2239*$U$3)/J2239</f>
        <v>-17.503129899964751</v>
      </c>
      <c r="M2239" s="11">
        <f>ABS(L2239/$U$6)</f>
        <v>5.1029533236048835E-2</v>
      </c>
      <c r="N2239" s="12">
        <f>L2239*SIN(RADIANS(K2239))</f>
        <v>-17.436525206355988</v>
      </c>
      <c r="O2239" s="12">
        <f>L2239*COS(RADIANS(K2239))</f>
        <v>-1.5254982868401712</v>
      </c>
      <c r="P2239" s="5">
        <v>1.6282536665887777</v>
      </c>
      <c r="Q2239" s="5">
        <v>0.18729871690238611</v>
      </c>
      <c r="R2239" s="6">
        <f>P2239/Q2239</f>
        <v>8.6933519541266779</v>
      </c>
    </row>
    <row r="2240" spans="1:18" x14ac:dyDescent="0.35">
      <c r="A2240" s="9">
        <v>2241</v>
      </c>
      <c r="B2240" s="5">
        <v>1</v>
      </c>
      <c r="C2240" s="5">
        <v>4000000</v>
      </c>
      <c r="D2240" s="5">
        <v>10</v>
      </c>
      <c r="E2240" s="5">
        <v>0.25</v>
      </c>
      <c r="F2240" s="5">
        <v>2.5000000000000001E-2</v>
      </c>
      <c r="G2240" s="12">
        <f>(C2240*$U$4)/($U$5*$U$3)</f>
        <v>58.775510204081627</v>
      </c>
      <c r="H2240" s="11">
        <f>G2240*COS(RADIANS(D2240))</f>
        <v>57.882578136227728</v>
      </c>
      <c r="I2240" s="11">
        <f>G2240*SIN(RADIANS(D2240))</f>
        <v>10.206260238382843</v>
      </c>
      <c r="J2240" s="13">
        <v>0.33379999999999999</v>
      </c>
      <c r="K2240" s="12">
        <v>30</v>
      </c>
      <c r="L2240" s="12">
        <f>-(F2240*G2240*$U$3)/J2240</f>
        <v>-4.4020004646556048</v>
      </c>
      <c r="M2240" s="11">
        <f>ABS(L2240/$U$6)</f>
        <v>1.283382059666357E-2</v>
      </c>
      <c r="N2240" s="12">
        <f>L2240*SIN(RADIANS(K2240))</f>
        <v>-2.201000232327802</v>
      </c>
      <c r="O2240" s="12">
        <f>L2240*COS(RADIANS(K2240))</f>
        <v>-3.8122442298626571</v>
      </c>
      <c r="P2240" s="5">
        <v>4.615274721198074</v>
      </c>
      <c r="Q2240" s="5">
        <v>0.36548346416062855</v>
      </c>
      <c r="R2240" s="6">
        <f>P2240/Q2240</f>
        <v>12.627861924745462</v>
      </c>
    </row>
    <row r="2241" spans="1:18" x14ac:dyDescent="0.35">
      <c r="A2241" s="9">
        <v>2242</v>
      </c>
      <c r="B2241" s="5">
        <v>0.5</v>
      </c>
      <c r="C2241" s="5">
        <v>2000000</v>
      </c>
      <c r="D2241" s="5">
        <v>5</v>
      </c>
      <c r="E2241" s="5">
        <v>0.25</v>
      </c>
      <c r="F2241" s="5">
        <v>2.5000000000000001E-2</v>
      </c>
      <c r="G2241" s="12">
        <f>(C2241*$U$4)/($U$5*$U$3)</f>
        <v>29.387755102040813</v>
      </c>
      <c r="H2241" s="11">
        <f>G2241*COS(RADIANS(D2241))</f>
        <v>29.275925821471702</v>
      </c>
      <c r="I2241" s="11">
        <f>G2241*SIN(RADIANS(D2241))</f>
        <v>2.5613116236046478</v>
      </c>
      <c r="J2241" s="11">
        <v>0.23580000000000001</v>
      </c>
      <c r="K2241" s="11">
        <v>49</v>
      </c>
      <c r="L2241" s="12">
        <f>-(F2241*G2241*$U$3)/J2241</f>
        <v>-3.115750116840629</v>
      </c>
      <c r="M2241" s="11">
        <f>ABS(L2241/$U$6)</f>
        <v>9.083819582625741E-3</v>
      </c>
      <c r="N2241" s="12">
        <f>L2241*SIN(RADIANS(K2241))</f>
        <v>-2.3514864627598437</v>
      </c>
      <c r="O2241" s="12">
        <f>L2241*COS(RADIANS(K2241))</f>
        <v>-2.0441159962315227</v>
      </c>
      <c r="P2241" s="5">
        <v>2.5960130504379353</v>
      </c>
      <c r="Q2241" s="5">
        <v>0.38499115361250025</v>
      </c>
      <c r="R2241" s="6">
        <f>P2241/Q2241</f>
        <v>6.7430459793132389</v>
      </c>
    </row>
    <row r="2242" spans="1:18" x14ac:dyDescent="0.35">
      <c r="A2242" s="9">
        <v>2243</v>
      </c>
      <c r="B2242" s="5">
        <v>0.5</v>
      </c>
      <c r="C2242" s="5">
        <v>4000000</v>
      </c>
      <c r="D2242" s="5">
        <v>15</v>
      </c>
      <c r="E2242" s="5">
        <v>0</v>
      </c>
      <c r="F2242" s="5">
        <v>2.5000000000000001E-2</v>
      </c>
      <c r="G2242" s="12">
        <f>(C2242*$U$4)/($U$5*$U$3)</f>
        <v>58.775510204081627</v>
      </c>
      <c r="H2242" s="11">
        <f>G2242*COS(RADIANS(D2242))</f>
        <v>56.772783259439109</v>
      </c>
      <c r="I2242" s="11">
        <f>G2242*SIN(RADIANS(D2242))</f>
        <v>15.212221426433871</v>
      </c>
      <c r="J2242" s="12">
        <v>0.23230000000000001</v>
      </c>
      <c r="K2242" s="12">
        <v>0</v>
      </c>
      <c r="L2242" s="12">
        <f>-(F2242*G2242*$U$3)/J2242</f>
        <v>-6.3253885282050826</v>
      </c>
      <c r="M2242" s="11">
        <f>ABS(L2242/$U$6)</f>
        <v>1.8441365971443389E-2</v>
      </c>
      <c r="N2242" s="12">
        <f>L2242*SIN(RADIANS(K2242))</f>
        <v>0</v>
      </c>
      <c r="O2242" s="12">
        <f>L2242*COS(RADIANS(K2242))</f>
        <v>-6.3253885282050826</v>
      </c>
      <c r="P2242" s="5">
        <v>2.2360106967493993</v>
      </c>
      <c r="Q2242" s="5">
        <v>0.80590222711964121</v>
      </c>
      <c r="R2242" s="6">
        <f>P2242/Q2242</f>
        <v>2.7745433893899012</v>
      </c>
    </row>
    <row r="2243" spans="1:18" x14ac:dyDescent="0.35">
      <c r="A2243" s="9">
        <v>2244</v>
      </c>
      <c r="B2243" s="5">
        <v>0.1</v>
      </c>
      <c r="C2243" s="5">
        <v>4000000</v>
      </c>
      <c r="D2243" s="5">
        <v>20</v>
      </c>
      <c r="E2243" s="5">
        <v>0.25</v>
      </c>
      <c r="F2243" s="5">
        <v>0.05</v>
      </c>
      <c r="G2243" s="12">
        <f>(C2243*$U$4)/($U$5*$U$3)</f>
        <v>58.775510204081627</v>
      </c>
      <c r="H2243" s="11">
        <f>G2243*COS(RADIANS(D2243))</f>
        <v>55.230913221702366</v>
      </c>
      <c r="I2243" s="11">
        <f>G2243*SIN(RADIANS(D2243))</f>
        <v>20.102408424039304</v>
      </c>
      <c r="J2243" s="11">
        <v>0.1661</v>
      </c>
      <c r="K2243" s="12">
        <v>80</v>
      </c>
      <c r="L2243" s="12">
        <f>-(F2243*G2243*$U$3)/J2243</f>
        <v>-17.69280861050019</v>
      </c>
      <c r="M2243" s="11">
        <f>ABS(L2243/$U$6)</f>
        <v>5.1582532392128837E-2</v>
      </c>
      <c r="N2243" s="12">
        <f>L2243*SIN(RADIANS(K2243))</f>
        <v>-17.42401509218174</v>
      </c>
      <c r="O2243" s="12">
        <f>L2243*COS(RADIANS(K2243))</f>
        <v>-3.0723239730231331</v>
      </c>
      <c r="P2243" s="5">
        <v>1.6119330676793662</v>
      </c>
      <c r="Q2243" s="5">
        <v>0.79222000429427686</v>
      </c>
      <c r="R2243" s="6">
        <f>P2243/Q2243</f>
        <v>2.0347038183102986</v>
      </c>
    </row>
    <row r="2244" spans="1:18" x14ac:dyDescent="0.35">
      <c r="A2244" s="9">
        <v>2245</v>
      </c>
      <c r="B2244" s="5">
        <v>1</v>
      </c>
      <c r="C2244" s="5">
        <v>2000000</v>
      </c>
      <c r="D2244" s="5">
        <v>0</v>
      </c>
      <c r="E2244" s="5">
        <v>0.125</v>
      </c>
      <c r="F2244" s="5">
        <v>2.5000000000000001E-2</v>
      </c>
      <c r="G2244" s="12">
        <f>(C2244*$U$4)/($U$5*$U$3)</f>
        <v>29.387755102040813</v>
      </c>
      <c r="H2244" s="11">
        <f>G2244*COS(RADIANS(D2244))</f>
        <v>29.387755102040813</v>
      </c>
      <c r="I2244" s="11">
        <f>G2244*SIN(RADIANS(D2244))</f>
        <v>0</v>
      </c>
      <c r="J2244" s="11">
        <v>0.33379999999999999</v>
      </c>
      <c r="K2244" s="12">
        <v>14</v>
      </c>
      <c r="L2244" s="12">
        <f>-(F2244*G2244*$U$3)/J2244</f>
        <v>-2.2010002323278024</v>
      </c>
      <c r="M2244" s="11">
        <f>ABS(L2244/$U$6)</f>
        <v>6.4169102983317851E-3</v>
      </c>
      <c r="N2244" s="12">
        <f>L2244*SIN(RADIANS(K2244))</f>
        <v>-0.53247014842005103</v>
      </c>
      <c r="O2244" s="12">
        <f>L2244*COS(RADIANS(K2244))</f>
        <v>-2.1356211189601422</v>
      </c>
      <c r="P2244" s="5">
        <v>3.7406667533864479</v>
      </c>
      <c r="Q2244" s="5">
        <v>0.526674085572576</v>
      </c>
      <c r="R2244" s="6">
        <f>P2244/Q2244</f>
        <v>7.1024317616078756</v>
      </c>
    </row>
    <row r="2245" spans="1:18" x14ac:dyDescent="0.35">
      <c r="A2245" s="9">
        <v>2246</v>
      </c>
      <c r="B2245" s="5">
        <v>0.75</v>
      </c>
      <c r="C2245" s="5">
        <v>2000000</v>
      </c>
      <c r="D2245" s="5">
        <v>0</v>
      </c>
      <c r="E2245" s="5">
        <v>0.125</v>
      </c>
      <c r="F2245" s="5">
        <v>0.05</v>
      </c>
      <c r="G2245" s="12">
        <f>(C2245*$U$4)/($U$5*$U$3)</f>
        <v>29.387755102040813</v>
      </c>
      <c r="H2245" s="11">
        <f>G2245*COS(RADIANS(D2245))</f>
        <v>29.387755102040813</v>
      </c>
      <c r="I2245" s="11">
        <f>G2245*SIN(RADIANS(D2245))</f>
        <v>0</v>
      </c>
      <c r="J2245" s="12">
        <v>0.2802</v>
      </c>
      <c r="K2245" s="12">
        <v>19</v>
      </c>
      <c r="L2245" s="12">
        <f>-(F2245*G2245*$U$3)/J2245</f>
        <v>-5.2440676484726643</v>
      </c>
      <c r="M2245" s="11">
        <f>ABS(L2245/$U$6)</f>
        <v>1.5288826963477156E-2</v>
      </c>
      <c r="N2245" s="12">
        <f>L2245*SIN(RADIANS(K2245))</f>
        <v>-1.707301426161727</v>
      </c>
      <c r="O2245" s="12">
        <f>L2245*COS(RADIANS(K2245))</f>
        <v>-4.9583633733303323</v>
      </c>
      <c r="P2245" s="5">
        <v>5.1991478124602359</v>
      </c>
      <c r="Q2245" s="5">
        <v>-9.6909934652955762E-2</v>
      </c>
      <c r="R2245" s="6">
        <f>P2245/Q2245</f>
        <v>-53.649275805199004</v>
      </c>
    </row>
    <row r="2246" spans="1:18" x14ac:dyDescent="0.35">
      <c r="A2246" s="9">
        <v>2247</v>
      </c>
      <c r="B2246" s="5">
        <v>0.75</v>
      </c>
      <c r="C2246" s="5">
        <v>2000000</v>
      </c>
      <c r="D2246" s="5">
        <v>10</v>
      </c>
      <c r="E2246" s="5">
        <v>0.25</v>
      </c>
      <c r="F2246" s="5">
        <v>3.5000000000000003E-2</v>
      </c>
      <c r="G2246" s="12">
        <f>(C2246*$U$4)/($U$5*$U$3)</f>
        <v>29.387755102040813</v>
      </c>
      <c r="H2246" s="11">
        <f>G2246*COS(RADIANS(D2246))</f>
        <v>28.941289068113864</v>
      </c>
      <c r="I2246" s="11">
        <f>G2246*SIN(RADIANS(D2246))</f>
        <v>5.1031301191914213</v>
      </c>
      <c r="J2246" s="12">
        <v>0.28370000000000001</v>
      </c>
      <c r="K2246" s="11">
        <v>38</v>
      </c>
      <c r="L2246" s="12">
        <f>-(F2246*G2246*$U$3)/J2246</f>
        <v>-3.6255601994058106</v>
      </c>
      <c r="M2246" s="11">
        <f>ABS(L2246/$U$6)</f>
        <v>1.05701463539528E-2</v>
      </c>
      <c r="N2246" s="12">
        <f>L2246*SIN(RADIANS(K2246))</f>
        <v>-2.2321177412481692</v>
      </c>
      <c r="O2246" s="12">
        <f>L2246*COS(RADIANS(K2246))</f>
        <v>-2.8569804249803097</v>
      </c>
      <c r="P2246" s="5">
        <v>3.3189170464488287</v>
      </c>
      <c r="Q2246" s="5">
        <v>0.4081089123283993</v>
      </c>
      <c r="R2246" s="6">
        <f>P2246/Q2246</f>
        <v>8.1324297171391944</v>
      </c>
    </row>
    <row r="2247" spans="1:18" x14ac:dyDescent="0.35">
      <c r="A2247" s="9">
        <v>2248</v>
      </c>
      <c r="B2247" s="5">
        <v>0.75</v>
      </c>
      <c r="C2247" s="5">
        <v>4000000</v>
      </c>
      <c r="D2247" s="5">
        <v>15</v>
      </c>
      <c r="E2247" s="5">
        <v>0.125</v>
      </c>
      <c r="F2247" s="5">
        <v>3.5000000000000003E-2</v>
      </c>
      <c r="G2247" s="12">
        <f>(C2247*$U$4)/($U$5*$U$3)</f>
        <v>58.775510204081627</v>
      </c>
      <c r="H2247" s="11">
        <f>G2247*COS(RADIANS(D2247))</f>
        <v>56.772783259439109</v>
      </c>
      <c r="I2247" s="11">
        <f>G2247*SIN(RADIANS(D2247))</f>
        <v>15.212221426433871</v>
      </c>
      <c r="J2247" s="12">
        <v>0.2802</v>
      </c>
      <c r="K2247" s="12">
        <v>19</v>
      </c>
      <c r="L2247" s="12">
        <f>-(F2247*G2247*$U$3)/J2247</f>
        <v>-7.3416947078617305</v>
      </c>
      <c r="M2247" s="11">
        <f>ABS(L2247/$U$6)</f>
        <v>2.1404357748868019E-2</v>
      </c>
      <c r="N2247" s="12">
        <f>L2247*SIN(RADIANS(K2247))</f>
        <v>-2.3902219966264178</v>
      </c>
      <c r="O2247" s="12">
        <f>L2247*COS(RADIANS(K2247))</f>
        <v>-6.9417087226624661</v>
      </c>
      <c r="P2247" s="5">
        <v>2.4478346096067267</v>
      </c>
      <c r="Q2247" s="5">
        <v>1.0809782190724473</v>
      </c>
      <c r="R2247" s="6">
        <f>P2247/Q2247</f>
        <v>2.2644624715076453</v>
      </c>
    </row>
    <row r="2248" spans="1:18" x14ac:dyDescent="0.35">
      <c r="A2248" s="9">
        <v>2249</v>
      </c>
      <c r="B2248" s="5">
        <v>0.75</v>
      </c>
      <c r="C2248" s="5">
        <v>4000000</v>
      </c>
      <c r="D2248" s="5">
        <v>15</v>
      </c>
      <c r="E2248" s="5">
        <v>0.375</v>
      </c>
      <c r="F2248" s="5">
        <v>1.4999999999999999E-2</v>
      </c>
      <c r="G2248" s="12">
        <f>(C2248*$U$4)/($U$5*$U$3)</f>
        <v>58.775510204081627</v>
      </c>
      <c r="H2248" s="11">
        <f>G2248*COS(RADIANS(D2248))</f>
        <v>56.772783259439109</v>
      </c>
      <c r="I2248" s="11">
        <f>G2248*SIN(RADIANS(D2248))</f>
        <v>15.212221426433871</v>
      </c>
      <c r="J2248" s="11">
        <v>0.29299999999999998</v>
      </c>
      <c r="K2248" s="12">
        <v>57</v>
      </c>
      <c r="L2248" s="12">
        <f>-(F2248*G2248*$U$3)/J2248</f>
        <v>-3.0089851640314826</v>
      </c>
      <c r="M2248" s="11">
        <f>ABS(L2248/$U$6)</f>
        <v>8.7725514986340593E-3</v>
      </c>
      <c r="N2248" s="12">
        <f>L2248*SIN(RADIANS(K2248))</f>
        <v>-2.5235472964576386</v>
      </c>
      <c r="O2248" s="12">
        <f>L2248*COS(RADIANS(K2248))</f>
        <v>-1.6388107761126396</v>
      </c>
      <c r="P2248" s="5">
        <v>4.5392623613971885</v>
      </c>
      <c r="Q2248" s="5">
        <v>0.38287695115180026</v>
      </c>
      <c r="R2248" s="6">
        <f>P2248/Q2248</f>
        <v>11.8556688976493</v>
      </c>
    </row>
    <row r="2249" spans="1:18" x14ac:dyDescent="0.35">
      <c r="A2249" s="9">
        <v>2250</v>
      </c>
      <c r="B2249" s="5">
        <v>0.25</v>
      </c>
      <c r="C2249" s="5">
        <v>6000000</v>
      </c>
      <c r="D2249" s="5">
        <v>20</v>
      </c>
      <c r="E2249" s="5">
        <v>0</v>
      </c>
      <c r="F2249" s="5">
        <v>3.5000000000000003E-2</v>
      </c>
      <c r="G2249" s="12">
        <f>(C2249*$U$4)/($U$5*$U$3)</f>
        <v>88.16326530612244</v>
      </c>
      <c r="H2249" s="11">
        <f>G2249*COS(RADIANS(D2249))</f>
        <v>82.846369832553549</v>
      </c>
      <c r="I2249" s="11">
        <f>G2249*SIN(RADIANS(D2249))</f>
        <v>30.153612636058952</v>
      </c>
      <c r="J2249" s="12">
        <v>0.18990000000000001</v>
      </c>
      <c r="K2249" s="12">
        <v>0</v>
      </c>
      <c r="L2249" s="12">
        <f>-(F2249*G2249*$U$3)/J2249</f>
        <v>-16.249153689911985</v>
      </c>
      <c r="M2249" s="11">
        <f>ABS(L2249/$U$6)</f>
        <v>4.7373625918110743E-2</v>
      </c>
      <c r="N2249" s="12">
        <f>L2249*SIN(RADIANS(K2249))</f>
        <v>0</v>
      </c>
      <c r="O2249" s="12">
        <f>L2249*COS(RADIANS(K2249))</f>
        <v>-16.249153689911985</v>
      </c>
      <c r="P2249" s="5">
        <v>2.1788613646814605</v>
      </c>
      <c r="Q2249" s="5">
        <v>0.65134284528281983</v>
      </c>
      <c r="R2249" s="6">
        <f>P2249/Q2249</f>
        <v>3.3451835396078948</v>
      </c>
    </row>
    <row r="2250" spans="1:18" x14ac:dyDescent="0.35">
      <c r="A2250" s="9">
        <v>2251</v>
      </c>
      <c r="B2250" s="5">
        <v>0.5</v>
      </c>
      <c r="C2250" s="5">
        <v>4000000</v>
      </c>
      <c r="D2250" s="5">
        <v>10</v>
      </c>
      <c r="E2250" s="5">
        <v>0.375</v>
      </c>
      <c r="F2250" s="5">
        <v>7.4999999999999997E-2</v>
      </c>
      <c r="G2250" s="12">
        <f>(C2250*$U$4)/($U$5*$U$3)</f>
        <v>58.775510204081627</v>
      </c>
      <c r="H2250" s="11">
        <f>G2250*COS(RADIANS(D2250))</f>
        <v>57.882578136227728</v>
      </c>
      <c r="I2250" s="11">
        <f>G2250*SIN(RADIANS(D2250))</f>
        <v>10.206260238382843</v>
      </c>
      <c r="J2250" s="12">
        <v>0.24809999999999999</v>
      </c>
      <c r="K2250" s="12">
        <v>67</v>
      </c>
      <c r="L2250" s="12">
        <f>-(F2250*G2250*$U$3)/J2250</f>
        <v>-17.767687486118994</v>
      </c>
      <c r="M2250" s="11">
        <f>ABS(L2250/$U$6)</f>
        <v>5.1800838151950419E-2</v>
      </c>
      <c r="N2250" s="12">
        <f>L2250*SIN(RADIANS(K2250))</f>
        <v>-16.355242565598722</v>
      </c>
      <c r="O2250" s="12">
        <f>L2250*COS(RADIANS(K2250))</f>
        <v>-6.9423885820960214</v>
      </c>
      <c r="P2250" s="5">
        <v>3.9314689705962023</v>
      </c>
      <c r="Q2250" s="5">
        <v>0.11973731566173283</v>
      </c>
      <c r="R2250" s="6">
        <f>P2250/Q2250</f>
        <v>32.834116489657291</v>
      </c>
    </row>
    <row r="2251" spans="1:18" x14ac:dyDescent="0.35">
      <c r="A2251" s="9">
        <v>2252</v>
      </c>
      <c r="B2251" s="5">
        <v>0.75</v>
      </c>
      <c r="C2251" s="5">
        <v>4000000</v>
      </c>
      <c r="D2251" s="5">
        <v>5</v>
      </c>
      <c r="E2251" s="5">
        <v>0</v>
      </c>
      <c r="F2251" s="5">
        <v>0.15</v>
      </c>
      <c r="G2251" s="12">
        <f>(C2251*$U$4)/($U$5*$U$3)</f>
        <v>58.775510204081627</v>
      </c>
      <c r="H2251" s="11">
        <f>G2251*COS(RADIANS(D2251))</f>
        <v>58.551851642943404</v>
      </c>
      <c r="I2251" s="11">
        <f>G2251*SIN(RADIANS(D2251))</f>
        <v>5.1226232472092956</v>
      </c>
      <c r="J2251" s="11">
        <v>0.27929999999999999</v>
      </c>
      <c r="K2251" s="12">
        <v>0</v>
      </c>
      <c r="L2251" s="12">
        <f>-(F2251*G2251*$U$3)/J2251</f>
        <v>-31.565794953856944</v>
      </c>
      <c r="M2251" s="11">
        <f>ABS(L2251/$U$6)</f>
        <v>9.2028556716784088E-2</v>
      </c>
      <c r="N2251" s="12">
        <f>L2251*SIN(RADIANS(K2251))</f>
        <v>0</v>
      </c>
      <c r="O2251" s="12">
        <f>L2251*COS(RADIANS(K2251))</f>
        <v>-31.565794953856944</v>
      </c>
      <c r="P2251" s="5">
        <v>7.3365007792723018</v>
      </c>
      <c r="Q2251" s="5">
        <v>0.2233094898840581</v>
      </c>
      <c r="R2251" s="6">
        <f>P2251/Q2251</f>
        <v>32.853510986395605</v>
      </c>
    </row>
    <row r="2252" spans="1:18" x14ac:dyDescent="0.35">
      <c r="A2252" s="9">
        <v>2253</v>
      </c>
      <c r="B2252" s="5">
        <v>1</v>
      </c>
      <c r="C2252" s="5">
        <v>2000000</v>
      </c>
      <c r="D2252" s="5">
        <v>0</v>
      </c>
      <c r="E2252" s="5">
        <v>0.375</v>
      </c>
      <c r="F2252" s="5">
        <v>1.4999999999999999E-2</v>
      </c>
      <c r="G2252" s="12">
        <f>(C2252*$U$4)/($U$5*$U$3)</f>
        <v>29.387755102040813</v>
      </c>
      <c r="H2252" s="11">
        <f>G2252*COS(RADIANS(D2252))</f>
        <v>29.387755102040813</v>
      </c>
      <c r="I2252" s="11">
        <f>G2252*SIN(RADIANS(D2252))</f>
        <v>0</v>
      </c>
      <c r="J2252" s="12">
        <v>0.33379999999999999</v>
      </c>
      <c r="K2252" s="11">
        <v>49</v>
      </c>
      <c r="L2252" s="12">
        <f>-(F2252*G2252*$U$3)/J2252</f>
        <v>-1.3206001393966813</v>
      </c>
      <c r="M2252" s="11">
        <f>ABS(L2252/$U$6)</f>
        <v>3.8501461789990708E-3</v>
      </c>
      <c r="N2252" s="12">
        <f>L2252*SIN(RADIANS(K2252))</f>
        <v>-0.99666957684620361</v>
      </c>
      <c r="O2252" s="12">
        <f>L2252*COS(RADIANS(K2252))</f>
        <v>-0.86639164513731526</v>
      </c>
      <c r="P2252" s="5">
        <v>4.7218563069123833</v>
      </c>
      <c r="Q2252" s="5">
        <v>-0.56593769966339436</v>
      </c>
      <c r="R2252" s="6">
        <f>P2252/Q2252</f>
        <v>-8.3434206799102189</v>
      </c>
    </row>
    <row r="2253" spans="1:18" x14ac:dyDescent="0.35">
      <c r="A2253" s="9">
        <v>1258</v>
      </c>
      <c r="B2253" s="5">
        <v>0.25</v>
      </c>
      <c r="C2253" s="5">
        <v>6000000</v>
      </c>
      <c r="D2253" s="5">
        <v>0</v>
      </c>
      <c r="E2253" s="5">
        <v>0.125</v>
      </c>
      <c r="F2253" s="5">
        <v>7.4999999999999997E-2</v>
      </c>
      <c r="G2253" s="12">
        <f>(C2253*$U$4)/($U$5*$U$3)</f>
        <v>88.16326530612244</v>
      </c>
      <c r="H2253" s="11">
        <f>G2253*COS(RADIANS(D2253))</f>
        <v>88.16326530612244</v>
      </c>
      <c r="I2253" s="11">
        <f>G2253*SIN(RADIANS(D2253))</f>
        <v>0</v>
      </c>
      <c r="J2253" s="11">
        <v>0.19020000000000001</v>
      </c>
      <c r="K2253" s="19">
        <v>46</v>
      </c>
      <c r="L2253" s="12">
        <f>-(F2253*G2253*$U$3)/J2253</f>
        <v>-34.764694521341653</v>
      </c>
      <c r="M2253" s="11">
        <f>ABS(L2253/$U$6)</f>
        <v>0.10135479452286196</v>
      </c>
      <c r="N2253" s="12">
        <f>L2253*SIN(RADIANS(K2253))</f>
        <v>-25.0076284158161</v>
      </c>
      <c r="O2253" s="12">
        <f>L2253*COS(RADIANS(K2253))</f>
        <v>-24.149586045700023</v>
      </c>
      <c r="P2253" s="5">
        <v>2.3452688918810951</v>
      </c>
      <c r="Q2253" s="5">
        <v>0.13917699769215455</v>
      </c>
      <c r="R2253" s="6">
        <f>P2253/Q2253</f>
        <v>16.850980627334646</v>
      </c>
    </row>
    <row r="2254" spans="1:18" x14ac:dyDescent="0.35">
      <c r="A2254" s="9">
        <v>2255</v>
      </c>
      <c r="B2254" s="5">
        <v>0.75</v>
      </c>
      <c r="C2254" s="5">
        <v>6000000</v>
      </c>
      <c r="D2254" s="5">
        <v>30</v>
      </c>
      <c r="E2254" s="5">
        <v>0.375</v>
      </c>
      <c r="F2254" s="5">
        <v>0</v>
      </c>
      <c r="G2254" s="12">
        <f>(C2254*$U$4)/($U$5*$U$3)</f>
        <v>88.16326530612244</v>
      </c>
      <c r="H2254" s="11">
        <f>G2254*COS(RADIANS(D2254))</f>
        <v>76.351627435689281</v>
      </c>
      <c r="I2254" s="11">
        <f>G2254*SIN(RADIANS(D2254))</f>
        <v>44.081632653061213</v>
      </c>
      <c r="J2254" s="11">
        <v>0.29299999999999998</v>
      </c>
      <c r="K2254" s="12">
        <v>57</v>
      </c>
      <c r="L2254" s="12">
        <f>-(F2254*G2254*$U$3)/J2254</f>
        <v>0</v>
      </c>
      <c r="M2254" s="11">
        <f>ABS(L2254/$U$6)</f>
        <v>0</v>
      </c>
      <c r="N2254" s="12">
        <f>L2254*SIN(RADIANS(K2254))</f>
        <v>0</v>
      </c>
      <c r="O2254" s="12">
        <f>L2254*COS(RADIANS(K2254))</f>
        <v>0</v>
      </c>
      <c r="P2254" s="5">
        <v>4.5473918504295101</v>
      </c>
      <c r="Q2254" s="5">
        <v>2.1786830625263578</v>
      </c>
      <c r="R2254" s="6">
        <f>P2254/Q2254</f>
        <v>2.0872204537893841</v>
      </c>
    </row>
    <row r="2255" spans="1:18" x14ac:dyDescent="0.35">
      <c r="A2255" s="9">
        <v>2256</v>
      </c>
      <c r="B2255" s="5">
        <v>0.25</v>
      </c>
      <c r="C2255" s="5">
        <v>6000000</v>
      </c>
      <c r="D2255" s="5">
        <v>30</v>
      </c>
      <c r="E2255" s="5">
        <v>0.375</v>
      </c>
      <c r="F2255" s="5">
        <v>1.4999999999999999E-2</v>
      </c>
      <c r="G2255" s="12">
        <f>(C2255*$U$4)/($U$5*$U$3)</f>
        <v>88.16326530612244</v>
      </c>
      <c r="H2255" s="11">
        <f>G2255*COS(RADIANS(D2255))</f>
        <v>76.351627435689281</v>
      </c>
      <c r="I2255" s="11">
        <f>G2255*SIN(RADIANS(D2255))</f>
        <v>44.081632653061213</v>
      </c>
      <c r="J2255" s="11">
        <v>0.1976</v>
      </c>
      <c r="K2255" s="12">
        <v>78</v>
      </c>
      <c r="L2255" s="12">
        <f>-(F2255*G2255*$U$3)/J2255</f>
        <v>-6.6925555647360149</v>
      </c>
      <c r="M2255" s="11">
        <f>ABS(L2255/$U$6)</f>
        <v>1.9511823803895087E-2</v>
      </c>
      <c r="N2255" s="12">
        <f>L2255*SIN(RADIANS(K2255))</f>
        <v>-6.546307168424212</v>
      </c>
      <c r="O2255" s="12">
        <f>L2255*COS(RADIANS(K2255))</f>
        <v>-1.3914605433560698</v>
      </c>
      <c r="P2255" s="5">
        <v>2.4502271047778645</v>
      </c>
      <c r="Q2255" s="5">
        <v>1.0589619541228206</v>
      </c>
      <c r="R2255" s="6">
        <f>P2255/Q2255</f>
        <v>2.3138008832503174</v>
      </c>
    </row>
    <row r="2256" spans="1:18" x14ac:dyDescent="0.35">
      <c r="A2256" s="9">
        <v>1278</v>
      </c>
      <c r="B2256" s="5">
        <v>0.25</v>
      </c>
      <c r="C2256" s="5">
        <v>6000000</v>
      </c>
      <c r="D2256" s="5">
        <v>0</v>
      </c>
      <c r="E2256" s="5">
        <v>0.25</v>
      </c>
      <c r="F2256" s="5">
        <v>7.4999999999999997E-2</v>
      </c>
      <c r="G2256" s="12">
        <f>(C2256*$U$4)/($U$5*$U$3)</f>
        <v>88.16326530612244</v>
      </c>
      <c r="H2256" s="11">
        <f>G2256*COS(RADIANS(D2256))</f>
        <v>88.16326530612244</v>
      </c>
      <c r="I2256" s="11">
        <f>G2256*SIN(RADIANS(D2256))</f>
        <v>0</v>
      </c>
      <c r="J2256" s="12">
        <v>0.1913</v>
      </c>
      <c r="K2256" s="20">
        <v>67</v>
      </c>
      <c r="L2256" s="12">
        <f>-(F2256*G2256*$U$3)/J2256</f>
        <v>-34.564792984627196</v>
      </c>
      <c r="M2256" s="11">
        <f>ABS(L2256/$U$6)</f>
        <v>0.10077199120882564</v>
      </c>
      <c r="N2256" s="12">
        <f>L2256*SIN(RADIANS(K2256))</f>
        <v>-31.817059700928198</v>
      </c>
      <c r="O2256" s="12">
        <f>L2256*COS(RADIANS(K2256))</f>
        <v>-13.505540568881516</v>
      </c>
      <c r="P2256" s="5">
        <v>2.1047286933467939</v>
      </c>
      <c r="Q2256" s="5">
        <v>0.1199294079944464</v>
      </c>
      <c r="R2256" s="6">
        <f>P2256/Q2256</f>
        <v>17.54972969969349</v>
      </c>
    </row>
    <row r="2257" spans="1:18" x14ac:dyDescent="0.35">
      <c r="A2257" s="9">
        <v>2258</v>
      </c>
      <c r="B2257" s="5">
        <v>1</v>
      </c>
      <c r="C2257" s="5">
        <v>2000000</v>
      </c>
      <c r="D2257" s="5">
        <v>20</v>
      </c>
      <c r="E2257" s="5">
        <v>0.375</v>
      </c>
      <c r="F2257" s="5">
        <v>0</v>
      </c>
      <c r="G2257" s="12">
        <f>(C2257*$U$4)/($U$5*$U$3)</f>
        <v>29.387755102040813</v>
      </c>
      <c r="H2257" s="11">
        <f>G2257*COS(RADIANS(D2257))</f>
        <v>27.615456610851183</v>
      </c>
      <c r="I2257" s="11">
        <f>G2257*SIN(RADIANS(D2257))</f>
        <v>10.051204212019652</v>
      </c>
      <c r="J2257" s="12">
        <v>0.33379999999999999</v>
      </c>
      <c r="K2257" s="11">
        <v>49</v>
      </c>
      <c r="L2257" s="12">
        <f>-(F2257*G2257*$U$3)/J2257</f>
        <v>0</v>
      </c>
      <c r="M2257" s="11">
        <f>ABS(L2257/$U$6)</f>
        <v>0</v>
      </c>
      <c r="N2257" s="12">
        <f>L2257*SIN(RADIANS(K2257))</f>
        <v>0</v>
      </c>
      <c r="O2257" s="12">
        <f>L2257*COS(RADIANS(K2257))</f>
        <v>0</v>
      </c>
      <c r="P2257" s="5">
        <v>5.9357793379771042</v>
      </c>
      <c r="Q2257" s="5">
        <v>1.9437339102440105</v>
      </c>
      <c r="R2257" s="6">
        <f>P2257/Q2257</f>
        <v>3.0538024297944899</v>
      </c>
    </row>
    <row r="2258" spans="1:18" x14ac:dyDescent="0.35">
      <c r="A2258" s="9">
        <v>2259</v>
      </c>
      <c r="B2258" s="5">
        <v>0.75</v>
      </c>
      <c r="C2258" s="5">
        <v>4000000</v>
      </c>
      <c r="D2258" s="5">
        <v>0</v>
      </c>
      <c r="E2258" s="5">
        <v>0.125</v>
      </c>
      <c r="F2258" s="5">
        <v>0.15</v>
      </c>
      <c r="G2258" s="12">
        <f>(C2258*$U$4)/($U$5*$U$3)</f>
        <v>58.775510204081627</v>
      </c>
      <c r="H2258" s="11">
        <f>G2258*COS(RADIANS(D2258))</f>
        <v>58.775510204081627</v>
      </c>
      <c r="I2258" s="11">
        <f>G2258*SIN(RADIANS(D2258))</f>
        <v>0</v>
      </c>
      <c r="J2258" s="12">
        <v>0.2802</v>
      </c>
      <c r="K2258" s="12">
        <v>19</v>
      </c>
      <c r="L2258" s="12">
        <f>-(F2258*G2258*$U$3)/J2258</f>
        <v>-31.464405890835987</v>
      </c>
      <c r="M2258" s="11">
        <f>ABS(L2258/$U$6)</f>
        <v>9.1732961780862932E-2</v>
      </c>
      <c r="N2258" s="12">
        <f>L2258*SIN(RADIANS(K2258))</f>
        <v>-10.243808556970363</v>
      </c>
      <c r="O2258" s="12">
        <f>L2258*COS(RADIANS(K2258))</f>
        <v>-29.750180239981997</v>
      </c>
      <c r="P2258" s="5">
        <v>4.630288378352045</v>
      </c>
      <c r="Q2258" s="5">
        <v>-0.2612714166900289</v>
      </c>
      <c r="R2258" s="6">
        <f>P2258/Q2258</f>
        <v>-17.722139057581625</v>
      </c>
    </row>
    <row r="2259" spans="1:18" x14ac:dyDescent="0.35">
      <c r="A2259" s="9">
        <v>2260</v>
      </c>
      <c r="B2259" s="5">
        <v>1</v>
      </c>
      <c r="C2259" s="5">
        <v>6000000</v>
      </c>
      <c r="D2259" s="5">
        <v>10</v>
      </c>
      <c r="E2259" s="5">
        <v>0.375</v>
      </c>
      <c r="F2259" s="5">
        <v>0.1</v>
      </c>
      <c r="G2259" s="12">
        <f>(C2259*$U$4)/($U$5*$U$3)</f>
        <v>88.16326530612244</v>
      </c>
      <c r="H2259" s="11">
        <f>G2259*COS(RADIANS(D2259))</f>
        <v>86.823867204341596</v>
      </c>
      <c r="I2259" s="11">
        <f>G2259*SIN(RADIANS(D2259))</f>
        <v>15.309390357574264</v>
      </c>
      <c r="J2259" s="12">
        <v>0.33379999999999999</v>
      </c>
      <c r="K2259" s="11">
        <v>49</v>
      </c>
      <c r="L2259" s="12">
        <f>-(F2259*G2259*$U$3)/J2259</f>
        <v>-26.412002787933627</v>
      </c>
      <c r="M2259" s="11">
        <f>ABS(L2259/$U$6)</f>
        <v>7.7002923579981425E-2</v>
      </c>
      <c r="N2259" s="12">
        <f>L2259*SIN(RADIANS(K2259))</f>
        <v>-19.933391536924074</v>
      </c>
      <c r="O2259" s="12">
        <f>L2259*COS(RADIANS(K2259))</f>
        <v>-17.327832902746305</v>
      </c>
      <c r="P2259" s="5">
        <v>6.6095640061485659</v>
      </c>
      <c r="Q2259" s="5">
        <v>-0.19834911276409911</v>
      </c>
      <c r="R2259" s="6">
        <f>P2259/Q2259</f>
        <v>-33.322881630478797</v>
      </c>
    </row>
    <row r="2260" spans="1:18" x14ac:dyDescent="0.35">
      <c r="A2260" s="9">
        <v>2261</v>
      </c>
      <c r="B2260" s="5">
        <v>0.75</v>
      </c>
      <c r="C2260" s="5">
        <v>4000000</v>
      </c>
      <c r="D2260" s="5">
        <v>15</v>
      </c>
      <c r="E2260" s="5">
        <v>0.25</v>
      </c>
      <c r="F2260" s="5">
        <v>0.1</v>
      </c>
      <c r="G2260" s="12">
        <f>(C2260*$U$4)/($U$5*$U$3)</f>
        <v>58.775510204081627</v>
      </c>
      <c r="H2260" s="11">
        <f>G2260*COS(RADIANS(D2260))</f>
        <v>56.772783259439109</v>
      </c>
      <c r="I2260" s="11">
        <f>G2260*SIN(RADIANS(D2260))</f>
        <v>15.212221426433871</v>
      </c>
      <c r="J2260" s="12">
        <v>0.28370000000000001</v>
      </c>
      <c r="K2260" s="11">
        <v>38</v>
      </c>
      <c r="L2260" s="12">
        <f>-(F2260*G2260*$U$3)/J2260</f>
        <v>-20.717486853747488</v>
      </c>
      <c r="M2260" s="11">
        <f>ABS(L2260/$U$6)</f>
        <v>6.0400836308301717E-2</v>
      </c>
      <c r="N2260" s="12">
        <f>L2260*SIN(RADIANS(K2260))</f>
        <v>-12.754958521418109</v>
      </c>
      <c r="O2260" s="12">
        <f>L2260*COS(RADIANS(K2260))</f>
        <v>-16.325602428458911</v>
      </c>
      <c r="P2260" s="5">
        <v>4.6566762078225459</v>
      </c>
      <c r="Q2260" s="5">
        <v>0.42006733173066307</v>
      </c>
      <c r="R2260" s="6">
        <f>P2260/Q2260</f>
        <v>11.085547139876835</v>
      </c>
    </row>
    <row r="2261" spans="1:18" x14ac:dyDescent="0.35">
      <c r="A2261" s="9">
        <v>2262</v>
      </c>
      <c r="B2261" s="5">
        <v>0.75</v>
      </c>
      <c r="C2261" s="5">
        <v>6000000</v>
      </c>
      <c r="D2261" s="5">
        <v>5</v>
      </c>
      <c r="E2261" s="5">
        <v>0.375</v>
      </c>
      <c r="F2261" s="5">
        <v>1.4999999999999999E-2</v>
      </c>
      <c r="G2261" s="12">
        <f>(C2261*$U$4)/($U$5*$U$3)</f>
        <v>88.16326530612244</v>
      </c>
      <c r="H2261" s="11">
        <f>G2261*COS(RADIANS(D2261))</f>
        <v>87.827777464415107</v>
      </c>
      <c r="I2261" s="11">
        <f>G2261*SIN(RADIANS(D2261))</f>
        <v>7.6839348708139434</v>
      </c>
      <c r="J2261" s="11">
        <v>0.29299999999999998</v>
      </c>
      <c r="K2261" s="12">
        <v>57</v>
      </c>
      <c r="L2261" s="12">
        <f>-(F2261*G2261*$U$3)/J2261</f>
        <v>-4.513477746047224</v>
      </c>
      <c r="M2261" s="11">
        <f>ABS(L2261/$U$6)</f>
        <v>1.315882724795109E-2</v>
      </c>
      <c r="N2261" s="12">
        <f>L2261*SIN(RADIANS(K2261))</f>
        <v>-3.7853209446864575</v>
      </c>
      <c r="O2261" s="12">
        <f>L2261*COS(RADIANS(K2261))</f>
        <v>-2.4582161641689595</v>
      </c>
      <c r="P2261" s="5">
        <v>4.2764740064881712</v>
      </c>
      <c r="Q2261" s="5">
        <v>-0.18438573022411325</v>
      </c>
      <c r="R2261" s="6">
        <f>P2261/Q2261</f>
        <v>-23.193085502279885</v>
      </c>
    </row>
    <row r="2262" spans="1:18" x14ac:dyDescent="0.35">
      <c r="A2262" s="9">
        <v>2263</v>
      </c>
      <c r="B2262" s="5">
        <v>0.75</v>
      </c>
      <c r="C2262" s="5">
        <v>4000000</v>
      </c>
      <c r="D2262" s="5">
        <v>10</v>
      </c>
      <c r="E2262" s="5">
        <v>0.25</v>
      </c>
      <c r="F2262" s="5">
        <v>3.5000000000000003E-2</v>
      </c>
      <c r="G2262" s="12">
        <f>(C2262*$U$4)/($U$5*$U$3)</f>
        <v>58.775510204081627</v>
      </c>
      <c r="H2262" s="11">
        <f>G2262*COS(RADIANS(D2262))</f>
        <v>57.882578136227728</v>
      </c>
      <c r="I2262" s="11">
        <f>G2262*SIN(RADIANS(D2262))</f>
        <v>10.206260238382843</v>
      </c>
      <c r="J2262" s="12">
        <v>0.28370000000000001</v>
      </c>
      <c r="K2262" s="11">
        <v>38</v>
      </c>
      <c r="L2262" s="12">
        <f>-(F2262*G2262*$U$3)/J2262</f>
        <v>-7.2511203988116213</v>
      </c>
      <c r="M2262" s="11">
        <f>ABS(L2262/$U$6)</f>
        <v>2.11402927079056E-2</v>
      </c>
      <c r="N2262" s="12">
        <f>L2262*SIN(RADIANS(K2262))</f>
        <v>-4.4642354824963384</v>
      </c>
      <c r="O2262" s="12">
        <f>L2262*COS(RADIANS(K2262))</f>
        <v>-5.7139608499606194</v>
      </c>
      <c r="P2262" s="5">
        <v>3.3568233586498279</v>
      </c>
      <c r="Q2262" s="5">
        <v>0.44758818508133419</v>
      </c>
      <c r="R2262" s="6">
        <f>P2262/Q2262</f>
        <v>7.4998033248796272</v>
      </c>
    </row>
    <row r="2263" spans="1:18" x14ac:dyDescent="0.35">
      <c r="A2263" s="9">
        <v>2264</v>
      </c>
      <c r="B2263" s="5">
        <v>0.5</v>
      </c>
      <c r="C2263" s="5">
        <v>4000000</v>
      </c>
      <c r="D2263" s="5">
        <v>5</v>
      </c>
      <c r="E2263" s="5">
        <v>0.375</v>
      </c>
      <c r="F2263" s="5">
        <v>1.4999999999999999E-2</v>
      </c>
      <c r="G2263" s="12">
        <f>(C2263*$U$4)/($U$5*$U$3)</f>
        <v>58.775510204081627</v>
      </c>
      <c r="H2263" s="11">
        <f>G2263*COS(RADIANS(D2263))</f>
        <v>58.551851642943404</v>
      </c>
      <c r="I2263" s="11">
        <f>G2263*SIN(RADIANS(D2263))</f>
        <v>5.1226232472092956</v>
      </c>
      <c r="J2263" s="12">
        <v>0.24809999999999999</v>
      </c>
      <c r="K2263" s="12">
        <v>67</v>
      </c>
      <c r="L2263" s="12">
        <f>-(F2263*G2263*$U$3)/J2263</f>
        <v>-3.5535374972237985</v>
      </c>
      <c r="M2263" s="11">
        <f>ABS(L2263/$U$6)</f>
        <v>1.0360167630390084E-2</v>
      </c>
      <c r="N2263" s="12">
        <f>L2263*SIN(RADIANS(K2263))</f>
        <v>-3.2710485131197444</v>
      </c>
      <c r="O2263" s="12">
        <f>L2263*COS(RADIANS(K2263))</f>
        <v>-1.3884777164192041</v>
      </c>
      <c r="P2263" s="5">
        <v>3.1363554446095314</v>
      </c>
      <c r="Q2263" s="5">
        <v>5.8214542135936909E-2</v>
      </c>
      <c r="R2263" s="6">
        <f>P2263/Q2263</f>
        <v>53.875807135712257</v>
      </c>
    </row>
    <row r="2264" spans="1:18" x14ac:dyDescent="0.35">
      <c r="A2264" s="9">
        <v>2265</v>
      </c>
      <c r="B2264" s="5">
        <v>1</v>
      </c>
      <c r="C2264" s="5">
        <v>2000000</v>
      </c>
      <c r="D2264" s="5">
        <v>20</v>
      </c>
      <c r="E2264" s="5">
        <v>0.25</v>
      </c>
      <c r="F2264" s="5">
        <v>0</v>
      </c>
      <c r="G2264" s="12">
        <f>(C2264*$U$4)/($U$5*$U$3)</f>
        <v>29.387755102040813</v>
      </c>
      <c r="H2264" s="11">
        <f>G2264*COS(RADIANS(D2264))</f>
        <v>27.615456610851183</v>
      </c>
      <c r="I2264" s="11">
        <f>G2264*SIN(RADIANS(D2264))</f>
        <v>10.051204212019652</v>
      </c>
      <c r="J2264" s="13">
        <v>0.33379999999999999</v>
      </c>
      <c r="K2264" s="12">
        <v>30</v>
      </c>
      <c r="L2264" s="12">
        <f>-(F2264*G2264*$U$3)/J2264</f>
        <v>0</v>
      </c>
      <c r="M2264" s="11">
        <f>ABS(L2264/$U$6)</f>
        <v>0</v>
      </c>
      <c r="N2264" s="12">
        <f>L2264*SIN(RADIANS(K2264))</f>
        <v>0</v>
      </c>
      <c r="O2264" s="12">
        <f>L2264*COS(RADIANS(K2264))</f>
        <v>0</v>
      </c>
      <c r="P2264" s="5">
        <v>6.3613052970214348</v>
      </c>
      <c r="Q2264" s="5">
        <v>2.4050318435990143</v>
      </c>
      <c r="R2264" s="6">
        <f>P2264/Q2264</f>
        <v>2.6449983662179073</v>
      </c>
    </row>
    <row r="2265" spans="1:18" x14ac:dyDescent="0.35">
      <c r="A2265" s="9">
        <v>2266</v>
      </c>
      <c r="B2265" s="5">
        <v>0.75</v>
      </c>
      <c r="C2265" s="5">
        <v>2000000</v>
      </c>
      <c r="D2265" s="5">
        <v>30</v>
      </c>
      <c r="E2265" s="5">
        <v>0</v>
      </c>
      <c r="F2265" s="5">
        <v>7.4999999999999997E-2</v>
      </c>
      <c r="G2265" s="12">
        <f>(C2265*$U$4)/($U$5*$U$3)</f>
        <v>29.387755102040813</v>
      </c>
      <c r="H2265" s="11">
        <f>G2265*COS(RADIANS(D2265))</f>
        <v>25.450542478563094</v>
      </c>
      <c r="I2265" s="11">
        <f>G2265*SIN(RADIANS(D2265))</f>
        <v>14.693877551020405</v>
      </c>
      <c r="J2265" s="11">
        <v>0.27929999999999999</v>
      </c>
      <c r="K2265" s="12">
        <v>0</v>
      </c>
      <c r="L2265" s="12">
        <f>-(F2265*G2265*$U$3)/J2265</f>
        <v>-7.891448738464236</v>
      </c>
      <c r="M2265" s="11">
        <f>ABS(L2265/$U$6)</f>
        <v>2.3007139179196022E-2</v>
      </c>
      <c r="N2265" s="12">
        <f>L2265*SIN(RADIANS(K2265))</f>
        <v>0</v>
      </c>
      <c r="O2265" s="12">
        <f>L2265*COS(RADIANS(K2265))</f>
        <v>-7.891448738464236</v>
      </c>
      <c r="P2265" s="5">
        <v>2.3421483731779893</v>
      </c>
      <c r="Q2265" s="5">
        <v>1.1881896933882594</v>
      </c>
      <c r="R2265" s="6">
        <f>P2265/Q2265</f>
        <v>1.971190615615495</v>
      </c>
    </row>
    <row r="2266" spans="1:18" x14ac:dyDescent="0.35">
      <c r="A2266" s="9">
        <v>2267</v>
      </c>
      <c r="B2266" s="5">
        <v>0.75</v>
      </c>
      <c r="C2266" s="5">
        <v>4000000</v>
      </c>
      <c r="D2266" s="5">
        <v>10</v>
      </c>
      <c r="E2266" s="5">
        <v>0</v>
      </c>
      <c r="F2266" s="5">
        <v>3.5000000000000003E-2</v>
      </c>
      <c r="G2266" s="12">
        <f>(C2266*$U$4)/($U$5*$U$3)</f>
        <v>58.775510204081627</v>
      </c>
      <c r="H2266" s="11">
        <f>G2266*COS(RADIANS(D2266))</f>
        <v>57.882578136227728</v>
      </c>
      <c r="I2266" s="11">
        <f>G2266*SIN(RADIANS(D2266))</f>
        <v>10.206260238382843</v>
      </c>
      <c r="J2266" s="11">
        <v>0.27929999999999999</v>
      </c>
      <c r="K2266" s="12">
        <v>0</v>
      </c>
      <c r="L2266" s="12">
        <f>-(F2266*G2266*$U$3)/J2266</f>
        <v>-7.3653521558999531</v>
      </c>
      <c r="M2266" s="11">
        <f>ABS(L2266/$U$6)</f>
        <v>2.1473329900582955E-2</v>
      </c>
      <c r="N2266" s="12">
        <f>L2266*SIN(RADIANS(K2266))</f>
        <v>0</v>
      </c>
      <c r="O2266" s="12">
        <f>L2266*COS(RADIANS(K2266))</f>
        <v>-7.3653521558999531</v>
      </c>
      <c r="P2266" s="5">
        <v>4.5402454384697437</v>
      </c>
      <c r="Q2266" s="5">
        <v>0.88202222569362687</v>
      </c>
      <c r="R2266" s="6">
        <f>P2266/Q2266</f>
        <v>5.1475408512515326</v>
      </c>
    </row>
    <row r="2267" spans="1:18" x14ac:dyDescent="0.35">
      <c r="A2267" s="9">
        <v>1704</v>
      </c>
      <c r="B2267" s="5">
        <v>0.25</v>
      </c>
      <c r="C2267" s="5">
        <v>6000000</v>
      </c>
      <c r="D2267" s="5">
        <v>20</v>
      </c>
      <c r="E2267" s="5">
        <v>0.25</v>
      </c>
      <c r="F2267" s="5">
        <v>7.4999999999999997E-2</v>
      </c>
      <c r="G2267" s="12">
        <f>(C2267*$U$4)/($U$5*$U$3)</f>
        <v>88.16326530612244</v>
      </c>
      <c r="H2267" s="11">
        <f>G2267*COS(RADIANS(D2267))</f>
        <v>82.846369832553549</v>
      </c>
      <c r="I2267" s="11">
        <f>G2267*SIN(RADIANS(D2267))</f>
        <v>30.153612636058952</v>
      </c>
      <c r="J2267" s="19">
        <v>0.1913</v>
      </c>
      <c r="K2267" s="20">
        <v>67</v>
      </c>
      <c r="L2267" s="12">
        <f>-(F2267*G2267*$U$3)/J2267</f>
        <v>-34.564792984627196</v>
      </c>
      <c r="M2267" s="11">
        <f>ABS(L2267/$U$6)</f>
        <v>0.10077199120882564</v>
      </c>
      <c r="N2267" s="12">
        <f>L2267*SIN(RADIANS(K2267))</f>
        <v>-31.817059700928198</v>
      </c>
      <c r="O2267" s="12">
        <f>L2267*COS(RADIANS(K2267))</f>
        <v>-13.505540568881516</v>
      </c>
      <c r="P2267" s="5">
        <v>2.3446882420386861</v>
      </c>
      <c r="Q2267" s="5">
        <v>0.67228331064907776</v>
      </c>
      <c r="R2267" s="6">
        <f>P2267/Q2267</f>
        <v>3.4876490385800754</v>
      </c>
    </row>
    <row r="2268" spans="1:18" x14ac:dyDescent="0.35">
      <c r="A2268" s="9">
        <v>2269</v>
      </c>
      <c r="B2268" s="5">
        <v>0.75</v>
      </c>
      <c r="C2268" s="5">
        <v>6000000</v>
      </c>
      <c r="D2268" s="5">
        <v>10</v>
      </c>
      <c r="E2268" s="5">
        <v>0</v>
      </c>
      <c r="F2268" s="5">
        <v>0</v>
      </c>
      <c r="G2268" s="12">
        <f>(C2268*$U$4)/($U$5*$U$3)</f>
        <v>88.16326530612244</v>
      </c>
      <c r="H2268" s="11">
        <f>G2268*COS(RADIANS(D2268))</f>
        <v>86.823867204341596</v>
      </c>
      <c r="I2268" s="11">
        <f>G2268*SIN(RADIANS(D2268))</f>
        <v>15.309390357574264</v>
      </c>
      <c r="J2268" s="11">
        <v>0.27929999999999999</v>
      </c>
      <c r="K2268" s="12">
        <v>0</v>
      </c>
      <c r="L2268" s="12">
        <f>-(F2268*G2268*$U$3)/J2268</f>
        <v>0</v>
      </c>
      <c r="M2268" s="11">
        <f>ABS(L2268/$U$6)</f>
        <v>0</v>
      </c>
      <c r="N2268" s="12">
        <f>L2268*SIN(RADIANS(K2268))</f>
        <v>0</v>
      </c>
      <c r="O2268" s="12">
        <f>L2268*COS(RADIANS(K2268))</f>
        <v>0</v>
      </c>
      <c r="P2268" s="5">
        <v>3.9842198532763828</v>
      </c>
      <c r="Q2268" s="5">
        <v>1.4798340088876369</v>
      </c>
      <c r="R2268" s="6">
        <f>P2268/Q2268</f>
        <v>2.6923424041803479</v>
      </c>
    </row>
    <row r="2269" spans="1:18" x14ac:dyDescent="0.35">
      <c r="A2269" s="9">
        <v>2270</v>
      </c>
      <c r="B2269" s="5">
        <v>1</v>
      </c>
      <c r="C2269" s="5">
        <v>4000000</v>
      </c>
      <c r="D2269" s="5">
        <v>10</v>
      </c>
      <c r="E2269" s="5">
        <v>0</v>
      </c>
      <c r="F2269" s="5">
        <v>0.15</v>
      </c>
      <c r="G2269" s="12">
        <f>(C2269*$U$4)/($U$5*$U$3)</f>
        <v>58.775510204081627</v>
      </c>
      <c r="H2269" s="11">
        <f>G2269*COS(RADIANS(D2269))</f>
        <v>57.882578136227728</v>
      </c>
      <c r="I2269" s="11">
        <f>G2269*SIN(RADIANS(D2269))</f>
        <v>10.206260238382843</v>
      </c>
      <c r="J2269" s="11">
        <v>0.33379999999999999</v>
      </c>
      <c r="K2269" s="12">
        <v>0</v>
      </c>
      <c r="L2269" s="12">
        <f>-(F2269*G2269*$U$3)/J2269</f>
        <v>-26.412002787933627</v>
      </c>
      <c r="M2269" s="11">
        <f>ABS(L2269/$U$6)</f>
        <v>7.7002923579981425E-2</v>
      </c>
      <c r="N2269" s="12">
        <f>L2269*SIN(RADIANS(K2269))</f>
        <v>0</v>
      </c>
      <c r="O2269" s="12">
        <f>L2269*COS(RADIANS(K2269))</f>
        <v>-26.412002787933627</v>
      </c>
      <c r="P2269" s="5">
        <v>1.9892947074597462</v>
      </c>
      <c r="Q2269" s="5">
        <v>1.3985301126028484</v>
      </c>
      <c r="R2269" s="6">
        <f>P2269/Q2269</f>
        <v>1.4224182157632681</v>
      </c>
    </row>
    <row r="2270" spans="1:18" x14ac:dyDescent="0.35">
      <c r="A2270" s="9">
        <v>2271</v>
      </c>
      <c r="B2270" s="5">
        <v>0.75</v>
      </c>
      <c r="C2270" s="5">
        <v>4000000</v>
      </c>
      <c r="D2270" s="5">
        <v>10</v>
      </c>
      <c r="E2270" s="5">
        <v>0.125</v>
      </c>
      <c r="F2270" s="5">
        <v>0.15</v>
      </c>
      <c r="G2270" s="12">
        <f>(C2270*$U$4)/($U$5*$U$3)</f>
        <v>58.775510204081627</v>
      </c>
      <c r="H2270" s="11">
        <f>G2270*COS(RADIANS(D2270))</f>
        <v>57.882578136227728</v>
      </c>
      <c r="I2270" s="11">
        <f>G2270*SIN(RADIANS(D2270))</f>
        <v>10.206260238382843</v>
      </c>
      <c r="J2270" s="12">
        <v>0.2802</v>
      </c>
      <c r="K2270" s="12">
        <v>19</v>
      </c>
      <c r="L2270" s="12">
        <f>-(F2270*G2270*$U$3)/J2270</f>
        <v>-31.464405890835987</v>
      </c>
      <c r="M2270" s="11">
        <f>ABS(L2270/$U$6)</f>
        <v>9.1732961780862932E-2</v>
      </c>
      <c r="N2270" s="12">
        <f>L2270*SIN(RADIANS(K2270))</f>
        <v>-10.243808556970363</v>
      </c>
      <c r="O2270" s="12">
        <f>L2270*COS(RADIANS(K2270))</f>
        <v>-29.750180239981997</v>
      </c>
      <c r="P2270" s="5">
        <v>4.5454900208141664</v>
      </c>
      <c r="Q2270" s="5">
        <v>0.25280466252953115</v>
      </c>
      <c r="R2270" s="6">
        <f>P2270/Q2270</f>
        <v>17.980245994407596</v>
      </c>
    </row>
    <row r="2271" spans="1:18" x14ac:dyDescent="0.35">
      <c r="A2271" s="9">
        <v>2272</v>
      </c>
      <c r="B2271" s="5">
        <v>0.1</v>
      </c>
      <c r="C2271" s="5">
        <v>2000000</v>
      </c>
      <c r="D2271" s="5">
        <v>20</v>
      </c>
      <c r="E2271" s="5">
        <v>0.125</v>
      </c>
      <c r="F2271" s="5">
        <v>0.15</v>
      </c>
      <c r="G2271" s="12">
        <f>(C2271*$U$4)/($U$5*$U$3)</f>
        <v>29.387755102040813</v>
      </c>
      <c r="H2271" s="11">
        <f>G2271*COS(RADIANS(D2271))</f>
        <v>27.615456610851183</v>
      </c>
      <c r="I2271" s="11">
        <f>G2271*SIN(RADIANS(D2271))</f>
        <v>10.051204212019652</v>
      </c>
      <c r="J2271" s="12">
        <v>0.1658</v>
      </c>
      <c r="K2271" s="12">
        <v>69</v>
      </c>
      <c r="L2271" s="12">
        <f>-(F2271*G2271*$U$3)/J2271</f>
        <v>-26.587233204500134</v>
      </c>
      <c r="M2271" s="11">
        <f>ABS(L2271/$U$6)</f>
        <v>7.7513799430029548E-2</v>
      </c>
      <c r="N2271" s="12">
        <f>L2271*SIN(RADIANS(K2271))</f>
        <v>-24.821320514437797</v>
      </c>
      <c r="O2271" s="12">
        <f>L2271*COS(RADIANS(K2271))</f>
        <v>-9.5280122475794382</v>
      </c>
      <c r="P2271" s="5">
        <v>1.9706563394643963</v>
      </c>
      <c r="Q2271" s="5">
        <v>0.80784709676516597</v>
      </c>
      <c r="R2271" s="6">
        <f>P2271/Q2271</f>
        <v>2.4393927357731764</v>
      </c>
    </row>
    <row r="2272" spans="1:18" x14ac:dyDescent="0.35">
      <c r="A2272" s="9">
        <v>2273</v>
      </c>
      <c r="B2272" s="5">
        <v>0.25</v>
      </c>
      <c r="C2272" s="5">
        <v>2000000</v>
      </c>
      <c r="D2272" s="5">
        <v>15</v>
      </c>
      <c r="E2272" s="5">
        <v>0.25</v>
      </c>
      <c r="F2272" s="5">
        <v>3.5000000000000003E-2</v>
      </c>
      <c r="G2272" s="12">
        <f>(C2272*$U$4)/($U$5*$U$3)</f>
        <v>29.387755102040813</v>
      </c>
      <c r="H2272" s="11">
        <f>G2272*COS(RADIANS(D2272))</f>
        <v>28.386391629719554</v>
      </c>
      <c r="I2272" s="11">
        <f>G2272*SIN(RADIANS(D2272))</f>
        <v>7.6061107132169354</v>
      </c>
      <c r="J2272" s="12">
        <v>0.1913</v>
      </c>
      <c r="K2272" s="11">
        <v>67</v>
      </c>
      <c r="L2272" s="12">
        <f>-(F2272*G2272*$U$3)/J2272</f>
        <v>-5.3767455753864528</v>
      </c>
      <c r="M2272" s="11">
        <f>ABS(L2272/$U$6)</f>
        <v>1.5675643076928435E-2</v>
      </c>
      <c r="N2272" s="12">
        <f>L2272*SIN(RADIANS(K2272))</f>
        <v>-4.9493203979221638</v>
      </c>
      <c r="O2272" s="12">
        <f>L2272*COS(RADIANS(K2272))</f>
        <v>-2.1008618662704581</v>
      </c>
      <c r="P2272" s="5">
        <v>2.1854666344849139</v>
      </c>
      <c r="Q2272" s="5">
        <v>0.51729828145724832</v>
      </c>
      <c r="R2272" s="6">
        <f>P2272/Q2272</f>
        <v>4.2247707228571763</v>
      </c>
    </row>
    <row r="2273" spans="1:18" x14ac:dyDescent="0.35">
      <c r="A2273" s="9">
        <v>2274</v>
      </c>
      <c r="B2273" s="5">
        <v>0.1</v>
      </c>
      <c r="C2273" s="5">
        <v>4000000</v>
      </c>
      <c r="D2273" s="5">
        <v>15</v>
      </c>
      <c r="E2273" s="5">
        <v>0</v>
      </c>
      <c r="F2273" s="5">
        <v>2.5000000000000001E-2</v>
      </c>
      <c r="G2273" s="12">
        <f>(C2273*$U$4)/($U$5*$U$3)</f>
        <v>58.775510204081627</v>
      </c>
      <c r="H2273" s="11">
        <f>G2273*COS(RADIANS(D2273))</f>
        <v>56.772783259439109</v>
      </c>
      <c r="I2273" s="11">
        <f>G2273*SIN(RADIANS(D2273))</f>
        <v>15.212221426433871</v>
      </c>
      <c r="J2273" s="11">
        <v>0.16569999999999999</v>
      </c>
      <c r="K2273" s="12">
        <v>0</v>
      </c>
      <c r="L2273" s="12">
        <f>-(F2273*G2273*$U$3)/J2273</f>
        <v>-8.8677595359205839</v>
      </c>
      <c r="M2273" s="11">
        <f>ABS(L2273/$U$6)</f>
        <v>2.5853526343791788E-2</v>
      </c>
      <c r="N2273" s="12">
        <f>L2273*SIN(RADIANS(K2273))</f>
        <v>0</v>
      </c>
      <c r="O2273" s="12">
        <f>L2273*COS(RADIANS(K2273))</f>
        <v>-8.8677595359205839</v>
      </c>
      <c r="P2273" s="5">
        <v>1.3209134513265726</v>
      </c>
      <c r="Q2273" s="5">
        <v>0.5096499091070712</v>
      </c>
      <c r="R2273" s="6">
        <f>P2273/Q2273</f>
        <v>2.5918055271330673</v>
      </c>
    </row>
    <row r="2274" spans="1:18" x14ac:dyDescent="0.35">
      <c r="A2274" s="9">
        <v>2275</v>
      </c>
      <c r="B2274" s="5">
        <v>1</v>
      </c>
      <c r="C2274" s="5">
        <v>6000000</v>
      </c>
      <c r="D2274" s="5">
        <v>0</v>
      </c>
      <c r="E2274" s="5">
        <v>0.25</v>
      </c>
      <c r="F2274" s="5">
        <v>0.05</v>
      </c>
      <c r="G2274" s="12">
        <f>(C2274*$U$4)/($U$5*$U$3)</f>
        <v>88.16326530612244</v>
      </c>
      <c r="H2274" s="11">
        <f>G2274*COS(RADIANS(D2274))</f>
        <v>88.16326530612244</v>
      </c>
      <c r="I2274" s="11">
        <f>G2274*SIN(RADIANS(D2274))</f>
        <v>0</v>
      </c>
      <c r="J2274" s="13">
        <v>0.33379999999999999</v>
      </c>
      <c r="K2274" s="12">
        <v>30</v>
      </c>
      <c r="L2274" s="12">
        <f>-(F2274*G2274*$U$3)/J2274</f>
        <v>-13.206001393966813</v>
      </c>
      <c r="M2274" s="11">
        <f>ABS(L2274/$U$6)</f>
        <v>3.8501461789990712E-2</v>
      </c>
      <c r="N2274" s="12">
        <f>L2274*SIN(RADIANS(K2274))</f>
        <v>-6.6030006969834059</v>
      </c>
      <c r="O2274" s="12">
        <f>L2274*COS(RADIANS(K2274))</f>
        <v>-11.43673268958797</v>
      </c>
      <c r="P2274" s="5">
        <v>3.5647973386074661</v>
      </c>
      <c r="Q2274" s="5">
        <v>0.53301624532391012</v>
      </c>
      <c r="R2274" s="6">
        <f>P2274/Q2274</f>
        <v>6.6879712764498658</v>
      </c>
    </row>
    <row r="2275" spans="1:18" x14ac:dyDescent="0.35">
      <c r="A2275" s="9">
        <v>2276</v>
      </c>
      <c r="B2275" s="5">
        <v>1</v>
      </c>
      <c r="C2275" s="5">
        <v>4000000</v>
      </c>
      <c r="D2275" s="5">
        <v>20</v>
      </c>
      <c r="E2275" s="5">
        <v>0</v>
      </c>
      <c r="F2275" s="5">
        <v>2.5000000000000001E-2</v>
      </c>
      <c r="G2275" s="12">
        <f>(C2275*$U$4)/($U$5*$U$3)</f>
        <v>58.775510204081627</v>
      </c>
      <c r="H2275" s="11">
        <f>G2275*COS(RADIANS(D2275))</f>
        <v>55.230913221702366</v>
      </c>
      <c r="I2275" s="11">
        <f>G2275*SIN(RADIANS(D2275))</f>
        <v>20.102408424039304</v>
      </c>
      <c r="J2275" s="11">
        <v>0.33379999999999999</v>
      </c>
      <c r="K2275" s="12">
        <v>0</v>
      </c>
      <c r="L2275" s="12">
        <f>-(F2275*G2275*$U$3)/J2275</f>
        <v>-4.4020004646556048</v>
      </c>
      <c r="M2275" s="11">
        <f>ABS(L2275/$U$6)</f>
        <v>1.283382059666357E-2</v>
      </c>
      <c r="N2275" s="12">
        <f>L2275*SIN(RADIANS(K2275))</f>
        <v>0</v>
      </c>
      <c r="O2275" s="12">
        <f>L2275*COS(RADIANS(K2275))</f>
        <v>-4.4020004646556048</v>
      </c>
      <c r="P2275" s="5">
        <v>3.1882419743963641</v>
      </c>
      <c r="Q2275" s="5">
        <v>1.4099143302149726</v>
      </c>
      <c r="R2275" s="6">
        <f>P2275/Q2275</f>
        <v>2.2613019146420381</v>
      </c>
    </row>
    <row r="2276" spans="1:18" x14ac:dyDescent="0.35">
      <c r="A2276" s="9">
        <v>1817</v>
      </c>
      <c r="B2276" s="5">
        <v>0.25</v>
      </c>
      <c r="C2276" s="5">
        <v>6000000</v>
      </c>
      <c r="D2276" s="5">
        <v>15</v>
      </c>
      <c r="E2276" s="5">
        <v>0.25</v>
      </c>
      <c r="F2276" s="5">
        <v>7.4999999999999997E-2</v>
      </c>
      <c r="G2276" s="12">
        <f>(C2276*$U$4)/($U$5*$U$3)</f>
        <v>88.16326530612244</v>
      </c>
      <c r="H2276" s="11">
        <f>G2276*COS(RADIANS(D2276))</f>
        <v>85.159174889158663</v>
      </c>
      <c r="I2276" s="11">
        <f>G2276*SIN(RADIANS(D2276))</f>
        <v>22.818332139650806</v>
      </c>
      <c r="J2276" s="19">
        <v>0.1913</v>
      </c>
      <c r="K2276" s="20">
        <v>67</v>
      </c>
      <c r="L2276" s="12">
        <f>-(F2276*G2276*$U$3)/J2276</f>
        <v>-34.564792984627196</v>
      </c>
      <c r="M2276" s="11">
        <f>ABS(L2276/$U$6)</f>
        <v>0.10077199120882564</v>
      </c>
      <c r="N2276" s="12">
        <f>L2276*SIN(RADIANS(K2276))</f>
        <v>-31.817059700928198</v>
      </c>
      <c r="O2276" s="12">
        <f>L2276*COS(RADIANS(K2276))</f>
        <v>-13.505540568881516</v>
      </c>
      <c r="P2276" s="5">
        <v>2.3044995969466702</v>
      </c>
      <c r="Q2276" s="5">
        <v>0.52814309760183376</v>
      </c>
      <c r="R2276" s="6">
        <f>P2276/Q2276</f>
        <v>4.3634000092225547</v>
      </c>
    </row>
    <row r="2277" spans="1:18" x14ac:dyDescent="0.35">
      <c r="A2277" s="9">
        <v>2278</v>
      </c>
      <c r="B2277" s="5">
        <v>0.75</v>
      </c>
      <c r="C2277" s="5">
        <v>2000000</v>
      </c>
      <c r="D2277" s="5">
        <v>15</v>
      </c>
      <c r="E2277" s="5">
        <v>0</v>
      </c>
      <c r="F2277" s="5">
        <v>2.5000000000000001E-2</v>
      </c>
      <c r="G2277" s="12">
        <f>(C2277*$U$4)/($U$5*$U$3)</f>
        <v>29.387755102040813</v>
      </c>
      <c r="H2277" s="11">
        <f>G2277*COS(RADIANS(D2277))</f>
        <v>28.386391629719554</v>
      </c>
      <c r="I2277" s="11">
        <f>G2277*SIN(RADIANS(D2277))</f>
        <v>7.6061107132169354</v>
      </c>
      <c r="J2277" s="11">
        <v>0.27929999999999999</v>
      </c>
      <c r="K2277" s="12">
        <v>0</v>
      </c>
      <c r="L2277" s="12">
        <f>-(F2277*G2277*$U$3)/J2277</f>
        <v>-2.630482912821412</v>
      </c>
      <c r="M2277" s="11">
        <f>ABS(L2277/$U$6)</f>
        <v>7.6690463930653412E-3</v>
      </c>
      <c r="N2277" s="12">
        <f>L2277*SIN(RADIANS(K2277))</f>
        <v>0</v>
      </c>
      <c r="O2277" s="12">
        <f>L2277*COS(RADIANS(K2277))</f>
        <v>-2.630482912821412</v>
      </c>
      <c r="P2277" s="5">
        <v>1.2061516069576541</v>
      </c>
      <c r="Q2277" s="5">
        <v>1.46599577445204</v>
      </c>
      <c r="R2277" s="6">
        <f>P2277/Q2277</f>
        <v>0.8227524444321741</v>
      </c>
    </row>
    <row r="2278" spans="1:18" x14ac:dyDescent="0.35">
      <c r="A2278" s="9">
        <v>2279</v>
      </c>
      <c r="B2278" s="5">
        <v>1</v>
      </c>
      <c r="C2278" s="5">
        <v>6000000</v>
      </c>
      <c r="D2278" s="5">
        <v>20</v>
      </c>
      <c r="E2278" s="5">
        <v>0.125</v>
      </c>
      <c r="F2278" s="5">
        <v>2.5000000000000001E-2</v>
      </c>
      <c r="G2278" s="12">
        <f>(C2278*$U$4)/($U$5*$U$3)</f>
        <v>88.16326530612244</v>
      </c>
      <c r="H2278" s="11">
        <f>G2278*COS(RADIANS(D2278))</f>
        <v>82.846369832553549</v>
      </c>
      <c r="I2278" s="11">
        <f>G2278*SIN(RADIANS(D2278))</f>
        <v>30.153612636058952</v>
      </c>
      <c r="J2278" s="11">
        <v>0.33379999999999999</v>
      </c>
      <c r="K2278" s="12">
        <v>14</v>
      </c>
      <c r="L2278" s="12">
        <f>-(F2278*G2278*$U$3)/J2278</f>
        <v>-6.6030006969834067</v>
      </c>
      <c r="M2278" s="11">
        <f>ABS(L2278/$U$6)</f>
        <v>1.9250730894995356E-2</v>
      </c>
      <c r="N2278" s="12">
        <f>L2278*SIN(RADIANS(K2278))</f>
        <v>-1.597410445260153</v>
      </c>
      <c r="O2278" s="12">
        <f>L2278*COS(RADIANS(K2278))</f>
        <v>-6.4068633568804252</v>
      </c>
      <c r="P2278" s="5">
        <v>3.6415104950152344</v>
      </c>
      <c r="Q2278" s="5">
        <v>1.1477234064451654</v>
      </c>
      <c r="R2278" s="6">
        <f>P2278/Q2278</f>
        <v>3.1728119114465532</v>
      </c>
    </row>
    <row r="2279" spans="1:18" x14ac:dyDescent="0.35">
      <c r="A2279" s="9">
        <v>2280</v>
      </c>
      <c r="B2279" s="5">
        <v>0.5</v>
      </c>
      <c r="C2279" s="5">
        <v>2000000</v>
      </c>
      <c r="D2279" s="5">
        <v>15</v>
      </c>
      <c r="E2279" s="5">
        <v>0.25</v>
      </c>
      <c r="F2279" s="5">
        <v>0.15</v>
      </c>
      <c r="G2279" s="12">
        <f>(C2279*$U$4)/($U$5*$U$3)</f>
        <v>29.387755102040813</v>
      </c>
      <c r="H2279" s="11">
        <f>G2279*COS(RADIANS(D2279))</f>
        <v>28.386391629719554</v>
      </c>
      <c r="I2279" s="11">
        <f>G2279*SIN(RADIANS(D2279))</f>
        <v>7.6061107132169354</v>
      </c>
      <c r="J2279" s="11">
        <v>0.23580000000000001</v>
      </c>
      <c r="K2279" s="11">
        <v>49</v>
      </c>
      <c r="L2279" s="12">
        <f>-(F2279*G2279*$U$3)/J2279</f>
        <v>-18.694500701043772</v>
      </c>
      <c r="M2279" s="11">
        <f>ABS(L2279/$U$6)</f>
        <v>5.4502917495754435E-2</v>
      </c>
      <c r="N2279" s="12">
        <f>L2279*SIN(RADIANS(K2279))</f>
        <v>-14.108918776559062</v>
      </c>
      <c r="O2279" s="12">
        <f>L2279*COS(RADIANS(K2279))</f>
        <v>-12.264695977389135</v>
      </c>
      <c r="P2279" s="5">
        <v>5.7489982952363485</v>
      </c>
      <c r="Q2279" s="5">
        <v>0.55680686675009661</v>
      </c>
      <c r="R2279" s="6">
        <f>P2279/Q2279</f>
        <v>10.324941444762366</v>
      </c>
    </row>
    <row r="2280" spans="1:18" x14ac:dyDescent="0.35">
      <c r="A2280" s="9">
        <v>2281</v>
      </c>
      <c r="B2280" s="5">
        <v>0.25</v>
      </c>
      <c r="C2280" s="5">
        <v>6000000</v>
      </c>
      <c r="D2280" s="5">
        <v>30</v>
      </c>
      <c r="E2280" s="5">
        <v>0</v>
      </c>
      <c r="F2280" s="5">
        <v>1.4999999999999999E-2</v>
      </c>
      <c r="G2280" s="12">
        <f>(C2280*$U$4)/($U$5*$U$3)</f>
        <v>88.16326530612244</v>
      </c>
      <c r="H2280" s="11">
        <f>G2280*COS(RADIANS(D2280))</f>
        <v>76.351627435689281</v>
      </c>
      <c r="I2280" s="11">
        <f>G2280*SIN(RADIANS(D2280))</f>
        <v>44.081632653061213</v>
      </c>
      <c r="J2280" s="12">
        <v>0.18990000000000001</v>
      </c>
      <c r="K2280" s="12">
        <v>0</v>
      </c>
      <c r="L2280" s="12">
        <f>-(F2280*G2280*$U$3)/J2280</f>
        <v>-6.9639230099622775</v>
      </c>
      <c r="M2280" s="11">
        <f>ABS(L2280/$U$6)</f>
        <v>2.030298253633317E-2</v>
      </c>
      <c r="N2280" s="12">
        <f>L2280*SIN(RADIANS(K2280))</f>
        <v>0</v>
      </c>
      <c r="O2280" s="12">
        <f>L2280*COS(RADIANS(K2280))</f>
        <v>-6.9639230099622775</v>
      </c>
      <c r="P2280" s="5">
        <v>2.0539534608770667</v>
      </c>
      <c r="Q2280" s="5">
        <v>0.86844110653168383</v>
      </c>
      <c r="R2280" s="6">
        <f>P2280/Q2280</f>
        <v>2.365103914852666</v>
      </c>
    </row>
    <row r="2281" spans="1:18" x14ac:dyDescent="0.35">
      <c r="A2281" s="9">
        <v>2282</v>
      </c>
      <c r="B2281" s="5">
        <v>1</v>
      </c>
      <c r="C2281" s="5">
        <v>6000000</v>
      </c>
      <c r="D2281" s="5">
        <v>0</v>
      </c>
      <c r="E2281" s="5">
        <v>0.25</v>
      </c>
      <c r="F2281" s="5">
        <v>7.4999999999999997E-2</v>
      </c>
      <c r="G2281" s="12">
        <f>(C2281*$U$4)/($U$5*$U$3)</f>
        <v>88.16326530612244</v>
      </c>
      <c r="H2281" s="11">
        <f>G2281*COS(RADIANS(D2281))</f>
        <v>88.16326530612244</v>
      </c>
      <c r="I2281" s="11">
        <f>G2281*SIN(RADIANS(D2281))</f>
        <v>0</v>
      </c>
      <c r="J2281" s="13">
        <v>0.33379999999999999</v>
      </c>
      <c r="K2281" s="12">
        <v>30</v>
      </c>
      <c r="L2281" s="12">
        <f>-(F2281*G2281*$U$3)/J2281</f>
        <v>-19.809002090950219</v>
      </c>
      <c r="M2281" s="11">
        <f>ABS(L2281/$U$6)</f>
        <v>5.7752192684986062E-2</v>
      </c>
      <c r="N2281" s="12">
        <f>L2281*SIN(RADIANS(K2281))</f>
        <v>-9.9045010454751079</v>
      </c>
      <c r="O2281" s="12">
        <f>L2281*COS(RADIANS(K2281))</f>
        <v>-17.155099034381955</v>
      </c>
      <c r="P2281" s="5">
        <v>4.5672836486311157</v>
      </c>
      <c r="Q2281" s="5">
        <v>-0.4945876817173086</v>
      </c>
      <c r="R2281" s="6">
        <f>P2281/Q2281</f>
        <v>-9.2345277035056395</v>
      </c>
    </row>
    <row r="2282" spans="1:18" x14ac:dyDescent="0.35">
      <c r="A2282" s="9">
        <v>2283</v>
      </c>
      <c r="B2282" s="5">
        <v>0.5</v>
      </c>
      <c r="C2282" s="5">
        <v>6000000</v>
      </c>
      <c r="D2282" s="5">
        <v>10</v>
      </c>
      <c r="E2282" s="5">
        <v>0.375</v>
      </c>
      <c r="F2282" s="5">
        <v>3.5000000000000003E-2</v>
      </c>
      <c r="G2282" s="12">
        <f>(C2282*$U$4)/($U$5*$U$3)</f>
        <v>88.16326530612244</v>
      </c>
      <c r="H2282" s="11">
        <f>G2282*COS(RADIANS(D2282))</f>
        <v>86.823867204341596</v>
      </c>
      <c r="I2282" s="11">
        <f>G2282*SIN(RADIANS(D2282))</f>
        <v>15.309390357574264</v>
      </c>
      <c r="J2282" s="12">
        <v>0.24809999999999999</v>
      </c>
      <c r="K2282" s="12">
        <v>67</v>
      </c>
      <c r="L2282" s="12">
        <f>-(F2282*G2282*$U$3)/J2282</f>
        <v>-12.437381240283298</v>
      </c>
      <c r="M2282" s="11">
        <f>ABS(L2282/$U$6)</f>
        <v>3.6260586706365297E-2</v>
      </c>
      <c r="N2282" s="12">
        <f>L2282*SIN(RADIANS(K2282))</f>
        <v>-11.448669795919107</v>
      </c>
      <c r="O2282" s="12">
        <f>L2282*COS(RADIANS(K2282))</f>
        <v>-4.8596720074672159</v>
      </c>
      <c r="P2282" s="5">
        <v>3.2582389791211184</v>
      </c>
      <c r="Q2282" s="5">
        <v>0.26457099134337675</v>
      </c>
      <c r="R2282" s="6">
        <f>P2282/Q2282</f>
        <v>12.315178480366249</v>
      </c>
    </row>
    <row r="2283" spans="1:18" x14ac:dyDescent="0.35">
      <c r="A2283" s="9">
        <v>2284</v>
      </c>
      <c r="B2283" s="5">
        <v>0.25</v>
      </c>
      <c r="C2283" s="5">
        <v>6000000</v>
      </c>
      <c r="D2283" s="5">
        <v>30</v>
      </c>
      <c r="E2283" s="5">
        <v>0.375</v>
      </c>
      <c r="F2283" s="5">
        <v>0</v>
      </c>
      <c r="G2283" s="12">
        <f>(C2283*$U$4)/($U$5*$U$3)</f>
        <v>88.16326530612244</v>
      </c>
      <c r="H2283" s="11">
        <f>G2283*COS(RADIANS(D2283))</f>
        <v>76.351627435689281</v>
      </c>
      <c r="I2283" s="11">
        <f>G2283*SIN(RADIANS(D2283))</f>
        <v>44.081632653061213</v>
      </c>
      <c r="J2283" s="11">
        <v>0.1976</v>
      </c>
      <c r="K2283" s="12">
        <v>78</v>
      </c>
      <c r="L2283" s="12">
        <f>-(F2283*G2283*$U$3)/J2283</f>
        <v>0</v>
      </c>
      <c r="M2283" s="11">
        <f>ABS(L2283/$U$6)</f>
        <v>0</v>
      </c>
      <c r="N2283" s="12">
        <f>L2283*SIN(RADIANS(K2283))</f>
        <v>0</v>
      </c>
      <c r="O2283" s="12">
        <f>L2283*COS(RADIANS(K2283))</f>
        <v>0</v>
      </c>
      <c r="P2283" s="5">
        <v>2.7969239854578514</v>
      </c>
      <c r="Q2283" s="5">
        <v>1.3564201610445854</v>
      </c>
      <c r="R2283" s="6">
        <f>P2283/Q2283</f>
        <v>2.0619893936875187</v>
      </c>
    </row>
    <row r="2284" spans="1:18" x14ac:dyDescent="0.35">
      <c r="A2284" s="9">
        <v>2285</v>
      </c>
      <c r="B2284" s="5">
        <v>0.25</v>
      </c>
      <c r="C2284" s="5">
        <v>4000000</v>
      </c>
      <c r="D2284" s="5">
        <v>5</v>
      </c>
      <c r="E2284" s="5">
        <v>0.125</v>
      </c>
      <c r="F2284" s="5">
        <v>0.1</v>
      </c>
      <c r="G2284" s="12">
        <f>(C2284*$U$4)/($U$5*$U$3)</f>
        <v>58.775510204081627</v>
      </c>
      <c r="H2284" s="11">
        <f>G2284*COS(RADIANS(D2284))</f>
        <v>58.551851642943404</v>
      </c>
      <c r="I2284" s="11">
        <f>G2284*SIN(RADIANS(D2284))</f>
        <v>5.1226232472092956</v>
      </c>
      <c r="J2284" s="11">
        <v>0.19020000000000001</v>
      </c>
      <c r="K2284" s="12">
        <v>46</v>
      </c>
      <c r="L2284" s="12">
        <f>-(F2284*G2284*$U$3)/J2284</f>
        <v>-30.901950685637026</v>
      </c>
      <c r="M2284" s="11">
        <f>ABS(L2284/$U$6)</f>
        <v>9.0093150686988407E-2</v>
      </c>
      <c r="N2284" s="12">
        <f>L2284*SIN(RADIANS(K2284))</f>
        <v>-22.229003036280979</v>
      </c>
      <c r="O2284" s="12">
        <f>L2284*COS(RADIANS(K2284))</f>
        <v>-21.46629870728891</v>
      </c>
      <c r="P2284" s="5">
        <v>2.4321828057253394</v>
      </c>
      <c r="Q2284" s="5">
        <v>0.25081859001958262</v>
      </c>
      <c r="R2284" s="6">
        <f>P2284/Q2284</f>
        <v>9.6969798193006636</v>
      </c>
    </row>
    <row r="2285" spans="1:18" x14ac:dyDescent="0.35">
      <c r="A2285" s="9">
        <v>2286</v>
      </c>
      <c r="B2285" s="5">
        <v>0.75</v>
      </c>
      <c r="C2285" s="5">
        <v>6000000</v>
      </c>
      <c r="D2285" s="5">
        <v>10</v>
      </c>
      <c r="E2285" s="5">
        <v>0.25</v>
      </c>
      <c r="F2285" s="5">
        <v>2.5000000000000001E-2</v>
      </c>
      <c r="G2285" s="12">
        <f>(C2285*$U$4)/($U$5*$U$3)</f>
        <v>88.16326530612244</v>
      </c>
      <c r="H2285" s="11">
        <f>G2285*COS(RADIANS(D2285))</f>
        <v>86.823867204341596</v>
      </c>
      <c r="I2285" s="11">
        <f>G2285*SIN(RADIANS(D2285))</f>
        <v>15.309390357574264</v>
      </c>
      <c r="J2285" s="12">
        <v>0.28370000000000001</v>
      </c>
      <c r="K2285" s="11">
        <v>38</v>
      </c>
      <c r="L2285" s="12">
        <f>-(F2285*G2285*$U$3)/J2285</f>
        <v>-7.769057570155308</v>
      </c>
      <c r="M2285" s="11">
        <f>ABS(L2285/$U$6)</f>
        <v>2.2650313615613142E-2</v>
      </c>
      <c r="N2285" s="12">
        <f>L2285*SIN(RADIANS(K2285))</f>
        <v>-4.7831094455317906</v>
      </c>
      <c r="O2285" s="12">
        <f>L2285*COS(RADIANS(K2285))</f>
        <v>-6.1221009106720921</v>
      </c>
      <c r="P2285" s="5">
        <v>4.4070229989811374</v>
      </c>
      <c r="Q2285" s="5">
        <v>0.29875648898061907</v>
      </c>
      <c r="R2285" s="6">
        <f>P2285/Q2285</f>
        <v>14.751221016213742</v>
      </c>
    </row>
    <row r="2286" spans="1:18" x14ac:dyDescent="0.35">
      <c r="A2286" s="9">
        <v>2287</v>
      </c>
      <c r="B2286" s="5">
        <v>0.75</v>
      </c>
      <c r="C2286" s="5">
        <v>6000000</v>
      </c>
      <c r="D2286" s="5">
        <v>10</v>
      </c>
      <c r="E2286" s="5">
        <v>0.375</v>
      </c>
      <c r="F2286" s="5">
        <v>0.1</v>
      </c>
      <c r="G2286" s="12">
        <f>(C2286*$U$4)/($U$5*$U$3)</f>
        <v>88.16326530612244</v>
      </c>
      <c r="H2286" s="11">
        <f>G2286*COS(RADIANS(D2286))</f>
        <v>86.823867204341596</v>
      </c>
      <c r="I2286" s="11">
        <f>G2286*SIN(RADIANS(D2286))</f>
        <v>15.309390357574264</v>
      </c>
      <c r="J2286" s="11">
        <v>0.29299999999999998</v>
      </c>
      <c r="K2286" s="12">
        <v>57</v>
      </c>
      <c r="L2286" s="12">
        <f>-(F2286*G2286*$U$3)/J2286</f>
        <v>-30.089851640314826</v>
      </c>
      <c r="M2286" s="11">
        <f>ABS(L2286/$U$6)</f>
        <v>8.7725514986340597E-2</v>
      </c>
      <c r="N2286" s="12">
        <f>L2286*SIN(RADIANS(K2286))</f>
        <v>-25.235472964576385</v>
      </c>
      <c r="O2286" s="12">
        <f>L2286*COS(RADIANS(K2286))</f>
        <v>-16.388107761126395</v>
      </c>
      <c r="P2286" s="5">
        <v>5.5161996115309613</v>
      </c>
      <c r="Q2286" s="5">
        <v>-6.635885111961376E-2</v>
      </c>
      <c r="R2286" s="6">
        <f>P2286/Q2286</f>
        <v>-83.126810040575464</v>
      </c>
    </row>
    <row r="2287" spans="1:18" x14ac:dyDescent="0.35">
      <c r="A2287" s="9">
        <v>2288</v>
      </c>
      <c r="B2287" s="5">
        <v>1</v>
      </c>
      <c r="C2287" s="5">
        <v>4000000</v>
      </c>
      <c r="D2287" s="5">
        <v>0</v>
      </c>
      <c r="E2287" s="5">
        <v>0.375</v>
      </c>
      <c r="F2287" s="5">
        <v>0</v>
      </c>
      <c r="G2287" s="12">
        <f>(C2287*$U$4)/($U$5*$U$3)</f>
        <v>58.775510204081627</v>
      </c>
      <c r="H2287" s="11">
        <f>G2287*COS(RADIANS(D2287))</f>
        <v>58.775510204081627</v>
      </c>
      <c r="I2287" s="11">
        <f>G2287*SIN(RADIANS(D2287))</f>
        <v>0</v>
      </c>
      <c r="J2287" s="12">
        <v>0.33379999999999999</v>
      </c>
      <c r="K2287" s="11">
        <v>49</v>
      </c>
      <c r="L2287" s="12">
        <f>-(F2287*G2287*$U$3)/J2287</f>
        <v>0</v>
      </c>
      <c r="M2287" s="11">
        <f>ABS(L2287/$U$6)</f>
        <v>0</v>
      </c>
      <c r="N2287" s="12">
        <f>L2287*SIN(RADIANS(K2287))</f>
        <v>0</v>
      </c>
      <c r="O2287" s="12">
        <f>L2287*COS(RADIANS(K2287))</f>
        <v>0</v>
      </c>
      <c r="P2287" s="5">
        <v>5.6285872614839159</v>
      </c>
      <c r="Q2287" s="5">
        <v>0.37533127777849079</v>
      </c>
      <c r="R2287" s="6">
        <f>P2287/Q2287</f>
        <v>14.996318172038245</v>
      </c>
    </row>
    <row r="2288" spans="1:18" x14ac:dyDescent="0.35">
      <c r="A2288" s="9">
        <v>2289</v>
      </c>
      <c r="B2288" s="5">
        <v>0.5</v>
      </c>
      <c r="C2288" s="5">
        <v>4000000</v>
      </c>
      <c r="D2288" s="5">
        <v>15</v>
      </c>
      <c r="E2288" s="5">
        <v>0.25</v>
      </c>
      <c r="F2288" s="5">
        <v>0</v>
      </c>
      <c r="G2288" s="12">
        <f>(C2288*$U$4)/($U$5*$U$3)</f>
        <v>58.775510204081627</v>
      </c>
      <c r="H2288" s="11">
        <f>G2288*COS(RADIANS(D2288))</f>
        <v>56.772783259439109</v>
      </c>
      <c r="I2288" s="11">
        <f>G2288*SIN(RADIANS(D2288))</f>
        <v>15.212221426433871</v>
      </c>
      <c r="J2288" s="11">
        <v>0.23580000000000001</v>
      </c>
      <c r="K2288" s="11">
        <v>49</v>
      </c>
      <c r="L2288" s="12">
        <f>-(F2288*G2288*$U$3)/J2288</f>
        <v>0</v>
      </c>
      <c r="M2288" s="11">
        <f>ABS(L2288/$U$6)</f>
        <v>0</v>
      </c>
      <c r="N2288" s="12">
        <f>L2288*SIN(RADIANS(K2288))</f>
        <v>0</v>
      </c>
      <c r="O2288" s="12">
        <f>L2288*COS(RADIANS(K2288))</f>
        <v>0</v>
      </c>
      <c r="P2288" s="5">
        <v>4.1364793826691715</v>
      </c>
      <c r="Q2288" s="5">
        <v>1.1554479745729405</v>
      </c>
      <c r="R2288" s="6">
        <f>P2288/Q2288</f>
        <v>3.5799789118138663</v>
      </c>
    </row>
    <row r="2289" spans="1:18" x14ac:dyDescent="0.35">
      <c r="A2289" s="9">
        <v>2290</v>
      </c>
      <c r="B2289" s="5">
        <v>0.25</v>
      </c>
      <c r="C2289" s="5">
        <v>2000000</v>
      </c>
      <c r="D2289" s="5">
        <v>10</v>
      </c>
      <c r="E2289" s="5">
        <v>0</v>
      </c>
      <c r="F2289" s="5">
        <v>1.4999999999999999E-2</v>
      </c>
      <c r="G2289" s="12">
        <f>(C2289*$U$4)/($U$5*$U$3)</f>
        <v>29.387755102040813</v>
      </c>
      <c r="H2289" s="11">
        <f>G2289*COS(RADIANS(D2289))</f>
        <v>28.941289068113864</v>
      </c>
      <c r="I2289" s="11">
        <f>G2289*SIN(RADIANS(D2289))</f>
        <v>5.1031301191914213</v>
      </c>
      <c r="J2289" s="12">
        <v>0.18990000000000001</v>
      </c>
      <c r="K2289" s="12">
        <v>0</v>
      </c>
      <c r="L2289" s="12">
        <f>-(F2289*G2289*$U$3)/J2289</f>
        <v>-2.321307669987426</v>
      </c>
      <c r="M2289" s="11">
        <f>ABS(L2289/$U$6)</f>
        <v>6.7676608454443907E-3</v>
      </c>
      <c r="N2289" s="12">
        <f>L2289*SIN(RADIANS(K2289))</f>
        <v>0</v>
      </c>
      <c r="O2289" s="12">
        <f>L2289*COS(RADIANS(K2289))</f>
        <v>-2.321307669987426</v>
      </c>
      <c r="P2289" s="5">
        <v>2.0432971326193452</v>
      </c>
      <c r="Q2289" s="5">
        <v>0.45009971904411705</v>
      </c>
      <c r="R2289" s="6">
        <f>P2289/Q2289</f>
        <v>4.5396543169560815</v>
      </c>
    </row>
    <row r="2290" spans="1:18" x14ac:dyDescent="0.35">
      <c r="A2290" s="9">
        <v>2291</v>
      </c>
      <c r="B2290" s="5">
        <v>0.25</v>
      </c>
      <c r="C2290" s="5">
        <v>2000000</v>
      </c>
      <c r="D2290" s="5">
        <v>20</v>
      </c>
      <c r="E2290" s="5">
        <v>0.125</v>
      </c>
      <c r="F2290" s="5">
        <v>7.4999999999999997E-2</v>
      </c>
      <c r="G2290" s="12">
        <f>(C2290*$U$4)/($U$5*$U$3)</f>
        <v>29.387755102040813</v>
      </c>
      <c r="H2290" s="11">
        <f>G2290*COS(RADIANS(D2290))</f>
        <v>27.615456610851183</v>
      </c>
      <c r="I2290" s="11">
        <f>G2290*SIN(RADIANS(D2290))</f>
        <v>10.051204212019652</v>
      </c>
      <c r="J2290" s="11">
        <v>0.19020000000000001</v>
      </c>
      <c r="K2290" s="12">
        <v>46</v>
      </c>
      <c r="L2290" s="12">
        <f>-(F2290*G2290*$U$3)/J2290</f>
        <v>-11.588231507113885</v>
      </c>
      <c r="M2290" s="11">
        <f>ABS(L2290/$U$6)</f>
        <v>3.3784931507620658E-2</v>
      </c>
      <c r="N2290" s="12">
        <f>L2290*SIN(RADIANS(K2290))</f>
        <v>-8.3358761386053679</v>
      </c>
      <c r="O2290" s="12">
        <f>L2290*COS(RADIANS(K2290))</f>
        <v>-8.0498620152333409</v>
      </c>
      <c r="P2290" s="5">
        <v>2.5750936559210991</v>
      </c>
      <c r="Q2290" s="5">
        <v>0.70628529069575763</v>
      </c>
      <c r="R2290" s="6">
        <f>P2290/Q2290</f>
        <v>3.6459681234255763</v>
      </c>
    </row>
    <row r="2291" spans="1:18" x14ac:dyDescent="0.35">
      <c r="A2291" s="9">
        <v>1954</v>
      </c>
      <c r="B2291" s="5">
        <v>0.25</v>
      </c>
      <c r="C2291" s="5">
        <v>6000000</v>
      </c>
      <c r="D2291" s="5">
        <v>30</v>
      </c>
      <c r="E2291" s="5">
        <v>0.25</v>
      </c>
      <c r="F2291" s="5">
        <v>7.4999999999999997E-2</v>
      </c>
      <c r="G2291" s="12">
        <f>(C2291*$U$4)/($U$5*$U$3)</f>
        <v>88.16326530612244</v>
      </c>
      <c r="H2291" s="11">
        <f>G2291*COS(RADIANS(D2291))</f>
        <v>76.351627435689281</v>
      </c>
      <c r="I2291" s="11">
        <f>G2291*SIN(RADIANS(D2291))</f>
        <v>44.081632653061213</v>
      </c>
      <c r="J2291" s="12">
        <v>0.1913</v>
      </c>
      <c r="K2291" s="11">
        <v>67</v>
      </c>
      <c r="L2291" s="12">
        <f>-(F2291*G2291*$U$3)/J2291</f>
        <v>-34.564792984627196</v>
      </c>
      <c r="M2291" s="11">
        <f>ABS(L2291/$U$6)</f>
        <v>0.10077199120882564</v>
      </c>
      <c r="N2291" s="12">
        <f>L2291*SIN(RADIANS(K2291))</f>
        <v>-31.817059700928198</v>
      </c>
      <c r="O2291" s="12">
        <f>L2291*COS(RADIANS(K2291))</f>
        <v>-13.505540568881516</v>
      </c>
      <c r="P2291" s="5">
        <v>2.4301192706523844</v>
      </c>
      <c r="Q2291" s="5">
        <v>0.95947844387343395</v>
      </c>
      <c r="R2291" s="6">
        <f>P2291/Q2291</f>
        <v>2.5327502521494321</v>
      </c>
    </row>
    <row r="2292" spans="1:18" x14ac:dyDescent="0.35">
      <c r="A2292" s="9">
        <v>2293</v>
      </c>
      <c r="B2292" s="5">
        <v>0.1</v>
      </c>
      <c r="C2292" s="5">
        <v>2000000</v>
      </c>
      <c r="D2292" s="5">
        <v>30</v>
      </c>
      <c r="E2292" s="5">
        <v>0.25</v>
      </c>
      <c r="F2292" s="5">
        <v>0.05</v>
      </c>
      <c r="G2292" s="12">
        <f>(C2292*$U$4)/($U$5*$U$3)</f>
        <v>29.387755102040813</v>
      </c>
      <c r="H2292" s="11">
        <f>G2292*COS(RADIANS(D2292))</f>
        <v>25.450542478563094</v>
      </c>
      <c r="I2292" s="11">
        <f>G2292*SIN(RADIANS(D2292))</f>
        <v>14.693877551020405</v>
      </c>
      <c r="J2292" s="11">
        <v>0.1661</v>
      </c>
      <c r="K2292" s="12">
        <v>80</v>
      </c>
      <c r="L2292" s="12">
        <f>-(F2292*G2292*$U$3)/J2292</f>
        <v>-8.8464043052500951</v>
      </c>
      <c r="M2292" s="11">
        <f>ABS(L2292/$U$6)</f>
        <v>2.5791266196064418E-2</v>
      </c>
      <c r="N2292" s="12">
        <f>L2292*SIN(RADIANS(K2292))</f>
        <v>-8.7120075460908701</v>
      </c>
      <c r="O2292" s="12">
        <f>L2292*COS(RADIANS(K2292))</f>
        <v>-1.5361619865115665</v>
      </c>
      <c r="P2292" s="5">
        <v>1.3871934554606073</v>
      </c>
      <c r="Q2292" s="5">
        <v>1.0299416083846238</v>
      </c>
      <c r="R2292" s="6">
        <f>P2292/Q2292</f>
        <v>1.3468661176203016</v>
      </c>
    </row>
    <row r="2293" spans="1:18" x14ac:dyDescent="0.35">
      <c r="A2293" s="9">
        <v>2294</v>
      </c>
      <c r="B2293" s="5">
        <v>0.75</v>
      </c>
      <c r="C2293" s="5">
        <v>2000000</v>
      </c>
      <c r="D2293" s="5">
        <v>30</v>
      </c>
      <c r="E2293" s="5">
        <v>0.375</v>
      </c>
      <c r="F2293" s="5">
        <v>0</v>
      </c>
      <c r="G2293" s="12">
        <f>(C2293*$U$4)/($U$5*$U$3)</f>
        <v>29.387755102040813</v>
      </c>
      <c r="H2293" s="11">
        <f>G2293*COS(RADIANS(D2293))</f>
        <v>25.450542478563094</v>
      </c>
      <c r="I2293" s="11">
        <f>G2293*SIN(RADIANS(D2293))</f>
        <v>14.693877551020405</v>
      </c>
      <c r="J2293" s="11">
        <v>0.29299999999999998</v>
      </c>
      <c r="K2293" s="12">
        <v>57</v>
      </c>
      <c r="L2293" s="12">
        <f>-(F2293*G2293*$U$3)/J2293</f>
        <v>0</v>
      </c>
      <c r="M2293" s="11">
        <f>ABS(L2293/$U$6)</f>
        <v>0</v>
      </c>
      <c r="N2293" s="12">
        <f>L2293*SIN(RADIANS(K2293))</f>
        <v>0</v>
      </c>
      <c r="O2293" s="12">
        <f>L2293*COS(RADIANS(K2293))</f>
        <v>0</v>
      </c>
      <c r="P2293" s="5">
        <v>4.5817322983555853</v>
      </c>
      <c r="Q2293" s="5">
        <v>2.1918937844620694</v>
      </c>
      <c r="R2293" s="6">
        <f>P2293/Q2293</f>
        <v>2.0903076284237128</v>
      </c>
    </row>
    <row r="2294" spans="1:18" x14ac:dyDescent="0.35">
      <c r="A2294" s="9">
        <v>2295</v>
      </c>
      <c r="B2294" s="5">
        <v>0.5</v>
      </c>
      <c r="C2294" s="5">
        <v>2000000</v>
      </c>
      <c r="D2294" s="5">
        <v>0</v>
      </c>
      <c r="E2294" s="5">
        <v>0.375</v>
      </c>
      <c r="F2294" s="5">
        <v>0.05</v>
      </c>
      <c r="G2294" s="12">
        <f>(C2294*$U$4)/($U$5*$U$3)</f>
        <v>29.387755102040813</v>
      </c>
      <c r="H2294" s="11">
        <f>G2294*COS(RADIANS(D2294))</f>
        <v>29.387755102040813</v>
      </c>
      <c r="I2294" s="11">
        <f>G2294*SIN(RADIANS(D2294))</f>
        <v>0</v>
      </c>
      <c r="J2294" s="12">
        <v>0.24809999999999999</v>
      </c>
      <c r="K2294" s="12">
        <v>67</v>
      </c>
      <c r="L2294" s="12">
        <f>-(F2294*G2294*$U$3)/J2294</f>
        <v>-5.9225624953729978</v>
      </c>
      <c r="M2294" s="11">
        <f>ABS(L2294/$U$6)</f>
        <v>1.7266946050650139E-2</v>
      </c>
      <c r="N2294" s="12">
        <f>L2294*SIN(RADIANS(K2294))</f>
        <v>-5.451747521866241</v>
      </c>
      <c r="O2294" s="12">
        <f>L2294*COS(RADIANS(K2294))</f>
        <v>-2.3141295273653402</v>
      </c>
      <c r="P2294" s="5">
        <v>3.269155165139725</v>
      </c>
      <c r="Q2294" s="5">
        <v>-0.19361698838085722</v>
      </c>
      <c r="R2294" s="6">
        <f>P2294/Q2294</f>
        <v>-16.884650424936286</v>
      </c>
    </row>
    <row r="2295" spans="1:18" x14ac:dyDescent="0.35">
      <c r="A2295" s="9">
        <v>2296</v>
      </c>
      <c r="B2295" s="5">
        <v>0.25</v>
      </c>
      <c r="C2295" s="5">
        <v>2000000</v>
      </c>
      <c r="D2295" s="5">
        <v>20</v>
      </c>
      <c r="E2295" s="5">
        <v>0.25</v>
      </c>
      <c r="F2295" s="5">
        <v>1.4999999999999999E-2</v>
      </c>
      <c r="G2295" s="12">
        <f>(C2295*$U$4)/($U$5*$U$3)</f>
        <v>29.387755102040813</v>
      </c>
      <c r="H2295" s="11">
        <f>G2295*COS(RADIANS(D2295))</f>
        <v>27.615456610851183</v>
      </c>
      <c r="I2295" s="11">
        <f>G2295*SIN(RADIANS(D2295))</f>
        <v>10.051204212019652</v>
      </c>
      <c r="J2295" s="12">
        <v>0.1913</v>
      </c>
      <c r="K2295" s="11">
        <v>67</v>
      </c>
      <c r="L2295" s="12">
        <f>-(F2295*G2295*$U$3)/J2295</f>
        <v>-2.30431953230848</v>
      </c>
      <c r="M2295" s="11">
        <f>ABS(L2295/$U$6)</f>
        <v>6.7181327472550434E-3</v>
      </c>
      <c r="N2295" s="12">
        <f>L2295*SIN(RADIANS(K2295))</f>
        <v>-2.1211373133952134</v>
      </c>
      <c r="O2295" s="12">
        <f>L2295*COS(RADIANS(K2295))</f>
        <v>-0.90036937125876781</v>
      </c>
      <c r="P2295" s="5">
        <v>2.2107653576438655</v>
      </c>
      <c r="Q2295" s="5">
        <v>0.67553678664847794</v>
      </c>
      <c r="R2295" s="6">
        <f>P2295/Q2295</f>
        <v>3.272605432210546</v>
      </c>
    </row>
    <row r="2296" spans="1:18" x14ac:dyDescent="0.35">
      <c r="A2296" s="9">
        <v>1975</v>
      </c>
      <c r="B2296" s="5">
        <v>0.25</v>
      </c>
      <c r="C2296" s="5">
        <v>6000000</v>
      </c>
      <c r="D2296" s="5">
        <v>10</v>
      </c>
      <c r="E2296" s="5">
        <v>0.25</v>
      </c>
      <c r="F2296" s="5">
        <v>7.4999999999999997E-2</v>
      </c>
      <c r="G2296" s="12">
        <f>(C2296*$U$4)/($U$5*$U$3)</f>
        <v>88.16326530612244</v>
      </c>
      <c r="H2296" s="11">
        <f>G2296*COS(RADIANS(D2296))</f>
        <v>86.823867204341596</v>
      </c>
      <c r="I2296" s="11">
        <f>G2296*SIN(RADIANS(D2296))</f>
        <v>15.309390357574264</v>
      </c>
      <c r="J2296" s="12">
        <v>0.1913</v>
      </c>
      <c r="K2296" s="20">
        <v>67</v>
      </c>
      <c r="L2296" s="12">
        <f>-(F2296*G2296*$U$3)/J2296</f>
        <v>-34.564792984627196</v>
      </c>
      <c r="M2296" s="11">
        <f>ABS(L2296/$U$6)</f>
        <v>0.10077199120882564</v>
      </c>
      <c r="N2296" s="12">
        <f>L2296*SIN(RADIANS(K2296))</f>
        <v>-31.817059700928198</v>
      </c>
      <c r="O2296" s="12">
        <f>L2296*COS(RADIANS(K2296))</f>
        <v>-13.505540568881516</v>
      </c>
      <c r="P2296" s="5">
        <v>2.2550972542228838</v>
      </c>
      <c r="Q2296" s="5">
        <v>0.3943935637019706</v>
      </c>
      <c r="R2296" s="6">
        <f>P2296/Q2296</f>
        <v>5.7178855381295772</v>
      </c>
    </row>
    <row r="2297" spans="1:18" x14ac:dyDescent="0.35">
      <c r="A2297" s="9">
        <v>2298</v>
      </c>
      <c r="B2297" s="5">
        <v>1</v>
      </c>
      <c r="C2297" s="5">
        <v>2000000</v>
      </c>
      <c r="D2297" s="5">
        <v>10</v>
      </c>
      <c r="E2297" s="5">
        <v>0.125</v>
      </c>
      <c r="F2297" s="5">
        <v>2.5000000000000001E-2</v>
      </c>
      <c r="G2297" s="12">
        <f t="shared" ref="G2242:G2303" si="8">(C2297*$U$4)/($U$5*$U$3)</f>
        <v>29.387755102040813</v>
      </c>
      <c r="H2297" s="11">
        <f t="shared" ref="H2242:H2305" si="9">G2297*COS(RADIANS(D2297))</f>
        <v>28.941289068113864</v>
      </c>
      <c r="I2297" s="11">
        <f t="shared" ref="I2242:I2303" si="10">G2297*SIN(RADIANS(D2297))</f>
        <v>5.1031301191914213</v>
      </c>
      <c r="J2297" s="11">
        <v>0.33379999999999999</v>
      </c>
      <c r="K2297" s="12">
        <v>14</v>
      </c>
      <c r="L2297" s="12">
        <f t="shared" ref="L2242:L2303" si="11">-(F2297*G2297*$U$3)/J2297</f>
        <v>-2.2010002323278024</v>
      </c>
      <c r="M2297" s="11">
        <f t="shared" ref="M2242:M2305" si="12">ABS(L2297/$U$6)</f>
        <v>6.4169102983317851E-3</v>
      </c>
      <c r="N2297" s="12">
        <f t="shared" ref="N2242:N2303" si="13">L2297*SIN(RADIANS(K2297))</f>
        <v>-0.53247014842005103</v>
      </c>
      <c r="O2297" s="12">
        <f t="shared" ref="O2242:O2303" si="14">L2297*COS(RADIANS(K2297))</f>
        <v>-2.1356211189601422</v>
      </c>
      <c r="P2297" s="5">
        <v>3.6652864019139568</v>
      </c>
      <c r="Q2297" s="5">
        <v>0.86684560804263189</v>
      </c>
      <c r="R2297" s="6">
        <f t="shared" ref="R2242:R2305" si="15">P2297/Q2297</f>
        <v>4.228303596288967</v>
      </c>
    </row>
    <row r="2298" spans="1:18" x14ac:dyDescent="0.35">
      <c r="A2298" s="9">
        <v>2299</v>
      </c>
      <c r="B2298" s="5">
        <v>1</v>
      </c>
      <c r="C2298" s="5">
        <v>6000000</v>
      </c>
      <c r="D2298" s="5">
        <v>10</v>
      </c>
      <c r="E2298" s="5">
        <v>0.125</v>
      </c>
      <c r="F2298" s="5">
        <v>0</v>
      </c>
      <c r="G2298" s="12">
        <f t="shared" si="8"/>
        <v>88.16326530612244</v>
      </c>
      <c r="H2298" s="11">
        <f t="shared" si="9"/>
        <v>86.823867204341596</v>
      </c>
      <c r="I2298" s="11">
        <f t="shared" si="10"/>
        <v>15.309390357574264</v>
      </c>
      <c r="J2298" s="11">
        <v>0.33379999999999999</v>
      </c>
      <c r="K2298" s="12">
        <v>14</v>
      </c>
      <c r="L2298" s="12">
        <f t="shared" si="11"/>
        <v>0</v>
      </c>
      <c r="M2298" s="11">
        <f t="shared" si="12"/>
        <v>0</v>
      </c>
      <c r="N2298" s="12">
        <f t="shared" si="13"/>
        <v>0</v>
      </c>
      <c r="O2298" s="12">
        <f t="shared" si="14"/>
        <v>0</v>
      </c>
      <c r="P2298" s="5">
        <v>6.1218305103855286</v>
      </c>
      <c r="Q2298" s="5">
        <v>1.8774026736150125</v>
      </c>
      <c r="R2298" s="6">
        <f t="shared" si="15"/>
        <v>3.2607978013569694</v>
      </c>
    </row>
    <row r="2299" spans="1:18" x14ac:dyDescent="0.35">
      <c r="A2299" s="9">
        <v>2300</v>
      </c>
      <c r="B2299" s="5">
        <v>0.25</v>
      </c>
      <c r="C2299" s="5">
        <v>6000000</v>
      </c>
      <c r="D2299" s="5">
        <v>5</v>
      </c>
      <c r="E2299" s="5">
        <v>0.375</v>
      </c>
      <c r="F2299" s="5">
        <v>7.4999999999999997E-2</v>
      </c>
      <c r="G2299" s="12">
        <f t="shared" si="8"/>
        <v>88.16326530612244</v>
      </c>
      <c r="H2299" s="11">
        <f t="shared" si="9"/>
        <v>87.827777464415107</v>
      </c>
      <c r="I2299" s="11">
        <f t="shared" si="10"/>
        <v>7.6839348708139434</v>
      </c>
      <c r="J2299" s="11">
        <v>0.1976</v>
      </c>
      <c r="K2299" s="12">
        <v>78</v>
      </c>
      <c r="L2299" s="12">
        <f t="shared" si="11"/>
        <v>-33.462777823680078</v>
      </c>
      <c r="M2299" s="11">
        <f t="shared" si="12"/>
        <v>9.7559119019475449E-2</v>
      </c>
      <c r="N2299" s="12">
        <f t="shared" si="13"/>
        <v>-32.731535842121062</v>
      </c>
      <c r="O2299" s="12">
        <f t="shared" si="14"/>
        <v>-6.9573027167803501</v>
      </c>
      <c r="P2299" s="5">
        <v>2.4359911581662135</v>
      </c>
      <c r="Q2299" s="5">
        <v>0.13114012937195446</v>
      </c>
      <c r="R2299" s="6">
        <f t="shared" si="15"/>
        <v>18.575482347260614</v>
      </c>
    </row>
    <row r="2300" spans="1:18" x14ac:dyDescent="0.35">
      <c r="A2300" s="9">
        <v>2301</v>
      </c>
      <c r="B2300" s="5">
        <v>0.5</v>
      </c>
      <c r="C2300" s="5">
        <v>2000000</v>
      </c>
      <c r="D2300" s="5">
        <v>20</v>
      </c>
      <c r="E2300" s="5">
        <v>0.375</v>
      </c>
      <c r="F2300" s="5">
        <v>3.5000000000000003E-2</v>
      </c>
      <c r="G2300" s="12">
        <f t="shared" si="8"/>
        <v>29.387755102040813</v>
      </c>
      <c r="H2300" s="11">
        <f t="shared" si="9"/>
        <v>27.615456610851183</v>
      </c>
      <c r="I2300" s="11">
        <f t="shared" si="10"/>
        <v>10.051204212019652</v>
      </c>
      <c r="J2300" s="12">
        <v>0.24809999999999999</v>
      </c>
      <c r="K2300" s="12">
        <v>67</v>
      </c>
      <c r="L2300" s="12">
        <f t="shared" si="11"/>
        <v>-4.1457937467610986</v>
      </c>
      <c r="M2300" s="11">
        <f t="shared" si="12"/>
        <v>1.2086862235455098E-2</v>
      </c>
      <c r="N2300" s="12">
        <f t="shared" si="13"/>
        <v>-3.8162232653063688</v>
      </c>
      <c r="O2300" s="12">
        <f t="shared" si="14"/>
        <v>-1.6198906691557382</v>
      </c>
      <c r="P2300" s="5">
        <v>3.365554716296721</v>
      </c>
      <c r="Q2300" s="5">
        <v>0.69401446800656919</v>
      </c>
      <c r="R2300" s="6">
        <f t="shared" si="15"/>
        <v>4.8494013762618913</v>
      </c>
    </row>
    <row r="2301" spans="1:18" x14ac:dyDescent="0.35">
      <c r="A2301" s="9">
        <v>2302</v>
      </c>
      <c r="B2301" s="5">
        <v>0.1</v>
      </c>
      <c r="C2301" s="5">
        <v>4000000</v>
      </c>
      <c r="D2301" s="5">
        <v>5</v>
      </c>
      <c r="E2301" s="5">
        <v>0</v>
      </c>
      <c r="F2301" s="5">
        <v>0</v>
      </c>
      <c r="G2301" s="12">
        <f t="shared" si="8"/>
        <v>58.775510204081627</v>
      </c>
      <c r="H2301" s="11">
        <f t="shared" si="9"/>
        <v>58.551851642943404</v>
      </c>
      <c r="I2301" s="11">
        <f t="shared" si="10"/>
        <v>5.1226232472092956</v>
      </c>
      <c r="J2301" s="11">
        <v>0.16569999999999999</v>
      </c>
      <c r="K2301" s="12">
        <v>0</v>
      </c>
      <c r="L2301" s="12">
        <f t="shared" si="11"/>
        <v>0</v>
      </c>
      <c r="M2301" s="11">
        <f t="shared" si="12"/>
        <v>0</v>
      </c>
      <c r="N2301" s="12">
        <f t="shared" si="13"/>
        <v>0</v>
      </c>
      <c r="O2301" s="12">
        <f t="shared" si="14"/>
        <v>0</v>
      </c>
      <c r="P2301" s="5">
        <v>1.221619335950104</v>
      </c>
      <c r="Q2301" s="5">
        <v>0.32894667285462009</v>
      </c>
      <c r="R2301" s="6">
        <f t="shared" si="15"/>
        <v>3.7137306340532765</v>
      </c>
    </row>
    <row r="2302" spans="1:18" x14ac:dyDescent="0.35">
      <c r="A2302" s="9">
        <v>2303</v>
      </c>
      <c r="B2302" s="5">
        <v>1</v>
      </c>
      <c r="C2302" s="5">
        <v>2000000</v>
      </c>
      <c r="D2302" s="5">
        <v>5</v>
      </c>
      <c r="E2302" s="5">
        <v>0.125</v>
      </c>
      <c r="F2302" s="5">
        <v>0.05</v>
      </c>
      <c r="G2302" s="12">
        <f t="shared" si="8"/>
        <v>29.387755102040813</v>
      </c>
      <c r="H2302" s="11">
        <f t="shared" si="9"/>
        <v>29.275925821471702</v>
      </c>
      <c r="I2302" s="11">
        <f t="shared" si="10"/>
        <v>2.5613116236046478</v>
      </c>
      <c r="J2302" s="11">
        <v>0.33379999999999999</v>
      </c>
      <c r="K2302" s="12">
        <v>14</v>
      </c>
      <c r="L2302" s="12">
        <f t="shared" si="11"/>
        <v>-4.4020004646556048</v>
      </c>
      <c r="M2302" s="11">
        <f t="shared" si="12"/>
        <v>1.283382059666357E-2</v>
      </c>
      <c r="N2302" s="12">
        <f t="shared" si="13"/>
        <v>-1.0649402968401021</v>
      </c>
      <c r="O2302" s="12">
        <f t="shared" si="14"/>
        <v>-4.2712422379202843</v>
      </c>
      <c r="P2302" s="5">
        <v>4.7349671131828304</v>
      </c>
      <c r="Q2302" s="5">
        <v>0.19179818725783607</v>
      </c>
      <c r="R2302" s="6">
        <f t="shared" si="15"/>
        <v>24.687235999877156</v>
      </c>
    </row>
    <row r="2303" spans="1:18" x14ac:dyDescent="0.35">
      <c r="A2303" s="9">
        <v>2304</v>
      </c>
      <c r="B2303" s="5">
        <v>1</v>
      </c>
      <c r="C2303" s="5">
        <v>4000000</v>
      </c>
      <c r="D2303" s="5">
        <v>0</v>
      </c>
      <c r="E2303" s="5">
        <v>0.375</v>
      </c>
      <c r="F2303" s="5">
        <v>3.5000000000000003E-2</v>
      </c>
      <c r="G2303" s="12">
        <f t="shared" si="8"/>
        <v>58.775510204081627</v>
      </c>
      <c r="H2303" s="11">
        <f t="shared" si="9"/>
        <v>58.775510204081627</v>
      </c>
      <c r="I2303" s="11">
        <f t="shared" si="10"/>
        <v>0</v>
      </c>
      <c r="J2303" s="12">
        <v>0.33379999999999999</v>
      </c>
      <c r="K2303" s="11">
        <v>49</v>
      </c>
      <c r="L2303" s="12">
        <f t="shared" si="11"/>
        <v>-6.1628006505178465</v>
      </c>
      <c r="M2303" s="11">
        <f t="shared" si="12"/>
        <v>1.7967348835328998E-2</v>
      </c>
      <c r="N2303" s="12">
        <f t="shared" si="13"/>
        <v>-4.65112469194895</v>
      </c>
      <c r="O2303" s="12">
        <f t="shared" si="14"/>
        <v>-4.0431610106408051</v>
      </c>
      <c r="P2303" s="5">
        <v>4.4113757494650994</v>
      </c>
      <c r="Q2303" s="5">
        <v>-0.4280284976672587</v>
      </c>
      <c r="R2303" s="6">
        <f t="shared" si="15"/>
        <v>-10.30626646007673</v>
      </c>
    </row>
    <row r="2314" spans="1:1" x14ac:dyDescent="0.35">
      <c r="A2314" s="18"/>
    </row>
  </sheetData>
  <autoFilter ref="A1:R2303" xr:uid="{00000000-0009-0000-0000-000000000000}"/>
  <conditionalFormatting sqref="M2:M2303">
    <cfRule type="cellIs" dxfId="3" priority="1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014E-004E-4560-9839-EB383B54A96C}">
  <dimension ref="A1:W577"/>
  <sheetViews>
    <sheetView tabSelected="1" zoomScale="70" zoomScaleNormal="70" workbookViewId="0">
      <pane ySplit="1" topLeftCell="A5" activePane="bottomLeft" state="frozen"/>
      <selection pane="bottomLeft" activeCell="A115" sqref="A115:XFD115"/>
    </sheetView>
  </sheetViews>
  <sheetFormatPr baseColWidth="10" defaultColWidth="8.7265625" defaultRowHeight="14.5" x14ac:dyDescent="0.35"/>
  <cols>
    <col min="1" max="1" width="16.08984375" style="6" bestFit="1" customWidth="1"/>
    <col min="2" max="2" width="13.36328125" style="6" bestFit="1" customWidth="1"/>
    <col min="3" max="3" width="9.453125" style="6" bestFit="1" customWidth="1"/>
    <col min="4" max="4" width="10.7265625" style="6" bestFit="1" customWidth="1"/>
    <col min="5" max="5" width="8.26953125" style="6" bestFit="1" customWidth="1"/>
    <col min="6" max="6" width="9.453125" style="6" bestFit="1" customWidth="1"/>
    <col min="7" max="7" width="18.36328125" style="6" bestFit="1" customWidth="1"/>
    <col min="8" max="8" width="16.54296875" style="6" bestFit="1" customWidth="1"/>
    <col min="9" max="9" width="16.54296875" style="6" customWidth="1"/>
    <col min="10" max="10" width="19.1796875" style="6" bestFit="1" customWidth="1"/>
    <col min="11" max="11" width="18.36328125" style="6" customWidth="1"/>
    <col min="12" max="12" width="20.36328125" style="6" bestFit="1" customWidth="1"/>
    <col min="13" max="13" width="15.81640625" style="6" bestFit="1" customWidth="1"/>
    <col min="14" max="15" width="21.90625" style="6" bestFit="1" customWidth="1"/>
    <col min="16" max="17" width="15.453125" style="1" bestFit="1" customWidth="1"/>
    <col min="18" max="18" width="12.453125" style="1" bestFit="1" customWidth="1"/>
    <col min="19" max="19" width="12.7265625" style="1" bestFit="1" customWidth="1"/>
    <col min="20" max="16384" width="8.7265625" style="1"/>
  </cols>
  <sheetData>
    <row r="1" spans="1:23" x14ac:dyDescent="0.35">
      <c r="A1" s="8" t="s">
        <v>4</v>
      </c>
      <c r="B1" s="8" t="s">
        <v>0</v>
      </c>
      <c r="C1" s="8" t="s">
        <v>1</v>
      </c>
      <c r="D1" s="8" t="s">
        <v>5</v>
      </c>
      <c r="E1" s="8" t="s">
        <v>2</v>
      </c>
      <c r="F1" s="8" t="s">
        <v>3</v>
      </c>
      <c r="G1" s="8" t="s">
        <v>6</v>
      </c>
      <c r="H1" s="10" t="s">
        <v>18</v>
      </c>
      <c r="I1" s="10" t="s">
        <v>19</v>
      </c>
      <c r="J1" s="8" t="s">
        <v>7</v>
      </c>
      <c r="K1" s="8" t="s">
        <v>8</v>
      </c>
      <c r="L1" s="8" t="s">
        <v>9</v>
      </c>
      <c r="M1" s="8" t="s">
        <v>20</v>
      </c>
      <c r="N1" s="8" t="s">
        <v>10</v>
      </c>
      <c r="O1" s="8" t="s">
        <v>11</v>
      </c>
      <c r="P1" s="7" t="s">
        <v>27</v>
      </c>
      <c r="Q1" s="15" t="s">
        <v>28</v>
      </c>
      <c r="R1" s="8" t="s">
        <v>29</v>
      </c>
    </row>
    <row r="2" spans="1:23" x14ac:dyDescent="0.35">
      <c r="A2" s="14">
        <v>2305</v>
      </c>
      <c r="B2" s="6">
        <v>0.75</v>
      </c>
      <c r="C2" s="6">
        <v>4000000</v>
      </c>
      <c r="D2" s="6">
        <v>15</v>
      </c>
      <c r="E2" s="6">
        <v>0.25</v>
      </c>
      <c r="F2" s="6">
        <v>7.4999999999999997E-2</v>
      </c>
      <c r="G2" s="11">
        <f t="shared" ref="G2:G65" si="0">(C2*$V$4)/($V$5*$V$3)</f>
        <v>58.775510204081627</v>
      </c>
      <c r="H2" s="11">
        <f t="shared" ref="H2:H65" si="1">G2*COS(RADIANS(D2))</f>
        <v>56.772783259439109</v>
      </c>
      <c r="I2" s="11">
        <f t="shared" ref="I2:I65" si="2">G2*SIN(RADIANS(D2))</f>
        <v>15.212221426433871</v>
      </c>
      <c r="J2" s="12">
        <v>0.28370000000000001</v>
      </c>
      <c r="K2" s="11">
        <v>38</v>
      </c>
      <c r="L2" s="11">
        <f t="shared" ref="L2:L65" si="3">-(F2*G2*$V$3)/J2</f>
        <v>-15.538115140310616</v>
      </c>
      <c r="M2" s="11">
        <f t="shared" ref="M2:M65" si="4">ABS(L2/$V$6)</f>
        <v>4.5300627231226284E-2</v>
      </c>
      <c r="N2" s="11">
        <f t="shared" ref="N2:N65" si="5">L2*SIN(RADIANS(K2))</f>
        <v>-9.5662188910635813</v>
      </c>
      <c r="O2" s="11">
        <f t="shared" ref="O2:O65" si="6">L2*COS(RADIANS(K2))</f>
        <v>-12.244201821344184</v>
      </c>
      <c r="P2" s="1">
        <v>3.8556426612797337</v>
      </c>
      <c r="Q2" s="1">
        <v>0.55801174410855514</v>
      </c>
      <c r="R2" s="1">
        <f t="shared" ref="R2:R65" si="7">P2/Q2</f>
        <v>6.9096084481864599</v>
      </c>
    </row>
    <row r="3" spans="1:23" x14ac:dyDescent="0.35">
      <c r="A3" s="14">
        <v>2306</v>
      </c>
      <c r="B3" s="6">
        <v>0.5</v>
      </c>
      <c r="C3" s="6">
        <v>2000000</v>
      </c>
      <c r="D3" s="6">
        <v>5</v>
      </c>
      <c r="E3" s="6">
        <v>0.375</v>
      </c>
      <c r="F3" s="6">
        <v>0</v>
      </c>
      <c r="G3" s="11">
        <f t="shared" si="0"/>
        <v>29.387755102040813</v>
      </c>
      <c r="H3" s="11">
        <f t="shared" si="1"/>
        <v>29.275925821471702</v>
      </c>
      <c r="I3" s="11">
        <f t="shared" si="2"/>
        <v>2.5613116236046478</v>
      </c>
      <c r="J3" s="12">
        <v>0.24809999999999999</v>
      </c>
      <c r="K3" s="11">
        <v>67</v>
      </c>
      <c r="L3" s="11">
        <f t="shared" si="3"/>
        <v>0</v>
      </c>
      <c r="M3" s="11">
        <f t="shared" si="4"/>
        <v>0</v>
      </c>
      <c r="N3" s="11">
        <f t="shared" si="5"/>
        <v>0</v>
      </c>
      <c r="O3" s="11">
        <f t="shared" si="6"/>
        <v>0</v>
      </c>
      <c r="P3" s="1">
        <v>4.0050683778115665</v>
      </c>
      <c r="Q3" s="1">
        <v>0.55322527867222615</v>
      </c>
      <c r="R3" s="1">
        <f t="shared" si="7"/>
        <v>7.239489105458035</v>
      </c>
      <c r="U3" s="2" t="s">
        <v>12</v>
      </c>
      <c r="V3" s="3">
        <v>1</v>
      </c>
      <c r="W3" s="3" t="s">
        <v>13</v>
      </c>
    </row>
    <row r="4" spans="1:23" x14ac:dyDescent="0.35">
      <c r="A4" s="14">
        <v>2307</v>
      </c>
      <c r="B4" s="6">
        <v>1</v>
      </c>
      <c r="C4" s="6">
        <v>6000000</v>
      </c>
      <c r="D4" s="6">
        <v>5</v>
      </c>
      <c r="E4" s="6">
        <v>0</v>
      </c>
      <c r="F4" s="6">
        <v>2.5000000000000001E-2</v>
      </c>
      <c r="G4" s="11">
        <f t="shared" si="0"/>
        <v>88.16326530612244</v>
      </c>
      <c r="H4" s="11">
        <f t="shared" si="1"/>
        <v>87.827777464415107</v>
      </c>
      <c r="I4" s="11">
        <f t="shared" si="2"/>
        <v>7.6839348708139434</v>
      </c>
      <c r="J4" s="11">
        <v>0.33379999999999999</v>
      </c>
      <c r="K4" s="12">
        <v>0</v>
      </c>
      <c r="L4" s="11">
        <f t="shared" si="3"/>
        <v>-6.6030006969834067</v>
      </c>
      <c r="M4" s="11">
        <f t="shared" si="4"/>
        <v>1.9250730894995356E-2</v>
      </c>
      <c r="N4" s="11">
        <f t="shared" si="5"/>
        <v>0</v>
      </c>
      <c r="O4" s="11">
        <f t="shared" si="6"/>
        <v>-6.6030006969834067</v>
      </c>
      <c r="P4" s="1">
        <v>3.9116974538889502</v>
      </c>
      <c r="Q4" s="1">
        <v>1.140355686449003</v>
      </c>
      <c r="R4" s="1">
        <f t="shared" si="7"/>
        <v>3.4302433007281561</v>
      </c>
      <c r="U4" s="2" t="s">
        <v>14</v>
      </c>
      <c r="V4" s="4">
        <f>1.8*10^-5</f>
        <v>1.8E-5</v>
      </c>
      <c r="W4" s="3" t="s">
        <v>15</v>
      </c>
    </row>
    <row r="5" spans="1:23" x14ac:dyDescent="0.35">
      <c r="A5" s="14">
        <v>2472</v>
      </c>
      <c r="B5" s="6">
        <v>0.1</v>
      </c>
      <c r="C5" s="6">
        <v>6000000</v>
      </c>
      <c r="D5" s="6">
        <v>10</v>
      </c>
      <c r="E5" s="6">
        <v>0</v>
      </c>
      <c r="F5" s="6">
        <v>0.15</v>
      </c>
      <c r="G5" s="11">
        <f>(C5*$V$4)/($V$5*$V$3)</f>
        <v>88.16326530612244</v>
      </c>
      <c r="H5" s="11">
        <f>G5*COS(RADIANS(D5))</f>
        <v>86.823867204341596</v>
      </c>
      <c r="I5" s="11">
        <f>G5*SIN(RADIANS(D5))</f>
        <v>15.309390357574264</v>
      </c>
      <c r="J5" s="11">
        <v>0.16569999999999999</v>
      </c>
      <c r="K5" s="12">
        <v>0</v>
      </c>
      <c r="L5" s="11">
        <f>-(F5*G5*$V$3)/J5</f>
        <v>-79.809835823285255</v>
      </c>
      <c r="M5" s="11">
        <f>ABS(L5/$V$6)</f>
        <v>0.2326817370941261</v>
      </c>
      <c r="N5" s="11">
        <f>L5*SIN(RADIANS(K5))</f>
        <v>0</v>
      </c>
      <c r="O5" s="11">
        <f>L5*COS(RADIANS(K5))</f>
        <v>-79.809835823285255</v>
      </c>
      <c r="P5" s="1">
        <v>1.6925777096388332</v>
      </c>
      <c r="Q5" s="1">
        <v>0.38884454343260927</v>
      </c>
      <c r="R5" s="1">
        <f>P5/Q5</f>
        <v>4.3528390412714488</v>
      </c>
      <c r="U5" s="2" t="s">
        <v>16</v>
      </c>
      <c r="V5" s="4">
        <f>1.225</f>
        <v>1.2250000000000001</v>
      </c>
      <c r="W5" s="3" t="s">
        <v>17</v>
      </c>
    </row>
    <row r="6" spans="1:23" x14ac:dyDescent="0.35">
      <c r="A6" s="14">
        <v>2309</v>
      </c>
      <c r="B6" s="6">
        <v>0.25</v>
      </c>
      <c r="C6" s="6">
        <v>2000000</v>
      </c>
      <c r="D6" s="6">
        <v>10</v>
      </c>
      <c r="E6" s="6">
        <v>0.25</v>
      </c>
      <c r="F6" s="6">
        <v>7.4999999999999997E-2</v>
      </c>
      <c r="G6" s="11">
        <f>(C6*$V$4)/($V$5*$V$3)</f>
        <v>29.387755102040813</v>
      </c>
      <c r="H6" s="11">
        <f>G6*COS(RADIANS(D6))</f>
        <v>28.941289068113864</v>
      </c>
      <c r="I6" s="11">
        <f>G6*SIN(RADIANS(D6))</f>
        <v>5.1031301191914213</v>
      </c>
      <c r="J6" s="12">
        <v>0.1913</v>
      </c>
      <c r="K6" s="11">
        <v>67</v>
      </c>
      <c r="L6" s="11">
        <f>-(F6*G6*$V$3)/J6</f>
        <v>-11.521597661542399</v>
      </c>
      <c r="M6" s="11">
        <f>ABS(L6/$V$6)</f>
        <v>3.3590663736275214E-2</v>
      </c>
      <c r="N6" s="11">
        <f>L6*SIN(RADIANS(K6))</f>
        <v>-10.605686566976066</v>
      </c>
      <c r="O6" s="11">
        <f>L6*COS(RADIANS(K6))</f>
        <v>-4.501846856293839</v>
      </c>
      <c r="P6" s="1">
        <v>2.249657553018046</v>
      </c>
      <c r="Q6" s="1">
        <v>0.39520843525707455</v>
      </c>
      <c r="R6" s="1">
        <f>P6/Q6</f>
        <v>5.6923318237240874</v>
      </c>
      <c r="U6" s="2" t="s">
        <v>21</v>
      </c>
      <c r="V6" s="4">
        <v>343</v>
      </c>
      <c r="W6" s="3" t="s">
        <v>22</v>
      </c>
    </row>
    <row r="7" spans="1:23" x14ac:dyDescent="0.35">
      <c r="A7" s="14">
        <v>2310</v>
      </c>
      <c r="B7" s="6">
        <v>0.5</v>
      </c>
      <c r="C7" s="6">
        <v>4000000</v>
      </c>
      <c r="D7" s="6">
        <v>15</v>
      </c>
      <c r="E7" s="6">
        <v>0</v>
      </c>
      <c r="F7" s="6">
        <v>1.4999999999999999E-2</v>
      </c>
      <c r="G7" s="11">
        <f>(C7*$V$4)/($V$5*$V$3)</f>
        <v>58.775510204081627</v>
      </c>
      <c r="H7" s="11">
        <f>G7*COS(RADIANS(D7))</f>
        <v>56.772783259439109</v>
      </c>
      <c r="I7" s="11">
        <f>G7*SIN(RADIANS(D7))</f>
        <v>15.212221426433871</v>
      </c>
      <c r="J7" s="12">
        <v>0.23230000000000001</v>
      </c>
      <c r="K7" s="11">
        <v>0</v>
      </c>
      <c r="L7" s="11">
        <f>-(F7*G7*$V$3)/J7</f>
        <v>-3.7952331169230495</v>
      </c>
      <c r="M7" s="11">
        <f>ABS(L7/$V$6)</f>
        <v>1.1064819582866033E-2</v>
      </c>
      <c r="N7" s="11">
        <f>L7*SIN(RADIANS(K7))</f>
        <v>0</v>
      </c>
      <c r="O7" s="11">
        <f>L7*COS(RADIANS(K7))</f>
        <v>-3.7952331169230495</v>
      </c>
      <c r="P7" s="1">
        <v>2.8138704356691573</v>
      </c>
      <c r="Q7" s="1">
        <v>0.84324399922790083</v>
      </c>
      <c r="R7" s="1">
        <f>P7/Q7</f>
        <v>3.3369587429565111</v>
      </c>
      <c r="U7" s="2" t="s">
        <v>23</v>
      </c>
      <c r="V7" s="4" t="s">
        <v>24</v>
      </c>
      <c r="W7" s="3"/>
    </row>
    <row r="8" spans="1:23" x14ac:dyDescent="0.35">
      <c r="A8" s="14">
        <v>2311</v>
      </c>
      <c r="B8" s="6">
        <v>1</v>
      </c>
      <c r="C8" s="6">
        <v>6000000</v>
      </c>
      <c r="D8" s="6">
        <v>20</v>
      </c>
      <c r="E8" s="6">
        <v>0</v>
      </c>
      <c r="F8" s="6">
        <v>1.4999999999999999E-2</v>
      </c>
      <c r="G8" s="11">
        <f>(C8*$V$4)/($V$5*$V$3)</f>
        <v>88.16326530612244</v>
      </c>
      <c r="H8" s="11">
        <f>G8*COS(RADIANS(D8))</f>
        <v>82.846369832553549</v>
      </c>
      <c r="I8" s="11">
        <f>G8*SIN(RADIANS(D8))</f>
        <v>30.153612636058952</v>
      </c>
      <c r="J8" s="11">
        <v>0.33379999999999999</v>
      </c>
      <c r="K8" s="12">
        <v>0</v>
      </c>
      <c r="L8" s="11">
        <f>-(F8*G8*$V$3)/J8</f>
        <v>-3.9618004181900441</v>
      </c>
      <c r="M8" s="11">
        <f>ABS(L8/$V$6)</f>
        <v>1.1550438536997214E-2</v>
      </c>
      <c r="N8" s="11">
        <f>L8*SIN(RADIANS(K8))</f>
        <v>0</v>
      </c>
      <c r="O8" s="11">
        <f>L8*COS(RADIANS(K8))</f>
        <v>-3.9618004181900441</v>
      </c>
      <c r="P8" s="1">
        <v>0.39774634767325323</v>
      </c>
      <c r="Q8" s="1">
        <v>2.16235889381533</v>
      </c>
      <c r="R8" s="1">
        <f>P8/Q8</f>
        <v>0.18394094930812241</v>
      </c>
      <c r="U8" s="2" t="s">
        <v>25</v>
      </c>
      <c r="V8" s="4">
        <f>0.07*V3</f>
        <v>7.0000000000000007E-2</v>
      </c>
      <c r="W8" s="3" t="s">
        <v>13</v>
      </c>
    </row>
    <row r="9" spans="1:23" x14ac:dyDescent="0.35">
      <c r="A9" s="14">
        <v>2312</v>
      </c>
      <c r="B9" s="6">
        <v>0.75</v>
      </c>
      <c r="C9" s="6">
        <v>2000000</v>
      </c>
      <c r="D9" s="6">
        <v>5</v>
      </c>
      <c r="E9" s="6">
        <v>0.375</v>
      </c>
      <c r="F9" s="6">
        <v>0.05</v>
      </c>
      <c r="G9" s="11">
        <f>(C9*$V$4)/($V$5*$V$3)</f>
        <v>29.387755102040813</v>
      </c>
      <c r="H9" s="11">
        <f>G9*COS(RADIANS(D9))</f>
        <v>29.275925821471702</v>
      </c>
      <c r="I9" s="11">
        <f>G9*SIN(RADIANS(D9))</f>
        <v>2.5613116236046478</v>
      </c>
      <c r="J9" s="11">
        <v>0.29299999999999998</v>
      </c>
      <c r="K9" s="12">
        <v>57</v>
      </c>
      <c r="L9" s="11">
        <f>-(F9*G9*$V$3)/J9</f>
        <v>-5.0149752733858044</v>
      </c>
      <c r="M9" s="11">
        <f>ABS(L9/$V$6)</f>
        <v>1.46209191643901E-2</v>
      </c>
      <c r="N9" s="11">
        <f>L9*SIN(RADIANS(K9))</f>
        <v>-4.2059121607627308</v>
      </c>
      <c r="O9" s="11">
        <f>L9*COS(RADIANS(K9))</f>
        <v>-2.7313512935210662</v>
      </c>
      <c r="P9" s="1">
        <v>4.8771016336410078</v>
      </c>
      <c r="Q9" s="1">
        <v>-0.33933545463092962</v>
      </c>
      <c r="R9" s="1">
        <f>P9/Q9</f>
        <v>-14.372508286661278</v>
      </c>
      <c r="U9" s="2" t="s">
        <v>26</v>
      </c>
      <c r="V9" s="4">
        <v>0.02</v>
      </c>
      <c r="W9" s="3"/>
    </row>
    <row r="10" spans="1:23" x14ac:dyDescent="0.35">
      <c r="A10" s="14">
        <v>2313</v>
      </c>
      <c r="B10" s="6">
        <v>1</v>
      </c>
      <c r="C10" s="6">
        <v>2000000</v>
      </c>
      <c r="D10" s="6">
        <v>15</v>
      </c>
      <c r="E10" s="6">
        <v>0.375</v>
      </c>
      <c r="F10" s="6">
        <v>7.4999999999999997E-2</v>
      </c>
      <c r="G10" s="11">
        <f>(C10*$V$4)/($V$5*$V$3)</f>
        <v>29.387755102040813</v>
      </c>
      <c r="H10" s="11">
        <f>G10*COS(RADIANS(D10))</f>
        <v>28.386391629719554</v>
      </c>
      <c r="I10" s="11">
        <f>G10*SIN(RADIANS(D10))</f>
        <v>7.6061107132169354</v>
      </c>
      <c r="J10" s="12">
        <v>0.33379999999999999</v>
      </c>
      <c r="K10" s="11">
        <v>49</v>
      </c>
      <c r="L10" s="11">
        <f>-(F10*G10*$V$3)/J10</f>
        <v>-6.6030006969834067</v>
      </c>
      <c r="M10" s="11">
        <f>ABS(L10/$V$6)</f>
        <v>1.9250730894995356E-2</v>
      </c>
      <c r="N10" s="11">
        <f>L10*SIN(RADIANS(K10))</f>
        <v>-4.9833478842310184</v>
      </c>
      <c r="O10" s="11">
        <f>L10*COS(RADIANS(K10))</f>
        <v>-4.3319582256865763</v>
      </c>
      <c r="P10" s="1">
        <v>5.9721773624394974</v>
      </c>
      <c r="Q10" s="1">
        <v>0.31707129247444754</v>
      </c>
      <c r="R10" s="1">
        <f>P10/Q10</f>
        <v>18.835440180762468</v>
      </c>
    </row>
    <row r="11" spans="1:23" x14ac:dyDescent="0.35">
      <c r="A11" s="14">
        <v>2314</v>
      </c>
      <c r="B11" s="6">
        <v>0.25</v>
      </c>
      <c r="C11" s="6">
        <v>6000000</v>
      </c>
      <c r="D11" s="6">
        <v>10</v>
      </c>
      <c r="E11" s="6">
        <v>0</v>
      </c>
      <c r="F11" s="6">
        <v>1.4999999999999999E-2</v>
      </c>
      <c r="G11" s="11">
        <f>(C11*$V$4)/($V$5*$V$3)</f>
        <v>88.16326530612244</v>
      </c>
      <c r="H11" s="11">
        <f>G11*COS(RADIANS(D11))</f>
        <v>86.823867204341596</v>
      </c>
      <c r="I11" s="11">
        <f>G11*SIN(RADIANS(D11))</f>
        <v>15.309390357574264</v>
      </c>
      <c r="J11" s="12">
        <v>0.18990000000000001</v>
      </c>
      <c r="K11" s="11">
        <v>0</v>
      </c>
      <c r="L11" s="11">
        <f>-(F11*G11*$V$3)/J11</f>
        <v>-6.9639230099622775</v>
      </c>
      <c r="M11" s="11">
        <f>ABS(L11/$V$6)</f>
        <v>2.030298253633317E-2</v>
      </c>
      <c r="N11" s="11">
        <f>L11*SIN(RADIANS(K11))</f>
        <v>0</v>
      </c>
      <c r="O11" s="11">
        <f>L11*COS(RADIANS(K11))</f>
        <v>-6.9639230099622775</v>
      </c>
      <c r="P11" s="1">
        <v>2.0502940865673138</v>
      </c>
      <c r="Q11" s="1">
        <v>0.45105059725940128</v>
      </c>
      <c r="R11" s="1">
        <f>P11/Q11</f>
        <v>4.5455966559516163</v>
      </c>
    </row>
    <row r="12" spans="1:23" x14ac:dyDescent="0.35">
      <c r="A12" s="14">
        <v>2315</v>
      </c>
      <c r="B12" s="6">
        <v>0.1</v>
      </c>
      <c r="C12" s="6">
        <v>4000000</v>
      </c>
      <c r="D12" s="6">
        <v>0</v>
      </c>
      <c r="E12" s="6">
        <v>0.25</v>
      </c>
      <c r="F12" s="6">
        <v>0</v>
      </c>
      <c r="G12" s="11">
        <f>(C12*$V$4)/($V$5*$V$3)</f>
        <v>58.775510204081627</v>
      </c>
      <c r="H12" s="11">
        <f>G12*COS(RADIANS(D12))</f>
        <v>58.775510204081627</v>
      </c>
      <c r="I12" s="11">
        <f>G12*SIN(RADIANS(D12))</f>
        <v>0</v>
      </c>
      <c r="J12" s="11">
        <v>0.1661</v>
      </c>
      <c r="K12" s="12">
        <v>80</v>
      </c>
      <c r="L12" s="11">
        <f>-(F12*G12*$V$3)/J12</f>
        <v>0</v>
      </c>
      <c r="M12" s="11">
        <f>ABS(L12/$V$6)</f>
        <v>0</v>
      </c>
      <c r="N12" s="11">
        <f>L12*SIN(RADIANS(K12))</f>
        <v>0</v>
      </c>
      <c r="O12" s="11">
        <f>L12*COS(RADIANS(K12))</f>
        <v>0</v>
      </c>
      <c r="P12" s="1">
        <v>1.4267520986215514</v>
      </c>
      <c r="Q12" s="1">
        <v>0.23594606574387975</v>
      </c>
      <c r="R12" s="1">
        <f>P12/Q12</f>
        <v>6.0469416776387179</v>
      </c>
    </row>
    <row r="13" spans="1:23" x14ac:dyDescent="0.35">
      <c r="A13" s="14">
        <v>2316</v>
      </c>
      <c r="B13" s="6">
        <v>0.75</v>
      </c>
      <c r="C13" s="6">
        <v>6000000</v>
      </c>
      <c r="D13" s="6">
        <v>10</v>
      </c>
      <c r="E13" s="6">
        <v>0</v>
      </c>
      <c r="F13" s="6">
        <v>0.05</v>
      </c>
      <c r="G13" s="11">
        <f>(C13*$V$4)/($V$5*$V$3)</f>
        <v>88.16326530612244</v>
      </c>
      <c r="H13" s="11">
        <f>G13*COS(RADIANS(D13))</f>
        <v>86.823867204341596</v>
      </c>
      <c r="I13" s="11">
        <f>G13*SIN(RADIANS(D13))</f>
        <v>15.309390357574264</v>
      </c>
      <c r="J13" s="11">
        <v>0.27929999999999999</v>
      </c>
      <c r="K13" s="11">
        <v>0</v>
      </c>
      <c r="L13" s="11">
        <f>-(F13*G13*$V$3)/J13</f>
        <v>-15.782897476928472</v>
      </c>
      <c r="M13" s="11">
        <f>ABS(L13/$V$6)</f>
        <v>4.6014278358392044E-2</v>
      </c>
      <c r="N13" s="11">
        <f>L13*SIN(RADIANS(K13))</f>
        <v>0</v>
      </c>
      <c r="O13" s="11">
        <f>L13*COS(RADIANS(K13))</f>
        <v>-15.782897476928472</v>
      </c>
      <c r="P13" s="1">
        <v>3.9856734760217329</v>
      </c>
      <c r="Q13" s="1">
        <v>0.88599742287543726</v>
      </c>
      <c r="R13" s="1">
        <f>P13/Q13</f>
        <v>4.4985158795231399</v>
      </c>
    </row>
    <row r="14" spans="1:23" x14ac:dyDescent="0.35">
      <c r="A14" s="14">
        <v>2317</v>
      </c>
      <c r="B14" s="6">
        <v>0.1</v>
      </c>
      <c r="C14" s="6">
        <v>4000000</v>
      </c>
      <c r="D14" s="6">
        <v>5</v>
      </c>
      <c r="E14" s="6">
        <v>0.125</v>
      </c>
      <c r="F14" s="6">
        <v>0.05</v>
      </c>
      <c r="G14" s="11">
        <f>(C14*$V$4)/($V$5*$V$3)</f>
        <v>58.775510204081627</v>
      </c>
      <c r="H14" s="11">
        <f>G14*COS(RADIANS(D14))</f>
        <v>58.551851642943404</v>
      </c>
      <c r="I14" s="11">
        <f>G14*SIN(RADIANS(D14))</f>
        <v>5.1226232472092956</v>
      </c>
      <c r="J14" s="12">
        <v>0.1658</v>
      </c>
      <c r="K14" s="11">
        <v>69</v>
      </c>
      <c r="L14" s="11">
        <f>-(F14*G14*$V$3)/J14</f>
        <v>-17.724822136333422</v>
      </c>
      <c r="M14" s="11">
        <f>ABS(L14/$V$6)</f>
        <v>5.1675866286686363E-2</v>
      </c>
      <c r="N14" s="11">
        <f>L14*SIN(RADIANS(K14))</f>
        <v>-16.547547009625198</v>
      </c>
      <c r="O14" s="11">
        <f>L14*COS(RADIANS(K14))</f>
        <v>-6.3520081650529594</v>
      </c>
      <c r="P14" s="1">
        <v>1.4229635318330556</v>
      </c>
      <c r="Q14" s="1">
        <v>0.33477494046239609</v>
      </c>
      <c r="R14" s="1">
        <f>P14/Q14</f>
        <v>4.2505079079922687</v>
      </c>
    </row>
    <row r="15" spans="1:23" x14ac:dyDescent="0.35">
      <c r="A15" s="14">
        <v>2318</v>
      </c>
      <c r="B15" s="6">
        <v>0.75</v>
      </c>
      <c r="C15" s="6">
        <v>6000000</v>
      </c>
      <c r="D15" s="6">
        <v>15</v>
      </c>
      <c r="E15" s="6">
        <v>0</v>
      </c>
      <c r="F15" s="6">
        <v>3.5000000000000003E-2</v>
      </c>
      <c r="G15" s="11">
        <f>(C15*$V$4)/($V$5*$V$3)</f>
        <v>88.16326530612244</v>
      </c>
      <c r="H15" s="11">
        <f>G15*COS(RADIANS(D15))</f>
        <v>85.159174889158663</v>
      </c>
      <c r="I15" s="11">
        <f>G15*SIN(RADIANS(D15))</f>
        <v>22.818332139650806</v>
      </c>
      <c r="J15" s="11">
        <v>0.27929999999999999</v>
      </c>
      <c r="K15" s="11">
        <v>0</v>
      </c>
      <c r="L15" s="11">
        <f>-(F15*G15*$V$3)/J15</f>
        <v>-11.048028233849932</v>
      </c>
      <c r="M15" s="11">
        <f>ABS(L15/$V$6)</f>
        <v>3.2209994850874439E-2</v>
      </c>
      <c r="N15" s="11">
        <f>L15*SIN(RADIANS(K15))</f>
        <v>0</v>
      </c>
      <c r="O15" s="11">
        <f>L15*COS(RADIANS(K15))</f>
        <v>-11.048028233849932</v>
      </c>
      <c r="P15" s="1">
        <v>4.3493907546201713</v>
      </c>
      <c r="Q15" s="1">
        <v>1.0676030955651341</v>
      </c>
      <c r="R15" s="1">
        <f>P15/Q15</f>
        <v>4.0739772792788953</v>
      </c>
    </row>
    <row r="16" spans="1:23" x14ac:dyDescent="0.35">
      <c r="A16" s="14">
        <v>2319</v>
      </c>
      <c r="B16" s="6">
        <v>0.75</v>
      </c>
      <c r="C16" s="6">
        <v>6000000</v>
      </c>
      <c r="D16" s="6">
        <v>0</v>
      </c>
      <c r="E16" s="6">
        <v>0.375</v>
      </c>
      <c r="F16" s="6">
        <v>0.1</v>
      </c>
      <c r="G16" s="11">
        <f>(C16*$V$4)/($V$5*$V$3)</f>
        <v>88.16326530612244</v>
      </c>
      <c r="H16" s="11">
        <f>G16*COS(RADIANS(D16))</f>
        <v>88.16326530612244</v>
      </c>
      <c r="I16" s="11">
        <f>G16*SIN(RADIANS(D16))</f>
        <v>0</v>
      </c>
      <c r="J16" s="11">
        <v>0.29299999999999998</v>
      </c>
      <c r="K16" s="12">
        <v>57</v>
      </c>
      <c r="L16" s="11">
        <f>-(F16*G16*$V$3)/J16</f>
        <v>-30.089851640314826</v>
      </c>
      <c r="M16" s="11">
        <f>ABS(L16/$V$6)</f>
        <v>8.7725514986340597E-2</v>
      </c>
      <c r="N16" s="11">
        <f>L16*SIN(RADIANS(K16))</f>
        <v>-25.235472964576385</v>
      </c>
      <c r="O16" s="11">
        <f>L16*COS(RADIANS(K16))</f>
        <v>-16.388107761126395</v>
      </c>
      <c r="P16" s="1">
        <v>5.0750371651299888</v>
      </c>
      <c r="Q16" s="1">
        <v>-0.67946232762555248</v>
      </c>
      <c r="R16" s="1">
        <f>P16/Q16</f>
        <v>-7.4691958020177545</v>
      </c>
    </row>
    <row r="17" spans="1:18" x14ac:dyDescent="0.35">
      <c r="A17" s="14">
        <v>2320</v>
      </c>
      <c r="B17" s="6">
        <v>0.5</v>
      </c>
      <c r="C17" s="6">
        <v>4000000</v>
      </c>
      <c r="D17" s="6">
        <v>20</v>
      </c>
      <c r="E17" s="6">
        <v>0</v>
      </c>
      <c r="F17" s="6">
        <v>0.05</v>
      </c>
      <c r="G17" s="11">
        <f>(C17*$V$4)/($V$5*$V$3)</f>
        <v>58.775510204081627</v>
      </c>
      <c r="H17" s="11">
        <f>G17*COS(RADIANS(D17))</f>
        <v>55.230913221702366</v>
      </c>
      <c r="I17" s="11">
        <f>G17*SIN(RADIANS(D17))</f>
        <v>20.102408424039304</v>
      </c>
      <c r="J17" s="12">
        <v>0.23230000000000001</v>
      </c>
      <c r="K17" s="11">
        <v>0</v>
      </c>
      <c r="L17" s="11">
        <f>-(F17*G17*$V$3)/J17</f>
        <v>-12.650777056410165</v>
      </c>
      <c r="M17" s="11">
        <f>ABS(L17/$V$6)</f>
        <v>3.6882731942886778E-2</v>
      </c>
      <c r="N17" s="11">
        <f>L17*SIN(RADIANS(K17))</f>
        <v>0</v>
      </c>
      <c r="O17" s="11">
        <f>L17*COS(RADIANS(K17))</f>
        <v>-12.650777056410165</v>
      </c>
      <c r="P17" s="1">
        <v>3.9521143895796098</v>
      </c>
      <c r="Q17" s="1">
        <v>1.0140128469306622</v>
      </c>
      <c r="R17" s="1">
        <f>P17/Q17</f>
        <v>3.8974993280828265</v>
      </c>
    </row>
    <row r="18" spans="1:18" x14ac:dyDescent="0.35">
      <c r="A18" s="14">
        <v>2321</v>
      </c>
      <c r="B18" s="6">
        <v>0.25</v>
      </c>
      <c r="C18" s="6">
        <v>2000000</v>
      </c>
      <c r="D18" s="6">
        <v>15</v>
      </c>
      <c r="E18" s="6">
        <v>0.125</v>
      </c>
      <c r="F18" s="6">
        <v>0</v>
      </c>
      <c r="G18" s="11">
        <f>(C18*$V$4)/($V$5*$V$3)</f>
        <v>29.387755102040813</v>
      </c>
      <c r="H18" s="11">
        <f>G18*COS(RADIANS(D18))</f>
        <v>28.386391629719554</v>
      </c>
      <c r="I18" s="11">
        <f>G18*SIN(RADIANS(D18))</f>
        <v>7.6061107132169354</v>
      </c>
      <c r="J18" s="11">
        <v>0.19020000000000001</v>
      </c>
      <c r="K18" s="11">
        <v>46</v>
      </c>
      <c r="L18" s="11">
        <f>-(F18*G18*$V$3)/J18</f>
        <v>0</v>
      </c>
      <c r="M18" s="11">
        <f>ABS(L18/$V$6)</f>
        <v>0</v>
      </c>
      <c r="N18" s="11">
        <f>L18*SIN(RADIANS(K18))</f>
        <v>0</v>
      </c>
      <c r="O18" s="11">
        <f>L18*COS(RADIANS(K18))</f>
        <v>0</v>
      </c>
      <c r="P18" s="1">
        <v>2.3733870144708704</v>
      </c>
      <c r="Q18" s="1">
        <v>0.69433091386458912</v>
      </c>
      <c r="R18" s="1">
        <f>P18/Q18</f>
        <v>3.4182361278727922</v>
      </c>
    </row>
    <row r="19" spans="1:18" x14ac:dyDescent="0.35">
      <c r="A19" s="14">
        <v>2322</v>
      </c>
      <c r="B19" s="6">
        <v>1</v>
      </c>
      <c r="C19" s="6">
        <v>4000000</v>
      </c>
      <c r="D19" s="6">
        <v>10</v>
      </c>
      <c r="E19" s="6">
        <v>0.125</v>
      </c>
      <c r="F19" s="6">
        <v>7.4999999999999997E-2</v>
      </c>
      <c r="G19" s="11">
        <f>(C19*$V$4)/($V$5*$V$3)</f>
        <v>58.775510204081627</v>
      </c>
      <c r="H19" s="11">
        <f>G19*COS(RADIANS(D19))</f>
        <v>57.882578136227728</v>
      </c>
      <c r="I19" s="11">
        <f>G19*SIN(RADIANS(D19))</f>
        <v>10.206260238382843</v>
      </c>
      <c r="J19" s="11">
        <v>0.33379999999999999</v>
      </c>
      <c r="K19" s="12">
        <v>14</v>
      </c>
      <c r="L19" s="11">
        <f>-(F19*G19*$V$3)/J19</f>
        <v>-13.206001393966813</v>
      </c>
      <c r="M19" s="11">
        <f>ABS(L19/$V$6)</f>
        <v>3.8501461789990712E-2</v>
      </c>
      <c r="N19" s="11">
        <f>L19*SIN(RADIANS(K19))</f>
        <v>-3.1948208905203059</v>
      </c>
      <c r="O19" s="11">
        <f>L19*COS(RADIANS(K19))</f>
        <v>-12.81372671376085</v>
      </c>
      <c r="P19" s="1">
        <v>3.0583536810412895</v>
      </c>
      <c r="Q19" s="1">
        <v>0.91121706027260019</v>
      </c>
      <c r="R19" s="1">
        <f>P19/Q19</f>
        <v>3.3563393557692507</v>
      </c>
    </row>
    <row r="20" spans="1:18" x14ac:dyDescent="0.35">
      <c r="A20" s="14">
        <v>2480</v>
      </c>
      <c r="B20" s="6">
        <v>0.1</v>
      </c>
      <c r="C20" s="6">
        <v>6000000</v>
      </c>
      <c r="D20" s="6">
        <v>5</v>
      </c>
      <c r="E20" s="6">
        <v>0</v>
      </c>
      <c r="F20" s="6">
        <v>0.15</v>
      </c>
      <c r="G20" s="11">
        <f>(C20*$V$4)/($V$5*$V$3)</f>
        <v>88.16326530612244</v>
      </c>
      <c r="H20" s="11">
        <f>G20*COS(RADIANS(D20))</f>
        <v>87.827777464415107</v>
      </c>
      <c r="I20" s="11">
        <f>G20*SIN(RADIANS(D20))</f>
        <v>7.6839348708139434</v>
      </c>
      <c r="J20" s="11">
        <v>0.16569999999999999</v>
      </c>
      <c r="K20" s="12">
        <v>0</v>
      </c>
      <c r="L20" s="11">
        <f>-(F20*G20*$V$3)/J20</f>
        <v>-79.809835823285255</v>
      </c>
      <c r="M20" s="11">
        <f>ABS(L20/$V$6)</f>
        <v>0.2326817370941261</v>
      </c>
      <c r="N20" s="11">
        <f>L20*SIN(RADIANS(K20))</f>
        <v>0</v>
      </c>
      <c r="O20" s="11">
        <f>L20*COS(RADIANS(K20))</f>
        <v>-79.809835823285255</v>
      </c>
      <c r="P20" s="1">
        <v>1.5729758189690268</v>
      </c>
      <c r="Q20" s="1">
        <v>0.25857887135439767</v>
      </c>
      <c r="R20" s="1">
        <f>P20/Q20</f>
        <v>6.083156797498626</v>
      </c>
    </row>
    <row r="21" spans="1:18" x14ac:dyDescent="0.35">
      <c r="A21" s="14">
        <v>2324</v>
      </c>
      <c r="B21" s="6">
        <v>1</v>
      </c>
      <c r="C21" s="6">
        <v>6000000</v>
      </c>
      <c r="D21" s="6">
        <v>15</v>
      </c>
      <c r="E21" s="6">
        <v>0.25</v>
      </c>
      <c r="F21" s="6">
        <v>0</v>
      </c>
      <c r="G21" s="11">
        <f>(C21*$V$4)/($V$5*$V$3)</f>
        <v>88.16326530612244</v>
      </c>
      <c r="H21" s="11">
        <f>G21*COS(RADIANS(D21))</f>
        <v>85.159174889158663</v>
      </c>
      <c r="I21" s="11">
        <f>G21*SIN(RADIANS(D21))</f>
        <v>22.818332139650806</v>
      </c>
      <c r="J21" s="13">
        <v>0.33379999999999999</v>
      </c>
      <c r="K21" s="12">
        <v>30</v>
      </c>
      <c r="L21" s="11">
        <f>-(F21*G21*$V$3)/J21</f>
        <v>0</v>
      </c>
      <c r="M21" s="11">
        <f>ABS(L21/$V$6)</f>
        <v>0</v>
      </c>
      <c r="N21" s="11">
        <f>L21*SIN(RADIANS(K21))</f>
        <v>0</v>
      </c>
      <c r="O21" s="11">
        <f>L21*COS(RADIANS(K21))</f>
        <v>0</v>
      </c>
      <c r="P21" s="1">
        <v>6.4018150011729631</v>
      </c>
      <c r="Q21" s="1">
        <v>2.0161651573036363</v>
      </c>
      <c r="R21" s="1">
        <f>P21/Q21</f>
        <v>3.1752433464997352</v>
      </c>
    </row>
    <row r="22" spans="1:18" x14ac:dyDescent="0.35">
      <c r="A22" s="14">
        <v>2325</v>
      </c>
      <c r="B22" s="6">
        <v>0.1</v>
      </c>
      <c r="C22" s="6">
        <v>2000000</v>
      </c>
      <c r="D22" s="6">
        <v>0</v>
      </c>
      <c r="E22" s="6">
        <v>0.125</v>
      </c>
      <c r="F22" s="6">
        <v>7.4999999999999997E-2</v>
      </c>
      <c r="G22" s="11">
        <f>(C22*$V$4)/($V$5*$V$3)</f>
        <v>29.387755102040813</v>
      </c>
      <c r="H22" s="11">
        <f>G22*COS(RADIANS(D22))</f>
        <v>29.387755102040813</v>
      </c>
      <c r="I22" s="11">
        <f>G22*SIN(RADIANS(D22))</f>
        <v>0</v>
      </c>
      <c r="J22" s="12">
        <v>0.1658</v>
      </c>
      <c r="K22" s="11">
        <v>69</v>
      </c>
      <c r="L22" s="11">
        <f>-(F22*G22*$V$3)/J22</f>
        <v>-13.293616602250067</v>
      </c>
      <c r="M22" s="11">
        <f>ABS(L22/$V$6)</f>
        <v>3.8756899715014774E-2</v>
      </c>
      <c r="N22" s="11">
        <f>L22*SIN(RADIANS(K22))</f>
        <v>-12.410660257218899</v>
      </c>
      <c r="O22" s="11">
        <f>L22*COS(RADIANS(K22))</f>
        <v>-4.7640061237897191</v>
      </c>
      <c r="P22" s="1">
        <v>1.3559202907695425</v>
      </c>
      <c r="Q22" s="1">
        <v>0.23112954326081364</v>
      </c>
      <c r="R22" s="1">
        <f>P22/Q22</f>
        <v>5.8664949172658583</v>
      </c>
    </row>
    <row r="23" spans="1:18" x14ac:dyDescent="0.35">
      <c r="A23" s="14">
        <v>2326</v>
      </c>
      <c r="B23" s="6">
        <v>0.75</v>
      </c>
      <c r="C23" s="6">
        <v>6000000</v>
      </c>
      <c r="D23" s="6">
        <v>20</v>
      </c>
      <c r="E23" s="6">
        <v>0</v>
      </c>
      <c r="F23" s="6">
        <v>0</v>
      </c>
      <c r="G23" s="11">
        <f>(C23*$V$4)/($V$5*$V$3)</f>
        <v>88.16326530612244</v>
      </c>
      <c r="H23" s="11">
        <f>G23*COS(RADIANS(D23))</f>
        <v>82.846369832553549</v>
      </c>
      <c r="I23" s="11">
        <f>G23*SIN(RADIANS(D23))</f>
        <v>30.153612636058952</v>
      </c>
      <c r="J23" s="11">
        <v>0.27929999999999999</v>
      </c>
      <c r="K23" s="11">
        <v>0</v>
      </c>
      <c r="L23" s="11">
        <f>-(F23*G23*$V$3)/J23</f>
        <v>0</v>
      </c>
      <c r="M23" s="11">
        <f>ABS(L23/$V$6)</f>
        <v>0</v>
      </c>
      <c r="N23" s="11">
        <f>L23*SIN(RADIANS(K23))</f>
        <v>0</v>
      </c>
      <c r="O23" s="11">
        <f>L23*COS(RADIANS(K23))</f>
        <v>0</v>
      </c>
      <c r="P23" s="1">
        <v>3.6315980737121794</v>
      </c>
      <c r="Q23" s="1">
        <v>1.8653605163086591</v>
      </c>
      <c r="R23" s="1">
        <f>P23/Q23</f>
        <v>1.9468612324328103</v>
      </c>
    </row>
    <row r="24" spans="1:18" x14ac:dyDescent="0.35">
      <c r="A24" s="14">
        <v>2327</v>
      </c>
      <c r="B24" s="6">
        <v>0.75</v>
      </c>
      <c r="C24" s="6">
        <v>6000000</v>
      </c>
      <c r="D24" s="6">
        <v>10</v>
      </c>
      <c r="E24" s="6">
        <v>0</v>
      </c>
      <c r="F24" s="6">
        <v>7.4999999999999997E-2</v>
      </c>
      <c r="G24" s="11">
        <f>(C24*$V$4)/($V$5*$V$3)</f>
        <v>88.16326530612244</v>
      </c>
      <c r="H24" s="11">
        <f>G24*COS(RADIANS(D24))</f>
        <v>86.823867204341596</v>
      </c>
      <c r="I24" s="11">
        <f>G24*SIN(RADIANS(D24))</f>
        <v>15.309390357574264</v>
      </c>
      <c r="J24" s="11">
        <v>0.27929999999999999</v>
      </c>
      <c r="K24" s="11">
        <v>0</v>
      </c>
      <c r="L24" s="11">
        <f>-(F24*G24*$V$3)/J24</f>
        <v>-23.674346215392706</v>
      </c>
      <c r="M24" s="11">
        <f>ABS(L24/$V$6)</f>
        <v>6.9021417537588059E-2</v>
      </c>
      <c r="N24" s="11">
        <f>L24*SIN(RADIANS(K24))</f>
        <v>0</v>
      </c>
      <c r="O24" s="11">
        <f>L24*COS(RADIANS(K24))</f>
        <v>-23.674346215392706</v>
      </c>
      <c r="P24" s="1">
        <v>2.6626747647876847</v>
      </c>
      <c r="Q24" s="1">
        <v>0.99013584367026231</v>
      </c>
      <c r="R24" s="1">
        <f>P24/Q24</f>
        <v>2.6892014684748813</v>
      </c>
    </row>
    <row r="25" spans="1:18" x14ac:dyDescent="0.35">
      <c r="A25" s="14">
        <v>2328</v>
      </c>
      <c r="B25" s="6">
        <v>0.25</v>
      </c>
      <c r="C25" s="6">
        <v>2000000</v>
      </c>
      <c r="D25" s="6">
        <v>15</v>
      </c>
      <c r="E25" s="6">
        <v>0.25</v>
      </c>
      <c r="F25" s="6">
        <v>1.4999999999999999E-2</v>
      </c>
      <c r="G25" s="11">
        <f>(C25*$V$4)/($V$5*$V$3)</f>
        <v>29.387755102040813</v>
      </c>
      <c r="H25" s="11">
        <f>G25*COS(RADIANS(D25))</f>
        <v>28.386391629719554</v>
      </c>
      <c r="I25" s="11">
        <f>G25*SIN(RADIANS(D25))</f>
        <v>7.6061107132169354</v>
      </c>
      <c r="J25" s="12">
        <v>0.1913</v>
      </c>
      <c r="K25" s="11">
        <v>67</v>
      </c>
      <c r="L25" s="11">
        <f>-(F25*G25*$V$3)/J25</f>
        <v>-2.30431953230848</v>
      </c>
      <c r="M25" s="11">
        <f>ABS(L25/$V$6)</f>
        <v>6.7181327472550434E-3</v>
      </c>
      <c r="N25" s="11">
        <f>L25*SIN(RADIANS(K25))</f>
        <v>-2.1211373133952134</v>
      </c>
      <c r="O25" s="11">
        <f>L25*COS(RADIANS(K25))</f>
        <v>-0.90036937125876781</v>
      </c>
      <c r="P25" s="1">
        <v>2.2030975653337337</v>
      </c>
      <c r="Q25" s="1">
        <v>0.54272322444833421</v>
      </c>
      <c r="R25" s="1">
        <f>P25/Q25</f>
        <v>4.0593390260258939</v>
      </c>
    </row>
    <row r="26" spans="1:18" x14ac:dyDescent="0.35">
      <c r="A26" s="14">
        <v>2329</v>
      </c>
      <c r="B26" s="6">
        <v>0.75</v>
      </c>
      <c r="C26" s="6">
        <v>4000000</v>
      </c>
      <c r="D26" s="6">
        <v>5</v>
      </c>
      <c r="E26" s="6">
        <v>0.125</v>
      </c>
      <c r="F26" s="6">
        <v>0.05</v>
      </c>
      <c r="G26" s="11">
        <f>(C26*$V$4)/($V$5*$V$3)</f>
        <v>58.775510204081627</v>
      </c>
      <c r="H26" s="11">
        <f>G26*COS(RADIANS(D26))</f>
        <v>58.551851642943404</v>
      </c>
      <c r="I26" s="11">
        <f>G26*SIN(RADIANS(D26))</f>
        <v>5.1226232472092956</v>
      </c>
      <c r="J26" s="12">
        <v>0.2802</v>
      </c>
      <c r="K26" s="11">
        <v>19</v>
      </c>
      <c r="L26" s="11">
        <f>-(F26*G26*$V$3)/J26</f>
        <v>-10.488135296945329</v>
      </c>
      <c r="M26" s="11">
        <f>ABS(L26/$V$6)</f>
        <v>3.0577653926954312E-2</v>
      </c>
      <c r="N26" s="11">
        <f>L26*SIN(RADIANS(K26))</f>
        <v>-3.414602852323454</v>
      </c>
      <c r="O26" s="11">
        <f>L26*COS(RADIANS(K26))</f>
        <v>-9.9167267466606646</v>
      </c>
      <c r="P26" s="1">
        <v>4.9217579165673788</v>
      </c>
      <c r="Q26" s="1">
        <v>0.21451560966837338</v>
      </c>
      <c r="R26" s="1">
        <f>P26/Q26</f>
        <v>22.943588693503859</v>
      </c>
    </row>
    <row r="27" spans="1:18" x14ac:dyDescent="0.35">
      <c r="A27" s="14">
        <v>2330</v>
      </c>
      <c r="B27" s="6">
        <v>0.1</v>
      </c>
      <c r="C27" s="6">
        <v>2000000</v>
      </c>
      <c r="D27" s="6">
        <v>30</v>
      </c>
      <c r="E27" s="6">
        <v>0</v>
      </c>
      <c r="F27" s="6">
        <v>2.5000000000000001E-2</v>
      </c>
      <c r="G27" s="11">
        <f>(C27*$V$4)/($V$5*$V$3)</f>
        <v>29.387755102040813</v>
      </c>
      <c r="H27" s="11">
        <f>G27*COS(RADIANS(D27))</f>
        <v>25.450542478563094</v>
      </c>
      <c r="I27" s="11">
        <f>G27*SIN(RADIANS(D27))</f>
        <v>14.693877551020405</v>
      </c>
      <c r="J27" s="11">
        <v>0.16569999999999999</v>
      </c>
      <c r="K27" s="12">
        <v>0</v>
      </c>
      <c r="L27" s="11">
        <f>-(F27*G27*$V$3)/J27</f>
        <v>-4.4338797679602919</v>
      </c>
      <c r="M27" s="11">
        <f>ABS(L27/$V$6)</f>
        <v>1.2926763171895894E-2</v>
      </c>
      <c r="N27" s="11">
        <f>L27*SIN(RADIANS(K27))</f>
        <v>0</v>
      </c>
      <c r="O27" s="11">
        <f>L27*COS(RADIANS(K27))</f>
        <v>-4.4338797679602919</v>
      </c>
      <c r="P27" s="1">
        <v>1.0161467993649314</v>
      </c>
      <c r="Q27" s="1">
        <v>0.81061882577329825</v>
      </c>
      <c r="R27" s="1">
        <f>P27/Q27</f>
        <v>1.2535445354301604</v>
      </c>
    </row>
    <row r="28" spans="1:18" x14ac:dyDescent="0.35">
      <c r="A28" s="14">
        <v>2331</v>
      </c>
      <c r="B28" s="6">
        <v>1</v>
      </c>
      <c r="C28" s="6">
        <v>4000000</v>
      </c>
      <c r="D28" s="6">
        <v>30</v>
      </c>
      <c r="E28" s="6">
        <v>0.375</v>
      </c>
      <c r="F28" s="6">
        <v>0.05</v>
      </c>
      <c r="G28" s="11">
        <f>(C28*$V$4)/($V$5*$V$3)</f>
        <v>58.775510204081627</v>
      </c>
      <c r="H28" s="11">
        <f>G28*COS(RADIANS(D28))</f>
        <v>50.901084957126187</v>
      </c>
      <c r="I28" s="11">
        <f>G28*SIN(RADIANS(D28))</f>
        <v>29.38775510204081</v>
      </c>
      <c r="J28" s="12">
        <v>0.33379999999999999</v>
      </c>
      <c r="K28" s="11">
        <v>49</v>
      </c>
      <c r="L28" s="11">
        <f>-(F28*G28*$V$3)/J28</f>
        <v>-8.8040009293112096</v>
      </c>
      <c r="M28" s="11">
        <f>ABS(L28/$V$6)</f>
        <v>2.566764119332714E-2</v>
      </c>
      <c r="N28" s="11">
        <f>L28*SIN(RADIANS(K28))</f>
        <v>-6.6444638456413578</v>
      </c>
      <c r="O28" s="11">
        <f>L28*COS(RADIANS(K28))</f>
        <v>-5.7759443009154356</v>
      </c>
      <c r="P28" s="1">
        <v>5.6058553431508171</v>
      </c>
      <c r="Q28" s="1">
        <v>1.5097639602940958</v>
      </c>
      <c r="R28" s="1">
        <f>P28/Q28</f>
        <v>3.7130674003231734</v>
      </c>
    </row>
    <row r="29" spans="1:18" x14ac:dyDescent="0.35">
      <c r="A29" s="14">
        <v>2332</v>
      </c>
      <c r="B29" s="6">
        <v>1</v>
      </c>
      <c r="C29" s="6">
        <v>2000000</v>
      </c>
      <c r="D29" s="6">
        <v>0</v>
      </c>
      <c r="E29" s="6">
        <v>0</v>
      </c>
      <c r="F29" s="6">
        <v>7.4999999999999997E-2</v>
      </c>
      <c r="G29" s="11">
        <f>(C29*$V$4)/($V$5*$V$3)</f>
        <v>29.387755102040813</v>
      </c>
      <c r="H29" s="11">
        <f>G29*COS(RADIANS(D29))</f>
        <v>29.387755102040813</v>
      </c>
      <c r="I29" s="11">
        <f>G29*SIN(RADIANS(D29))</f>
        <v>0</v>
      </c>
      <c r="J29" s="11">
        <v>0.33379999999999999</v>
      </c>
      <c r="K29" s="12">
        <v>0</v>
      </c>
      <c r="L29" s="11">
        <f>-(F29*G29*$V$3)/J29</f>
        <v>-6.6030006969834067</v>
      </c>
      <c r="M29" s="11">
        <f>ABS(L29/$V$6)</f>
        <v>1.9250730894995356E-2</v>
      </c>
      <c r="N29" s="11">
        <f>L29*SIN(RADIANS(K29))</f>
        <v>0</v>
      </c>
      <c r="O29" s="11">
        <f>L29*COS(RADIANS(K29))</f>
        <v>-6.6030006969834067</v>
      </c>
      <c r="P29" s="1">
        <v>6.2991400950104506</v>
      </c>
      <c r="Q29" s="1">
        <v>0.30619706449593637</v>
      </c>
      <c r="R29" s="1">
        <f>P29/Q29</f>
        <v>20.572176632000495</v>
      </c>
    </row>
    <row r="30" spans="1:18" x14ac:dyDescent="0.35">
      <c r="A30" s="14">
        <v>2333</v>
      </c>
      <c r="B30" s="6">
        <v>0.5</v>
      </c>
      <c r="C30" s="6">
        <v>2000000</v>
      </c>
      <c r="D30" s="6">
        <v>30</v>
      </c>
      <c r="E30" s="6">
        <v>0</v>
      </c>
      <c r="F30" s="6">
        <v>0.1</v>
      </c>
      <c r="G30" s="11">
        <f>(C30*$V$4)/($V$5*$V$3)</f>
        <v>29.387755102040813</v>
      </c>
      <c r="H30" s="11">
        <f>G30*COS(RADIANS(D30))</f>
        <v>25.450542478563094</v>
      </c>
      <c r="I30" s="11">
        <f>G30*SIN(RADIANS(D30))</f>
        <v>14.693877551020405</v>
      </c>
      <c r="J30" s="12">
        <v>0.23230000000000001</v>
      </c>
      <c r="K30" s="11">
        <v>0</v>
      </c>
      <c r="L30" s="11">
        <f>-(F30*G30*$V$3)/J30</f>
        <v>-12.650777056410165</v>
      </c>
      <c r="M30" s="11">
        <f>ABS(L30/$V$6)</f>
        <v>3.6882731942886778E-2</v>
      </c>
      <c r="N30" s="11">
        <f>L30*SIN(RADIANS(K30))</f>
        <v>0</v>
      </c>
      <c r="O30" s="11">
        <f>L30*COS(RADIANS(K30))</f>
        <v>-12.650777056410165</v>
      </c>
      <c r="P30" s="1">
        <v>4.4893415003645165</v>
      </c>
      <c r="Q30" s="1">
        <v>1.4344032674784624</v>
      </c>
      <c r="R30" s="1">
        <f>P30/Q30</f>
        <v>3.1297624609126347</v>
      </c>
    </row>
    <row r="31" spans="1:18" x14ac:dyDescent="0.35">
      <c r="A31" s="14">
        <v>2334</v>
      </c>
      <c r="B31" s="6">
        <v>0.25</v>
      </c>
      <c r="C31" s="6">
        <v>2000000</v>
      </c>
      <c r="D31" s="6">
        <v>0</v>
      </c>
      <c r="E31" s="6">
        <v>0.25</v>
      </c>
      <c r="F31" s="6">
        <v>0.15</v>
      </c>
      <c r="G31" s="11">
        <f>(C31*$V$4)/($V$5*$V$3)</f>
        <v>29.387755102040813</v>
      </c>
      <c r="H31" s="11">
        <f>G31*COS(RADIANS(D31))</f>
        <v>29.387755102040813</v>
      </c>
      <c r="I31" s="11">
        <f>G31*SIN(RADIANS(D31))</f>
        <v>0</v>
      </c>
      <c r="J31" s="12">
        <v>0.1913</v>
      </c>
      <c r="K31" s="11">
        <v>67</v>
      </c>
      <c r="L31" s="11">
        <f>-(F31*G31*$V$3)/J31</f>
        <v>-23.043195323084799</v>
      </c>
      <c r="M31" s="11">
        <f>ABS(L31/$V$6)</f>
        <v>6.7181327472550428E-2</v>
      </c>
      <c r="N31" s="11">
        <f>L31*SIN(RADIANS(K31))</f>
        <v>-21.211373133952133</v>
      </c>
      <c r="O31" s="11">
        <f>L31*COS(RADIANS(K31))</f>
        <v>-9.0036937125876779</v>
      </c>
      <c r="P31" s="1">
        <v>2.7511110589639691</v>
      </c>
      <c r="Q31" s="1">
        <v>-8.8864938831367032E-3</v>
      </c>
      <c r="R31" s="1">
        <f>P31/Q31</f>
        <v>-309.58340771320013</v>
      </c>
    </row>
    <row r="32" spans="1:18" x14ac:dyDescent="0.35">
      <c r="A32" s="14">
        <v>2335</v>
      </c>
      <c r="B32" s="6">
        <v>0.75</v>
      </c>
      <c r="C32" s="6">
        <v>6000000</v>
      </c>
      <c r="D32" s="6">
        <v>10</v>
      </c>
      <c r="E32" s="6">
        <v>0.25</v>
      </c>
      <c r="F32" s="6">
        <v>0</v>
      </c>
      <c r="G32" s="11">
        <f>(C32*$V$4)/($V$5*$V$3)</f>
        <v>88.16326530612244</v>
      </c>
      <c r="H32" s="11">
        <f>G32*COS(RADIANS(D32))</f>
        <v>86.823867204341596</v>
      </c>
      <c r="I32" s="11">
        <f>G32*SIN(RADIANS(D32))</f>
        <v>15.309390357574264</v>
      </c>
      <c r="J32" s="12">
        <v>0.28370000000000001</v>
      </c>
      <c r="K32" s="11">
        <v>38</v>
      </c>
      <c r="L32" s="11">
        <f>-(F32*G32*$V$3)/J32</f>
        <v>0</v>
      </c>
      <c r="M32" s="11">
        <f>ABS(L32/$V$6)</f>
        <v>0</v>
      </c>
      <c r="N32" s="11">
        <f>L32*SIN(RADIANS(K32))</f>
        <v>0</v>
      </c>
      <c r="O32" s="11">
        <f>L32*COS(RADIANS(K32))</f>
        <v>0</v>
      </c>
      <c r="P32" s="1">
        <v>5.9194214925948874</v>
      </c>
      <c r="Q32" s="1">
        <v>1.2890685706467682</v>
      </c>
      <c r="R32" s="1">
        <f>P32/Q32</f>
        <v>4.5920144415784794</v>
      </c>
    </row>
    <row r="33" spans="1:18" x14ac:dyDescent="0.35">
      <c r="A33" s="14">
        <v>2336</v>
      </c>
      <c r="B33" s="6">
        <v>0.5</v>
      </c>
      <c r="C33" s="6">
        <v>4000000</v>
      </c>
      <c r="D33" s="6">
        <v>5</v>
      </c>
      <c r="E33" s="6">
        <v>0.25</v>
      </c>
      <c r="F33" s="6">
        <v>1.4999999999999999E-2</v>
      </c>
      <c r="G33" s="11">
        <f>(C33*$V$4)/($V$5*$V$3)</f>
        <v>58.775510204081627</v>
      </c>
      <c r="H33" s="11">
        <f>G33*COS(RADIANS(D33))</f>
        <v>58.551851642943404</v>
      </c>
      <c r="I33" s="11">
        <f>G33*SIN(RADIANS(D33))</f>
        <v>5.1226232472092956</v>
      </c>
      <c r="J33" s="11">
        <v>0.23580000000000001</v>
      </c>
      <c r="K33" s="11">
        <v>49</v>
      </c>
      <c r="L33" s="11">
        <f>-(F33*G33*$V$3)/J33</f>
        <v>-3.7389001402087549</v>
      </c>
      <c r="M33" s="11">
        <f>ABS(L33/$V$6)</f>
        <v>1.0900583499150889E-2</v>
      </c>
      <c r="N33" s="11">
        <f>L33*SIN(RADIANS(K33))</f>
        <v>-2.821783755311813</v>
      </c>
      <c r="O33" s="11">
        <f>L33*COS(RADIANS(K33))</f>
        <v>-2.4529391954778275</v>
      </c>
      <c r="P33" s="1">
        <v>3.6079826961976207</v>
      </c>
      <c r="Q33" s="1">
        <v>0.2374771370655446</v>
      </c>
      <c r="R33" s="1">
        <f>P33/Q33</f>
        <v>15.192968640184523</v>
      </c>
    </row>
    <row r="34" spans="1:18" x14ac:dyDescent="0.35">
      <c r="A34" s="14">
        <v>2337</v>
      </c>
      <c r="B34" s="6">
        <v>0.25</v>
      </c>
      <c r="C34" s="6">
        <v>2000000</v>
      </c>
      <c r="D34" s="6">
        <v>30</v>
      </c>
      <c r="E34" s="6">
        <v>0.25</v>
      </c>
      <c r="F34" s="6">
        <v>0.05</v>
      </c>
      <c r="G34" s="11">
        <f>(C34*$V$4)/($V$5*$V$3)</f>
        <v>29.387755102040813</v>
      </c>
      <c r="H34" s="11">
        <f>G34*COS(RADIANS(D34))</f>
        <v>25.450542478563094</v>
      </c>
      <c r="I34" s="11">
        <f>G34*SIN(RADIANS(D34))</f>
        <v>14.693877551020405</v>
      </c>
      <c r="J34" s="12">
        <v>0.1913</v>
      </c>
      <c r="K34" s="11">
        <v>67</v>
      </c>
      <c r="L34" s="11">
        <f>-(F34*G34*$V$3)/J34</f>
        <v>-7.6810651076949332</v>
      </c>
      <c r="M34" s="11">
        <f>ABS(L34/$V$6)</f>
        <v>2.239377582418348E-2</v>
      </c>
      <c r="N34" s="11">
        <f>L34*SIN(RADIANS(K34))</f>
        <v>-7.0704577113173777</v>
      </c>
      <c r="O34" s="11">
        <f>L34*COS(RADIANS(K34))</f>
        <v>-3.0012312375292258</v>
      </c>
      <c r="P34" s="1">
        <v>2.2497516284928172</v>
      </c>
      <c r="Q34" s="1">
        <v>0.9064543033473762</v>
      </c>
      <c r="R34" s="1">
        <f>P34/Q34</f>
        <v>2.4819250349244086</v>
      </c>
    </row>
    <row r="35" spans="1:18" x14ac:dyDescent="0.35">
      <c r="A35" s="14">
        <v>2338</v>
      </c>
      <c r="B35" s="6">
        <v>1</v>
      </c>
      <c r="C35" s="6">
        <v>6000000</v>
      </c>
      <c r="D35" s="6">
        <v>5</v>
      </c>
      <c r="E35" s="6">
        <v>0.125</v>
      </c>
      <c r="F35" s="6">
        <v>7.4999999999999997E-2</v>
      </c>
      <c r="G35" s="11">
        <f>(C35*$V$4)/($V$5*$V$3)</f>
        <v>88.16326530612244</v>
      </c>
      <c r="H35" s="11">
        <f>G35*COS(RADIANS(D35))</f>
        <v>87.827777464415107</v>
      </c>
      <c r="I35" s="11">
        <f>G35*SIN(RADIANS(D35))</f>
        <v>7.6839348708139434</v>
      </c>
      <c r="J35" s="11">
        <v>0.33379999999999999</v>
      </c>
      <c r="K35" s="12">
        <v>14</v>
      </c>
      <c r="L35" s="11">
        <f>-(F35*G35*$V$3)/J35</f>
        <v>-19.809002090950219</v>
      </c>
      <c r="M35" s="11">
        <f>ABS(L35/$V$6)</f>
        <v>5.7752192684986062E-2</v>
      </c>
      <c r="N35" s="11">
        <f>L35*SIN(RADIANS(K35))</f>
        <v>-4.7922313357804587</v>
      </c>
      <c r="O35" s="11">
        <f>L35*COS(RADIANS(K35))</f>
        <v>-19.220590070641276</v>
      </c>
      <c r="P35" s="1">
        <v>3.0243165422964751</v>
      </c>
      <c r="Q35" s="1">
        <v>0.73958786410629884</v>
      </c>
      <c r="R35" s="1">
        <f>P35/Q35</f>
        <v>4.0891916823851489</v>
      </c>
    </row>
    <row r="36" spans="1:18" x14ac:dyDescent="0.35">
      <c r="A36" s="14">
        <v>2523</v>
      </c>
      <c r="B36" s="6">
        <v>0.1</v>
      </c>
      <c r="C36" s="6">
        <v>6000000</v>
      </c>
      <c r="D36" s="6">
        <v>20</v>
      </c>
      <c r="E36" s="6">
        <v>0.125</v>
      </c>
      <c r="F36" s="6">
        <v>0.15</v>
      </c>
      <c r="G36" s="11">
        <f>(C36*$V$4)/($V$5*$V$3)</f>
        <v>88.16326530612244</v>
      </c>
      <c r="H36" s="11">
        <f>G36*COS(RADIANS(D36))</f>
        <v>82.846369832553549</v>
      </c>
      <c r="I36" s="11">
        <f>G36*SIN(RADIANS(D36))</f>
        <v>30.153612636058952</v>
      </c>
      <c r="J36" s="19">
        <v>0.1658</v>
      </c>
      <c r="K36" s="20">
        <v>69</v>
      </c>
      <c r="L36" s="11">
        <f>-(F36*G36*$V$3)/J36</f>
        <v>-79.761699613500397</v>
      </c>
      <c r="M36" s="11">
        <f>ABS(L36/$V$6)</f>
        <v>0.23254139829008863</v>
      </c>
      <c r="N36" s="11">
        <f>L36*SIN(RADIANS(K36))</f>
        <v>-74.463961543313388</v>
      </c>
      <c r="O36" s="11">
        <f>L36*COS(RADIANS(K36))</f>
        <v>-28.584036742738316</v>
      </c>
      <c r="P36" s="1">
        <v>1.9740652768186453</v>
      </c>
      <c r="Q36" s="1">
        <v>0.81005772463143411</v>
      </c>
      <c r="R36" s="1">
        <f>P36/Q36</f>
        <v>2.4369439569467963</v>
      </c>
    </row>
    <row r="37" spans="1:18" x14ac:dyDescent="0.35">
      <c r="A37" s="14">
        <v>2340</v>
      </c>
      <c r="B37" s="6">
        <v>0.1</v>
      </c>
      <c r="C37" s="6">
        <v>2000000</v>
      </c>
      <c r="D37" s="6">
        <v>10</v>
      </c>
      <c r="E37" s="6">
        <v>0.375</v>
      </c>
      <c r="F37" s="6">
        <v>0</v>
      </c>
      <c r="G37" s="11">
        <f>(C37*$V$4)/($V$5*$V$3)</f>
        <v>29.387755102040813</v>
      </c>
      <c r="H37" s="11">
        <f>G37*COS(RADIANS(D37))</f>
        <v>28.941289068113864</v>
      </c>
      <c r="I37" s="11">
        <f>G37*SIN(RADIANS(D37))</f>
        <v>5.1031301191914213</v>
      </c>
      <c r="J37" s="12">
        <v>0.16789999999999999</v>
      </c>
      <c r="K37" s="11">
        <v>85</v>
      </c>
      <c r="L37" s="11">
        <f>-(F37*G37*$V$3)/J37</f>
        <v>0</v>
      </c>
      <c r="M37" s="11">
        <f>ABS(L37/$V$6)</f>
        <v>0</v>
      </c>
      <c r="N37" s="11">
        <f>L37*SIN(RADIANS(K37))</f>
        <v>0</v>
      </c>
      <c r="O37" s="11">
        <f>L37*COS(RADIANS(K37))</f>
        <v>0</v>
      </c>
      <c r="P37" s="1">
        <v>1.7388503799898194</v>
      </c>
      <c r="Q37" s="1">
        <v>0.52409774834936096</v>
      </c>
      <c r="R37" s="1">
        <f>P37/Q37</f>
        <v>3.3177978448987924</v>
      </c>
    </row>
    <row r="38" spans="1:18" x14ac:dyDescent="0.35">
      <c r="A38" s="14">
        <v>2341</v>
      </c>
      <c r="B38" s="6">
        <v>0.1</v>
      </c>
      <c r="C38" s="6">
        <v>2000000</v>
      </c>
      <c r="D38" s="6">
        <v>0</v>
      </c>
      <c r="E38" s="6">
        <v>0.375</v>
      </c>
      <c r="F38" s="6">
        <v>2.5000000000000001E-2</v>
      </c>
      <c r="G38" s="11">
        <f>(C38*$V$4)/($V$5*$V$3)</f>
        <v>29.387755102040813</v>
      </c>
      <c r="H38" s="11">
        <f>G38*COS(RADIANS(D38))</f>
        <v>29.387755102040813</v>
      </c>
      <c r="I38" s="11">
        <f>G38*SIN(RADIANS(D38))</f>
        <v>0</v>
      </c>
      <c r="J38" s="12">
        <v>0.16789999999999999</v>
      </c>
      <c r="K38" s="11">
        <v>85</v>
      </c>
      <c r="L38" s="11">
        <f>-(F38*G38*$V$3)/J38</f>
        <v>-4.3757824749911878</v>
      </c>
      <c r="M38" s="11">
        <f>ABS(L38/$V$6)</f>
        <v>1.2757383309012209E-2</v>
      </c>
      <c r="N38" s="11">
        <f>L38*SIN(RADIANS(K38))</f>
        <v>-4.359131301588997</v>
      </c>
      <c r="O38" s="11">
        <f>L38*COS(RADIANS(K38))</f>
        <v>-0.3813745717100428</v>
      </c>
      <c r="P38" s="1">
        <v>1.4725096130314579</v>
      </c>
      <c r="Q38" s="1">
        <v>0.19604591626764459</v>
      </c>
      <c r="R38" s="1">
        <f>P38/Q38</f>
        <v>7.5110445607097853</v>
      </c>
    </row>
    <row r="39" spans="1:18" x14ac:dyDescent="0.35">
      <c r="A39" s="14">
        <v>2342</v>
      </c>
      <c r="B39" s="6">
        <v>0.25</v>
      </c>
      <c r="C39" s="6">
        <v>6000000</v>
      </c>
      <c r="D39" s="6">
        <v>0</v>
      </c>
      <c r="E39" s="6">
        <v>0.125</v>
      </c>
      <c r="F39" s="6">
        <v>1.4999999999999999E-2</v>
      </c>
      <c r="G39" s="11">
        <f>(C39*$V$4)/($V$5*$V$3)</f>
        <v>88.16326530612244</v>
      </c>
      <c r="H39" s="11">
        <f>G39*COS(RADIANS(D39))</f>
        <v>88.16326530612244</v>
      </c>
      <c r="I39" s="11">
        <f>G39*SIN(RADIANS(D39))</f>
        <v>0</v>
      </c>
      <c r="J39" s="11">
        <v>0.19020000000000001</v>
      </c>
      <c r="K39" s="11">
        <v>46</v>
      </c>
      <c r="L39" s="11">
        <f>-(F39*G39*$V$3)/J39</f>
        <v>-6.9529389042683309</v>
      </c>
      <c r="M39" s="11">
        <f>ABS(L39/$V$6)</f>
        <v>2.0270958904572395E-2</v>
      </c>
      <c r="N39" s="11">
        <f>L39*SIN(RADIANS(K39))</f>
        <v>-5.0015256831632202</v>
      </c>
      <c r="O39" s="11">
        <f>L39*COS(RADIANS(K39))</f>
        <v>-4.8299172091400049</v>
      </c>
      <c r="P39" s="1">
        <v>2.0343088650921834</v>
      </c>
      <c r="Q39" s="1">
        <v>0.22800888923578969</v>
      </c>
      <c r="R39" s="1">
        <f>P39/Q39</f>
        <v>8.9220594508859428</v>
      </c>
    </row>
    <row r="40" spans="1:18" x14ac:dyDescent="0.35">
      <c r="A40" s="14">
        <v>2343</v>
      </c>
      <c r="B40" s="6">
        <v>0.5</v>
      </c>
      <c r="C40" s="6">
        <v>6000000</v>
      </c>
      <c r="D40" s="6">
        <v>10</v>
      </c>
      <c r="E40" s="6">
        <v>0</v>
      </c>
      <c r="F40" s="6">
        <v>7.4999999999999997E-2</v>
      </c>
      <c r="G40" s="11">
        <f>(C40*$V$4)/($V$5*$V$3)</f>
        <v>88.16326530612244</v>
      </c>
      <c r="H40" s="11">
        <f>G40*COS(RADIANS(D40))</f>
        <v>86.823867204341596</v>
      </c>
      <c r="I40" s="11">
        <f>G40*SIN(RADIANS(D40))</f>
        <v>15.309390357574264</v>
      </c>
      <c r="J40" s="12">
        <v>0.23230000000000001</v>
      </c>
      <c r="K40" s="11">
        <v>0</v>
      </c>
      <c r="L40" s="11">
        <f>-(F40*G40*$V$3)/J40</f>
        <v>-28.464248376922871</v>
      </c>
      <c r="M40" s="11">
        <f>ABS(L40/$V$6)</f>
        <v>8.2986146871495248E-2</v>
      </c>
      <c r="N40" s="11">
        <f>L40*SIN(RADIANS(K40))</f>
        <v>0</v>
      </c>
      <c r="O40" s="11">
        <f>L40*COS(RADIANS(K40))</f>
        <v>-28.464248376922871</v>
      </c>
      <c r="P40" s="1">
        <v>4.633439762165378</v>
      </c>
      <c r="Q40" s="1">
        <v>0.62123540342103389</v>
      </c>
      <c r="R40" s="1">
        <f>P40/Q40</f>
        <v>7.4584283777934122</v>
      </c>
    </row>
    <row r="41" spans="1:18" x14ac:dyDescent="0.35">
      <c r="A41" s="14">
        <v>2764</v>
      </c>
      <c r="B41" s="6">
        <v>0.1</v>
      </c>
      <c r="C41" s="6">
        <v>6000000</v>
      </c>
      <c r="D41" s="6">
        <v>30</v>
      </c>
      <c r="E41" s="6">
        <v>0.125</v>
      </c>
      <c r="F41" s="6">
        <v>0.15</v>
      </c>
      <c r="G41" s="11">
        <f>(C41*$V$4)/($V$5*$V$3)</f>
        <v>88.16326530612244</v>
      </c>
      <c r="H41" s="11">
        <f>G41*COS(RADIANS(D41))</f>
        <v>76.351627435689281</v>
      </c>
      <c r="I41" s="11">
        <f>G41*SIN(RADIANS(D41))</f>
        <v>44.081632653061213</v>
      </c>
      <c r="J41" s="19">
        <v>0.1658</v>
      </c>
      <c r="K41" s="20">
        <v>69</v>
      </c>
      <c r="L41" s="11">
        <f>-(F41*G41*$V$3)/J41</f>
        <v>-79.761699613500397</v>
      </c>
      <c r="M41" s="11">
        <f>ABS(L41/$V$6)</f>
        <v>0.23254139829008863</v>
      </c>
      <c r="N41" s="11">
        <f>L41*SIN(RADIANS(K41))</f>
        <v>-74.463961543313388</v>
      </c>
      <c r="O41" s="11">
        <f>L41*COS(RADIANS(K41))</f>
        <v>-28.584036742738316</v>
      </c>
      <c r="P41" s="1">
        <v>1.7826472047732078</v>
      </c>
      <c r="Q41" s="1">
        <v>1.1508772197058275</v>
      </c>
      <c r="R41" s="1">
        <f>P41/Q41</f>
        <v>1.5489464681809111</v>
      </c>
    </row>
    <row r="42" spans="1:18" x14ac:dyDescent="0.35">
      <c r="A42" s="14">
        <v>2345</v>
      </c>
      <c r="B42" s="6">
        <v>0.1</v>
      </c>
      <c r="C42" s="6">
        <v>6000000</v>
      </c>
      <c r="D42" s="6">
        <v>20</v>
      </c>
      <c r="E42" s="6">
        <v>0.375</v>
      </c>
      <c r="F42" s="6">
        <v>2.5000000000000001E-2</v>
      </c>
      <c r="G42" s="11">
        <f>(C42*$V$4)/($V$5*$V$3)</f>
        <v>88.16326530612244</v>
      </c>
      <c r="H42" s="11">
        <f>G42*COS(RADIANS(D42))</f>
        <v>82.846369832553549</v>
      </c>
      <c r="I42" s="11">
        <f>G42*SIN(RADIANS(D42))</f>
        <v>30.153612636058952</v>
      </c>
      <c r="J42" s="12">
        <v>0.16789999999999999</v>
      </c>
      <c r="K42" s="11">
        <v>85</v>
      </c>
      <c r="L42" s="11">
        <f>-(F42*G42*$V$3)/J42</f>
        <v>-13.127347424973562</v>
      </c>
      <c r="M42" s="11">
        <f>ABS(L42/$V$6)</f>
        <v>3.8272149927036626E-2</v>
      </c>
      <c r="N42" s="11">
        <f>L42*SIN(RADIANS(K42))</f>
        <v>-13.077393904766991</v>
      </c>
      <c r="O42" s="11">
        <f>L42*COS(RADIANS(K42))</f>
        <v>-1.1441237151301282</v>
      </c>
      <c r="P42" s="1">
        <v>1.7646842681741275</v>
      </c>
      <c r="Q42" s="1">
        <v>0.84703286845810877</v>
      </c>
      <c r="R42" s="1">
        <f>P42/Q42</f>
        <v>2.0833716540262008</v>
      </c>
    </row>
    <row r="43" spans="1:18" x14ac:dyDescent="0.35">
      <c r="A43" s="14">
        <v>2346</v>
      </c>
      <c r="B43" s="6">
        <v>0.5</v>
      </c>
      <c r="C43" s="6">
        <v>2000000</v>
      </c>
      <c r="D43" s="6">
        <v>30</v>
      </c>
      <c r="E43" s="6">
        <v>0</v>
      </c>
      <c r="F43" s="6">
        <v>3.5000000000000003E-2</v>
      </c>
      <c r="G43" s="11">
        <f>(C43*$V$4)/($V$5*$V$3)</f>
        <v>29.387755102040813</v>
      </c>
      <c r="H43" s="11">
        <f>G43*COS(RADIANS(D43))</f>
        <v>25.450542478563094</v>
      </c>
      <c r="I43" s="11">
        <f>G43*SIN(RADIANS(D43))</f>
        <v>14.693877551020405</v>
      </c>
      <c r="J43" s="12">
        <v>0.23230000000000001</v>
      </c>
      <c r="K43" s="11">
        <v>0</v>
      </c>
      <c r="L43" s="11">
        <f>-(F43*G43*$V$3)/J43</f>
        <v>-4.4277719697435574</v>
      </c>
      <c r="M43" s="11">
        <f>ABS(L43/$V$6)</f>
        <v>1.2908956180010372E-2</v>
      </c>
      <c r="N43" s="11">
        <f>L43*SIN(RADIANS(K43))</f>
        <v>0</v>
      </c>
      <c r="O43" s="11">
        <f>L43*COS(RADIANS(K43))</f>
        <v>-4.4277719697435574</v>
      </c>
      <c r="P43" s="1">
        <v>2.411929379590882</v>
      </c>
      <c r="Q43" s="1">
        <v>1.0742637732625335</v>
      </c>
      <c r="R43" s="1">
        <f>P43/Q43</f>
        <v>2.2451928843005335</v>
      </c>
    </row>
    <row r="44" spans="1:18" x14ac:dyDescent="0.35">
      <c r="A44" s="14">
        <v>2347</v>
      </c>
      <c r="B44" s="6">
        <v>0.25</v>
      </c>
      <c r="C44" s="6">
        <v>6000000</v>
      </c>
      <c r="D44" s="6">
        <v>15</v>
      </c>
      <c r="E44" s="6">
        <v>0.125</v>
      </c>
      <c r="F44" s="6">
        <v>1.4999999999999999E-2</v>
      </c>
      <c r="G44" s="11">
        <f>(C44*$V$4)/($V$5*$V$3)</f>
        <v>88.16326530612244</v>
      </c>
      <c r="H44" s="11">
        <f>G44*COS(RADIANS(D44))</f>
        <v>85.159174889158663</v>
      </c>
      <c r="I44" s="11">
        <f>G44*SIN(RADIANS(D44))</f>
        <v>22.818332139650806</v>
      </c>
      <c r="J44" s="11">
        <v>0.19020000000000001</v>
      </c>
      <c r="K44" s="11">
        <v>46</v>
      </c>
      <c r="L44" s="11">
        <f>-(F44*G44*$V$3)/J44</f>
        <v>-6.9529389042683309</v>
      </c>
      <c r="M44" s="11">
        <f>ABS(L44/$V$6)</f>
        <v>2.0270958904572395E-2</v>
      </c>
      <c r="N44" s="11">
        <f>L44*SIN(RADIANS(K44))</f>
        <v>-5.0015256831632202</v>
      </c>
      <c r="O44" s="11">
        <f>L44*COS(RADIANS(K44))</f>
        <v>-4.8299172091400049</v>
      </c>
      <c r="P44" s="1">
        <v>2.1456232363922303</v>
      </c>
      <c r="Q44" s="1">
        <v>0.58986366342158369</v>
      </c>
      <c r="R44" s="1">
        <f>P44/Q44</f>
        <v>3.6374901005874025</v>
      </c>
    </row>
    <row r="45" spans="1:18" x14ac:dyDescent="0.35">
      <c r="A45" s="14">
        <v>2348</v>
      </c>
      <c r="B45" s="6">
        <v>0.1</v>
      </c>
      <c r="C45" s="6">
        <v>4000000</v>
      </c>
      <c r="D45" s="6">
        <v>10</v>
      </c>
      <c r="E45" s="6">
        <v>0.25</v>
      </c>
      <c r="F45" s="6">
        <v>3.5000000000000003E-2</v>
      </c>
      <c r="G45" s="11">
        <f>(C45*$V$4)/($V$5*$V$3)</f>
        <v>58.775510204081627</v>
      </c>
      <c r="H45" s="11">
        <f>G45*COS(RADIANS(D45))</f>
        <v>57.882578136227728</v>
      </c>
      <c r="I45" s="11">
        <f>G45*SIN(RADIANS(D45))</f>
        <v>10.206260238382843</v>
      </c>
      <c r="J45" s="11">
        <v>0.1661</v>
      </c>
      <c r="K45" s="12">
        <v>80</v>
      </c>
      <c r="L45" s="11">
        <f>-(F45*G45*$V$3)/J45</f>
        <v>-12.384966027350131</v>
      </c>
      <c r="M45" s="11">
        <f>ABS(L45/$V$6)</f>
        <v>3.6107772674490182E-2</v>
      </c>
      <c r="N45" s="11">
        <f>L45*SIN(RADIANS(K45))</f>
        <v>-12.196810564527215</v>
      </c>
      <c r="O45" s="11">
        <f>L45*COS(RADIANS(K45))</f>
        <v>-2.150626781116193</v>
      </c>
      <c r="P45" s="1">
        <v>1.6005211301426012</v>
      </c>
      <c r="Q45" s="1">
        <v>0.49281470668288702</v>
      </c>
      <c r="R45" s="1">
        <f>P45/Q45</f>
        <v>3.2477138129980636</v>
      </c>
    </row>
    <row r="46" spans="1:18" x14ac:dyDescent="0.35">
      <c r="A46" s="14">
        <v>2349</v>
      </c>
      <c r="B46" s="6">
        <v>0.5</v>
      </c>
      <c r="C46" s="6">
        <v>6000000</v>
      </c>
      <c r="D46" s="6">
        <v>20</v>
      </c>
      <c r="E46" s="6">
        <v>0.125</v>
      </c>
      <c r="F46" s="6">
        <v>7.4999999999999997E-2</v>
      </c>
      <c r="G46" s="11">
        <f>(C46*$V$4)/($V$5*$V$3)</f>
        <v>88.16326530612244</v>
      </c>
      <c r="H46" s="11">
        <f>G46*COS(RADIANS(D46))</f>
        <v>82.846369832553549</v>
      </c>
      <c r="I46" s="11">
        <f>G46*SIN(RADIANS(D46))</f>
        <v>30.153612636058952</v>
      </c>
      <c r="J46" s="12">
        <v>0.23300000000000001</v>
      </c>
      <c r="K46" s="11">
        <v>27</v>
      </c>
      <c r="L46" s="11">
        <f>-(F46*G46*$V$3)/J46</f>
        <v>-28.378733467635978</v>
      </c>
      <c r="M46" s="11">
        <f>ABS(L46/$V$6)</f>
        <v>8.273683226716029E-2</v>
      </c>
      <c r="N46" s="11">
        <f>L46*SIN(RADIANS(K46))</f>
        <v>-12.883675388947458</v>
      </c>
      <c r="O46" s="11">
        <f>L46*COS(RADIANS(K46))</f>
        <v>-25.285636667866441</v>
      </c>
      <c r="P46" s="1">
        <v>4.2878269843759353</v>
      </c>
      <c r="Q46" s="1">
        <v>0.94493559981456299</v>
      </c>
      <c r="R46" s="1">
        <f>P46/Q46</f>
        <v>4.5376922884664221</v>
      </c>
    </row>
    <row r="47" spans="1:18" x14ac:dyDescent="0.35">
      <c r="A47" s="14">
        <v>2350</v>
      </c>
      <c r="B47" s="6">
        <v>0.1</v>
      </c>
      <c r="C47" s="6">
        <v>6000000</v>
      </c>
      <c r="D47" s="6">
        <v>20</v>
      </c>
      <c r="E47" s="6">
        <v>0.125</v>
      </c>
      <c r="F47" s="6">
        <v>1.4999999999999999E-2</v>
      </c>
      <c r="G47" s="11">
        <f>(C47*$V$4)/($V$5*$V$3)</f>
        <v>88.16326530612244</v>
      </c>
      <c r="H47" s="11">
        <f>G47*COS(RADIANS(D47))</f>
        <v>82.846369832553549</v>
      </c>
      <c r="I47" s="11">
        <f>G47*SIN(RADIANS(D47))</f>
        <v>30.153612636058952</v>
      </c>
      <c r="J47" s="12">
        <v>0.1658</v>
      </c>
      <c r="K47" s="11">
        <v>69</v>
      </c>
      <c r="L47" s="11">
        <f>-(F47*G47*$V$3)/J47</f>
        <v>-7.9761699613500401</v>
      </c>
      <c r="M47" s="11">
        <f>ABS(L47/$V$6)</f>
        <v>2.3254139829008862E-2</v>
      </c>
      <c r="N47" s="11">
        <f>L47*SIN(RADIANS(K47))</f>
        <v>-7.4463961543313397</v>
      </c>
      <c r="O47" s="11">
        <f>L47*COS(RADIANS(K47))</f>
        <v>-2.8584036742738315</v>
      </c>
      <c r="P47" s="1">
        <v>1.25466728172443</v>
      </c>
      <c r="Q47" s="1">
        <v>0.67740071531506119</v>
      </c>
      <c r="R47" s="1">
        <f>P47/Q47</f>
        <v>1.85217885567316</v>
      </c>
    </row>
    <row r="48" spans="1:18" x14ac:dyDescent="0.35">
      <c r="A48" s="14">
        <v>2351</v>
      </c>
      <c r="B48" s="6">
        <v>1</v>
      </c>
      <c r="C48" s="6">
        <v>2000000</v>
      </c>
      <c r="D48" s="6">
        <v>0</v>
      </c>
      <c r="E48" s="6">
        <v>0.25</v>
      </c>
      <c r="F48" s="6">
        <v>0.15</v>
      </c>
      <c r="G48" s="11">
        <f>(C48*$V$4)/($V$5*$V$3)</f>
        <v>29.387755102040813</v>
      </c>
      <c r="H48" s="11">
        <f>G48*COS(RADIANS(D48))</f>
        <v>29.387755102040813</v>
      </c>
      <c r="I48" s="11">
        <f>G48*SIN(RADIANS(D48))</f>
        <v>0</v>
      </c>
      <c r="J48" s="13">
        <v>0.33379999999999999</v>
      </c>
      <c r="K48" s="12">
        <v>30</v>
      </c>
      <c r="L48" s="11">
        <f>-(F48*G48*$V$3)/J48</f>
        <v>-13.206001393966813</v>
      </c>
      <c r="M48" s="11">
        <f>ABS(L48/$V$6)</f>
        <v>3.8501461789990712E-2</v>
      </c>
      <c r="N48" s="11">
        <f>L48*SIN(RADIANS(K48))</f>
        <v>-6.6030006969834059</v>
      </c>
      <c r="O48" s="11">
        <f>L48*COS(RADIANS(K48))</f>
        <v>-11.43673268958797</v>
      </c>
      <c r="P48" s="1">
        <v>4.9192200988905954</v>
      </c>
      <c r="Q48" s="1">
        <v>-0.62249864936888055</v>
      </c>
      <c r="R48" s="1">
        <f>P48/Q48</f>
        <v>-7.902378750344182</v>
      </c>
    </row>
    <row r="49" spans="1:18" x14ac:dyDescent="0.35">
      <c r="A49" s="14">
        <v>2308</v>
      </c>
      <c r="B49" s="6">
        <v>0.1</v>
      </c>
      <c r="C49" s="6">
        <v>6000000</v>
      </c>
      <c r="D49" s="6">
        <v>30</v>
      </c>
      <c r="E49" s="6">
        <v>0.25</v>
      </c>
      <c r="F49" s="6">
        <v>0.15</v>
      </c>
      <c r="G49" s="11">
        <f>(C49*$V$4)/($V$5*$V$3)</f>
        <v>88.16326530612244</v>
      </c>
      <c r="H49" s="11">
        <f>G49*COS(RADIANS(D49))</f>
        <v>76.351627435689281</v>
      </c>
      <c r="I49" s="11">
        <f>G49*SIN(RADIANS(D49))</f>
        <v>44.081632653061213</v>
      </c>
      <c r="J49" s="11">
        <v>0.1661</v>
      </c>
      <c r="K49" s="12">
        <v>80</v>
      </c>
      <c r="L49" s="11">
        <f>-(F49*G49*$V$3)/J49</f>
        <v>-79.617638747250851</v>
      </c>
      <c r="M49" s="11">
        <f>ABS(L49/$V$6)</f>
        <v>0.23212139576457974</v>
      </c>
      <c r="N49" s="11">
        <f>L49*SIN(RADIANS(K49))</f>
        <v>-78.408067914817821</v>
      </c>
      <c r="O49" s="11">
        <f>L49*COS(RADIANS(K49))</f>
        <v>-13.825457878604098</v>
      </c>
      <c r="P49" s="1">
        <v>1.5869255000431512</v>
      </c>
      <c r="Q49" s="1">
        <v>1.1183829891365324</v>
      </c>
      <c r="R49" s="1">
        <f>P49/Q49</f>
        <v>1.4189463855028459</v>
      </c>
    </row>
    <row r="50" spans="1:18" x14ac:dyDescent="0.35">
      <c r="A50" s="14">
        <v>2353</v>
      </c>
      <c r="B50" s="6">
        <v>0.1</v>
      </c>
      <c r="C50" s="6">
        <v>2000000</v>
      </c>
      <c r="D50" s="6">
        <v>20</v>
      </c>
      <c r="E50" s="6">
        <v>0.375</v>
      </c>
      <c r="F50" s="6">
        <v>7.4999999999999997E-2</v>
      </c>
      <c r="G50" s="11">
        <f>(C50*$V$4)/($V$5*$V$3)</f>
        <v>29.387755102040813</v>
      </c>
      <c r="H50" s="11">
        <f>G50*COS(RADIANS(D50))</f>
        <v>27.615456610851183</v>
      </c>
      <c r="I50" s="11">
        <f>G50*SIN(RADIANS(D50))</f>
        <v>10.051204212019652</v>
      </c>
      <c r="J50" s="12">
        <v>0.16789999999999999</v>
      </c>
      <c r="K50" s="11">
        <v>85</v>
      </c>
      <c r="L50" s="11">
        <f>-(F50*G50*$V$3)/J50</f>
        <v>-13.127347424973562</v>
      </c>
      <c r="M50" s="11">
        <f>ABS(L50/$V$6)</f>
        <v>3.8272149927036626E-2</v>
      </c>
      <c r="N50" s="11">
        <f>L50*SIN(RADIANS(K50))</f>
        <v>-13.077393904766991</v>
      </c>
      <c r="O50" s="11">
        <f>L50*COS(RADIANS(K50))</f>
        <v>-1.1441237151301282</v>
      </c>
      <c r="P50" s="1">
        <v>1.8858372033475055</v>
      </c>
      <c r="Q50" s="1">
        <v>0.87167035362194023</v>
      </c>
      <c r="R50" s="1">
        <f>P50/Q50</f>
        <v>2.1634752122881404</v>
      </c>
    </row>
    <row r="51" spans="1:18" x14ac:dyDescent="0.35">
      <c r="A51" s="14">
        <v>2354</v>
      </c>
      <c r="B51" s="6">
        <v>1</v>
      </c>
      <c r="C51" s="6">
        <v>6000000</v>
      </c>
      <c r="D51" s="6">
        <v>0</v>
      </c>
      <c r="E51" s="6">
        <v>0.125</v>
      </c>
      <c r="F51" s="6">
        <v>1.4999999999999999E-2</v>
      </c>
      <c r="G51" s="11">
        <f>(C51*$V$4)/($V$5*$V$3)</f>
        <v>88.16326530612244</v>
      </c>
      <c r="H51" s="11">
        <f>G51*COS(RADIANS(D51))</f>
        <v>88.16326530612244</v>
      </c>
      <c r="I51" s="11">
        <f>G51*SIN(RADIANS(D51))</f>
        <v>0</v>
      </c>
      <c r="J51" s="11">
        <v>0.33379999999999999</v>
      </c>
      <c r="K51" s="12">
        <v>14</v>
      </c>
      <c r="L51" s="11">
        <f>-(F51*G51*$V$3)/J51</f>
        <v>-3.9618004181900441</v>
      </c>
      <c r="M51" s="11">
        <f>ABS(L51/$V$6)</f>
        <v>1.1550438536997214E-2</v>
      </c>
      <c r="N51" s="11">
        <f>L51*SIN(RADIANS(K51))</f>
        <v>-0.95844626715609182</v>
      </c>
      <c r="O51" s="11">
        <f>L51*COS(RADIANS(K51))</f>
        <v>-3.8441180141282554</v>
      </c>
      <c r="P51" s="1">
        <v>2.4312939543336229</v>
      </c>
      <c r="Q51" s="1">
        <v>1.3012232212205981</v>
      </c>
      <c r="R51" s="1">
        <f>P51/Q51</f>
        <v>1.8684680035551275</v>
      </c>
    </row>
    <row r="52" spans="1:18" x14ac:dyDescent="0.35">
      <c r="A52" s="14">
        <v>2355</v>
      </c>
      <c r="B52" s="6">
        <v>0.1</v>
      </c>
      <c r="C52" s="6">
        <v>2000000</v>
      </c>
      <c r="D52" s="6">
        <v>15</v>
      </c>
      <c r="E52" s="6">
        <v>0.375</v>
      </c>
      <c r="F52" s="6">
        <v>0.05</v>
      </c>
      <c r="G52" s="11">
        <f>(C52*$V$4)/($V$5*$V$3)</f>
        <v>29.387755102040813</v>
      </c>
      <c r="H52" s="11">
        <f>G52*COS(RADIANS(D52))</f>
        <v>28.386391629719554</v>
      </c>
      <c r="I52" s="11">
        <f>G52*SIN(RADIANS(D52))</f>
        <v>7.6061107132169354</v>
      </c>
      <c r="J52" s="12">
        <v>0.16789999999999999</v>
      </c>
      <c r="K52" s="11">
        <v>85</v>
      </c>
      <c r="L52" s="11">
        <f>-(F52*G52*$V$3)/J52</f>
        <v>-8.7515649499823756</v>
      </c>
      <c r="M52" s="11">
        <f>ABS(L52/$V$6)</f>
        <v>2.5514766618024418E-2</v>
      </c>
      <c r="N52" s="11">
        <f>L52*SIN(RADIANS(K52))</f>
        <v>-8.718262603177994</v>
      </c>
      <c r="O52" s="11">
        <f>L52*COS(RADIANS(K52))</f>
        <v>-0.7627491434200856</v>
      </c>
      <c r="P52" s="1">
        <v>1.8835780323964852</v>
      </c>
      <c r="Q52" s="1">
        <v>0.69016393205573889</v>
      </c>
      <c r="R52" s="1">
        <f>P52/Q52</f>
        <v>2.7291748306609045</v>
      </c>
    </row>
    <row r="53" spans="1:18" x14ac:dyDescent="0.35">
      <c r="A53" s="14">
        <v>2356</v>
      </c>
      <c r="B53" s="6">
        <v>1</v>
      </c>
      <c r="C53" s="6">
        <v>4000000</v>
      </c>
      <c r="D53" s="6">
        <v>15</v>
      </c>
      <c r="E53" s="6">
        <v>0</v>
      </c>
      <c r="F53" s="6">
        <v>7.4999999999999997E-2</v>
      </c>
      <c r="G53" s="11">
        <f>(C53*$V$4)/($V$5*$V$3)</f>
        <v>58.775510204081627</v>
      </c>
      <c r="H53" s="11">
        <f>G53*COS(RADIANS(D53))</f>
        <v>56.772783259439109</v>
      </c>
      <c r="I53" s="11">
        <f>G53*SIN(RADIANS(D53))</f>
        <v>15.212221426433871</v>
      </c>
      <c r="J53" s="11">
        <v>0.33379999999999999</v>
      </c>
      <c r="K53" s="12">
        <v>0</v>
      </c>
      <c r="L53" s="11">
        <f>-(F53*G53*$V$3)/J53</f>
        <v>-13.206001393966813</v>
      </c>
      <c r="M53" s="11">
        <f>ABS(L53/$V$6)</f>
        <v>3.8501461789990712E-2</v>
      </c>
      <c r="N53" s="11">
        <f>L53*SIN(RADIANS(K53))</f>
        <v>0</v>
      </c>
      <c r="O53" s="11">
        <f>L53*COS(RADIANS(K53))</f>
        <v>-13.206001393966813</v>
      </c>
      <c r="P53" s="1">
        <v>7.1054894556282671</v>
      </c>
      <c r="Q53" s="1">
        <v>1.227081283874438</v>
      </c>
      <c r="R53" s="1">
        <f>P53/Q53</f>
        <v>5.7905613499320072</v>
      </c>
    </row>
    <row r="54" spans="1:18" x14ac:dyDescent="0.35">
      <c r="A54" s="14">
        <v>2357</v>
      </c>
      <c r="B54" s="6">
        <v>0.1</v>
      </c>
      <c r="C54" s="6">
        <v>6000000</v>
      </c>
      <c r="D54" s="6">
        <v>30</v>
      </c>
      <c r="E54" s="6">
        <v>0</v>
      </c>
      <c r="F54" s="6">
        <v>3.5000000000000003E-2</v>
      </c>
      <c r="G54" s="11">
        <f>(C54*$V$4)/($V$5*$V$3)</f>
        <v>88.16326530612244</v>
      </c>
      <c r="H54" s="11">
        <f>G54*COS(RADIANS(D54))</f>
        <v>76.351627435689281</v>
      </c>
      <c r="I54" s="11">
        <f>G54*SIN(RADIANS(D54))</f>
        <v>44.081632653061213</v>
      </c>
      <c r="J54" s="11">
        <v>0.16569999999999999</v>
      </c>
      <c r="K54" s="12">
        <v>0</v>
      </c>
      <c r="L54" s="11">
        <f>-(F54*G54*$V$3)/J54</f>
        <v>-18.622295025433228</v>
      </c>
      <c r="M54" s="11">
        <f>ABS(L54/$V$6)</f>
        <v>5.4292405321962764E-2</v>
      </c>
      <c r="N54" s="11">
        <f>L54*SIN(RADIANS(K54))</f>
        <v>0</v>
      </c>
      <c r="O54" s="11">
        <f>L54*COS(RADIANS(K54))</f>
        <v>-18.622295025433228</v>
      </c>
      <c r="P54" s="1">
        <v>1.1514267148937558</v>
      </c>
      <c r="Q54" s="1">
        <v>0.86504816346991775</v>
      </c>
      <c r="R54" s="1">
        <f>P54/Q54</f>
        <v>1.3310550366064062</v>
      </c>
    </row>
    <row r="55" spans="1:18" x14ac:dyDescent="0.35">
      <c r="A55" s="14">
        <v>2358</v>
      </c>
      <c r="B55" s="6">
        <v>1</v>
      </c>
      <c r="C55" s="6">
        <v>6000000</v>
      </c>
      <c r="D55" s="6">
        <v>15</v>
      </c>
      <c r="E55" s="6">
        <v>0.125</v>
      </c>
      <c r="F55" s="6">
        <v>3.5000000000000003E-2</v>
      </c>
      <c r="G55" s="11">
        <f>(C55*$V$4)/($V$5*$V$3)</f>
        <v>88.16326530612244</v>
      </c>
      <c r="H55" s="11">
        <f>G55*COS(RADIANS(D55))</f>
        <v>85.159174889158663</v>
      </c>
      <c r="I55" s="11">
        <f>G55*SIN(RADIANS(D55))</f>
        <v>22.818332139650806</v>
      </c>
      <c r="J55" s="11">
        <v>0.33379999999999999</v>
      </c>
      <c r="K55" s="12">
        <v>14</v>
      </c>
      <c r="L55" s="11">
        <f>-(F55*G55*$V$3)/J55</f>
        <v>-9.2442009757767707</v>
      </c>
      <c r="M55" s="11">
        <f>ABS(L55/$V$6)</f>
        <v>2.6951023252993502E-2</v>
      </c>
      <c r="N55" s="11">
        <f>L55*SIN(RADIANS(K55))</f>
        <v>-2.2363746233642146</v>
      </c>
      <c r="O55" s="11">
        <f>L55*COS(RADIANS(K55))</f>
        <v>-8.9696086996325963</v>
      </c>
      <c r="P55" s="1">
        <v>4.6520863623322573</v>
      </c>
      <c r="Q55" s="1">
        <v>0.65703101251891993</v>
      </c>
      <c r="R55" s="1">
        <f>P55/Q55</f>
        <v>7.0804669394479998</v>
      </c>
    </row>
    <row r="56" spans="1:18" x14ac:dyDescent="0.35">
      <c r="A56" s="14">
        <v>2359</v>
      </c>
      <c r="B56" s="6">
        <v>1</v>
      </c>
      <c r="C56" s="6">
        <v>2000000</v>
      </c>
      <c r="D56" s="6">
        <v>15</v>
      </c>
      <c r="E56" s="6">
        <v>0</v>
      </c>
      <c r="F56" s="6">
        <v>0.1</v>
      </c>
      <c r="G56" s="11">
        <f>(C56*$V$4)/($V$5*$V$3)</f>
        <v>29.387755102040813</v>
      </c>
      <c r="H56" s="11">
        <f>G56*COS(RADIANS(D56))</f>
        <v>28.386391629719554</v>
      </c>
      <c r="I56" s="11">
        <f>G56*SIN(RADIANS(D56))</f>
        <v>7.6061107132169354</v>
      </c>
      <c r="J56" s="11">
        <v>0.33379999999999999</v>
      </c>
      <c r="K56" s="12">
        <v>0</v>
      </c>
      <c r="L56" s="11">
        <f>-(F56*G56*$V$3)/J56</f>
        <v>-8.8040009293112096</v>
      </c>
      <c r="M56" s="11">
        <f>ABS(L56/$V$6)</f>
        <v>2.566764119332714E-2</v>
      </c>
      <c r="N56" s="11">
        <f>L56*SIN(RADIANS(K56))</f>
        <v>0</v>
      </c>
      <c r="O56" s="11">
        <f>L56*COS(RADIANS(K56))</f>
        <v>-8.8040009293112096</v>
      </c>
      <c r="P56" s="1">
        <v>2.7003693400243942</v>
      </c>
      <c r="Q56" s="1">
        <v>1.3166483431283678</v>
      </c>
      <c r="R56" s="1">
        <f>P56/Q56</f>
        <v>2.0509419649655984</v>
      </c>
    </row>
    <row r="57" spans="1:18" x14ac:dyDescent="0.35">
      <c r="A57" s="14">
        <v>2360</v>
      </c>
      <c r="B57" s="6">
        <v>1</v>
      </c>
      <c r="C57" s="6">
        <v>6000000</v>
      </c>
      <c r="D57" s="6">
        <v>20</v>
      </c>
      <c r="E57" s="6">
        <v>0</v>
      </c>
      <c r="F57" s="6">
        <v>0.05</v>
      </c>
      <c r="G57" s="11">
        <f>(C57*$V$4)/($V$5*$V$3)</f>
        <v>88.16326530612244</v>
      </c>
      <c r="H57" s="11">
        <f>G57*COS(RADIANS(D57))</f>
        <v>82.846369832553549</v>
      </c>
      <c r="I57" s="11">
        <f>G57*SIN(RADIANS(D57))</f>
        <v>30.153612636058952</v>
      </c>
      <c r="J57" s="11">
        <v>0.33379999999999999</v>
      </c>
      <c r="K57" s="12">
        <v>0</v>
      </c>
      <c r="L57" s="11">
        <f>-(F57*G57*$V$3)/J57</f>
        <v>-13.206001393966813</v>
      </c>
      <c r="M57" s="11">
        <f>ABS(L57/$V$6)</f>
        <v>3.8501461789990712E-2</v>
      </c>
      <c r="N57" s="11">
        <f>L57*SIN(RADIANS(K57))</f>
        <v>0</v>
      </c>
      <c r="O57" s="11">
        <f>L57*COS(RADIANS(K57))</f>
        <v>-13.206001393966813</v>
      </c>
      <c r="P57" s="1">
        <v>1.2046873779407281</v>
      </c>
      <c r="Q57" s="1">
        <v>1.8577459772960196</v>
      </c>
      <c r="R57" s="1">
        <f>P57/Q57</f>
        <v>0.64846722461709794</v>
      </c>
    </row>
    <row r="58" spans="1:18" x14ac:dyDescent="0.35">
      <c r="A58" s="14">
        <v>2361</v>
      </c>
      <c r="B58" s="6">
        <v>0.1</v>
      </c>
      <c r="C58" s="6">
        <v>2000000</v>
      </c>
      <c r="D58" s="6">
        <v>10</v>
      </c>
      <c r="E58" s="6">
        <v>0.125</v>
      </c>
      <c r="F58" s="6">
        <v>3.5000000000000003E-2</v>
      </c>
      <c r="G58" s="11">
        <f>(C58*$V$4)/($V$5*$V$3)</f>
        <v>29.387755102040813</v>
      </c>
      <c r="H58" s="11">
        <f>G58*COS(RADIANS(D58))</f>
        <v>28.941289068113864</v>
      </c>
      <c r="I58" s="11">
        <f>G58*SIN(RADIANS(D58))</f>
        <v>5.1031301191914213</v>
      </c>
      <c r="J58" s="12">
        <v>0.1658</v>
      </c>
      <c r="K58" s="11">
        <v>69</v>
      </c>
      <c r="L58" s="11">
        <f>-(F58*G58*$V$3)/J58</f>
        <v>-6.2036877477166978</v>
      </c>
      <c r="M58" s="11">
        <f>ABS(L58/$V$6)</f>
        <v>1.8086553200340225E-2</v>
      </c>
      <c r="N58" s="11">
        <f>L58*SIN(RADIANS(K58))</f>
        <v>-5.7916414533688201</v>
      </c>
      <c r="O58" s="11">
        <f>L58*COS(RADIANS(K58))</f>
        <v>-2.2232028577685359</v>
      </c>
      <c r="P58" s="1">
        <v>1.4387068764200241</v>
      </c>
      <c r="Q58" s="1">
        <v>0.44922855618978019</v>
      </c>
      <c r="R58" s="1">
        <f>P58/Q58</f>
        <v>3.2026167005559434</v>
      </c>
    </row>
    <row r="59" spans="1:18" x14ac:dyDescent="0.35">
      <c r="A59" s="14">
        <v>2362</v>
      </c>
      <c r="B59" s="6">
        <v>0.75</v>
      </c>
      <c r="C59" s="6">
        <v>6000000</v>
      </c>
      <c r="D59" s="6">
        <v>5</v>
      </c>
      <c r="E59" s="6">
        <v>0</v>
      </c>
      <c r="F59" s="6">
        <v>3.5000000000000003E-2</v>
      </c>
      <c r="G59" s="11">
        <f>(C59*$V$4)/($V$5*$V$3)</f>
        <v>88.16326530612244</v>
      </c>
      <c r="H59" s="11">
        <f>G59*COS(RADIANS(D59))</f>
        <v>87.827777464415107</v>
      </c>
      <c r="I59" s="11">
        <f>G59*SIN(RADIANS(D59))</f>
        <v>7.6839348708139434</v>
      </c>
      <c r="J59" s="11">
        <v>0.27929999999999999</v>
      </c>
      <c r="K59" s="11">
        <v>0</v>
      </c>
      <c r="L59" s="11">
        <f>-(F59*G59*$V$3)/J59</f>
        <v>-11.048028233849932</v>
      </c>
      <c r="M59" s="11">
        <f>ABS(L59/$V$6)</f>
        <v>3.2209994850874439E-2</v>
      </c>
      <c r="N59" s="11">
        <f>L59*SIN(RADIANS(K59))</f>
        <v>0</v>
      </c>
      <c r="O59" s="11">
        <f>L59*COS(RADIANS(K59))</f>
        <v>-11.048028233849932</v>
      </c>
      <c r="P59" s="1">
        <v>4.5807720079550434</v>
      </c>
      <c r="Q59" s="1">
        <v>0.6323634183784187</v>
      </c>
      <c r="R59" s="1">
        <f>P59/Q59</f>
        <v>7.2438915263340222</v>
      </c>
    </row>
    <row r="60" spans="1:18" x14ac:dyDescent="0.35">
      <c r="A60" s="14">
        <v>2363</v>
      </c>
      <c r="B60" s="6">
        <v>0.1</v>
      </c>
      <c r="C60" s="6">
        <v>6000000</v>
      </c>
      <c r="D60" s="6">
        <v>5</v>
      </c>
      <c r="E60" s="6">
        <v>0</v>
      </c>
      <c r="F60" s="6">
        <v>2.5000000000000001E-2</v>
      </c>
      <c r="G60" s="11">
        <f>(C60*$V$4)/($V$5*$V$3)</f>
        <v>88.16326530612244</v>
      </c>
      <c r="H60" s="11">
        <f>G60*COS(RADIANS(D60))</f>
        <v>87.827777464415107</v>
      </c>
      <c r="I60" s="11">
        <f>G60*SIN(RADIANS(D60))</f>
        <v>7.6839348708139434</v>
      </c>
      <c r="J60" s="11">
        <v>0.16569999999999999</v>
      </c>
      <c r="K60" s="12">
        <v>0</v>
      </c>
      <c r="L60" s="11">
        <f>-(F60*G60*$V$3)/J60</f>
        <v>-13.301639303880876</v>
      </c>
      <c r="M60" s="11">
        <f>ABS(L60/$V$6)</f>
        <v>3.8780289515687683E-2</v>
      </c>
      <c r="N60" s="11">
        <f>L60*SIN(RADIANS(K60))</f>
        <v>0</v>
      </c>
      <c r="O60" s="11">
        <f>L60*COS(RADIANS(K60))</f>
        <v>-13.301639303880876</v>
      </c>
      <c r="P60" s="1">
        <v>1.22680597445496</v>
      </c>
      <c r="Q60" s="1">
        <v>0.30914513063231097</v>
      </c>
      <c r="R60" s="1">
        <f>P60/Q60</f>
        <v>3.9683820086239381</v>
      </c>
    </row>
    <row r="61" spans="1:18" x14ac:dyDescent="0.35">
      <c r="A61" s="14">
        <v>2364</v>
      </c>
      <c r="B61" s="6">
        <v>0.75</v>
      </c>
      <c r="C61" s="6">
        <v>4000000</v>
      </c>
      <c r="D61" s="6">
        <v>10</v>
      </c>
      <c r="E61" s="6">
        <v>0.375</v>
      </c>
      <c r="F61" s="6">
        <v>2.5000000000000001E-2</v>
      </c>
      <c r="G61" s="11">
        <f>(C61*$V$4)/($V$5*$V$3)</f>
        <v>58.775510204081627</v>
      </c>
      <c r="H61" s="11">
        <f>G61*COS(RADIANS(D61))</f>
        <v>57.882578136227728</v>
      </c>
      <c r="I61" s="11">
        <f>G61*SIN(RADIANS(D61))</f>
        <v>10.206260238382843</v>
      </c>
      <c r="J61" s="11">
        <v>0.29299999999999998</v>
      </c>
      <c r="K61" s="12">
        <v>57</v>
      </c>
      <c r="L61" s="11">
        <f>-(F61*G61*$V$3)/J61</f>
        <v>-5.0149752733858044</v>
      </c>
      <c r="M61" s="11">
        <f>ABS(L61/$V$6)</f>
        <v>1.46209191643901E-2</v>
      </c>
      <c r="N61" s="11">
        <f>L61*SIN(RADIANS(K61))</f>
        <v>-4.2059121607627308</v>
      </c>
      <c r="O61" s="11">
        <f>L61*COS(RADIANS(K61))</f>
        <v>-2.7313512935210662</v>
      </c>
      <c r="P61" s="1">
        <v>4.0919947260596929</v>
      </c>
      <c r="Q61" s="1">
        <v>0.14329585885502463</v>
      </c>
      <c r="R61" s="1">
        <f>P61/Q61</f>
        <v>28.556266445910683</v>
      </c>
    </row>
    <row r="62" spans="1:18" x14ac:dyDescent="0.35">
      <c r="A62" s="14">
        <v>2365</v>
      </c>
      <c r="B62" s="6">
        <v>0.75</v>
      </c>
      <c r="C62" s="6">
        <v>6000000</v>
      </c>
      <c r="D62" s="6">
        <v>15</v>
      </c>
      <c r="E62" s="6">
        <v>0</v>
      </c>
      <c r="F62" s="6">
        <v>1.4999999999999999E-2</v>
      </c>
      <c r="G62" s="11">
        <f>(C62*$V$4)/($V$5*$V$3)</f>
        <v>88.16326530612244</v>
      </c>
      <c r="H62" s="11">
        <f>G62*COS(RADIANS(D62))</f>
        <v>85.159174889158663</v>
      </c>
      <c r="I62" s="11">
        <f>G62*SIN(RADIANS(D62))</f>
        <v>22.818332139650806</v>
      </c>
      <c r="J62" s="11">
        <v>0.27929999999999999</v>
      </c>
      <c r="K62" s="11">
        <v>0</v>
      </c>
      <c r="L62" s="11">
        <f>-(F62*G62*$V$3)/J62</f>
        <v>-4.7348692430785411</v>
      </c>
      <c r="M62" s="11">
        <f>ABS(L62/$V$6)</f>
        <v>1.3804283507517612E-2</v>
      </c>
      <c r="N62" s="11">
        <f>L62*SIN(RADIANS(K62))</f>
        <v>0</v>
      </c>
      <c r="O62" s="11">
        <f>L62*COS(RADIANS(K62))</f>
        <v>-4.7348692430785411</v>
      </c>
      <c r="P62" s="1">
        <v>2.3116179813012758</v>
      </c>
      <c r="Q62" s="1">
        <v>1.2547544253223271</v>
      </c>
      <c r="R62" s="1">
        <f>P62/Q62</f>
        <v>1.8422871716172324</v>
      </c>
    </row>
    <row r="63" spans="1:18" x14ac:dyDescent="0.35">
      <c r="A63" s="14">
        <v>2366</v>
      </c>
      <c r="B63" s="6">
        <v>1</v>
      </c>
      <c r="C63" s="6">
        <v>4000000</v>
      </c>
      <c r="D63" s="6">
        <v>30</v>
      </c>
      <c r="E63" s="6">
        <v>0.125</v>
      </c>
      <c r="F63" s="6">
        <v>1.4999999999999999E-2</v>
      </c>
      <c r="G63" s="11">
        <f>(C63*$V$4)/($V$5*$V$3)</f>
        <v>58.775510204081627</v>
      </c>
      <c r="H63" s="11">
        <f>G63*COS(RADIANS(D63))</f>
        <v>50.901084957126187</v>
      </c>
      <c r="I63" s="11">
        <f>G63*SIN(RADIANS(D63))</f>
        <v>29.38775510204081</v>
      </c>
      <c r="J63" s="11">
        <v>0.33379999999999999</v>
      </c>
      <c r="K63" s="12">
        <v>14</v>
      </c>
      <c r="L63" s="11">
        <f>-(F63*G63*$V$3)/J63</f>
        <v>-2.6412002787933626</v>
      </c>
      <c r="M63" s="11">
        <f>ABS(L63/$V$6)</f>
        <v>7.7002923579981416E-3</v>
      </c>
      <c r="N63" s="11">
        <f>L63*SIN(RADIANS(K63))</f>
        <v>-0.63896417810406114</v>
      </c>
      <c r="O63" s="11">
        <f>L63*COS(RADIANS(K63))</f>
        <v>-2.5627453427521703</v>
      </c>
      <c r="P63" s="1">
        <v>1.279294577692482</v>
      </c>
      <c r="Q63" s="1">
        <v>1.9205709837169764</v>
      </c>
      <c r="R63" s="1">
        <f>P63/Q63</f>
        <v>0.66610116915158202</v>
      </c>
    </row>
    <row r="64" spans="1:18" x14ac:dyDescent="0.35">
      <c r="A64" s="14">
        <v>2367</v>
      </c>
      <c r="B64" s="6">
        <v>1</v>
      </c>
      <c r="C64" s="6">
        <v>4000000</v>
      </c>
      <c r="D64" s="6">
        <v>20</v>
      </c>
      <c r="E64" s="6">
        <v>0.25</v>
      </c>
      <c r="F64" s="6">
        <v>7.4999999999999997E-2</v>
      </c>
      <c r="G64" s="11">
        <f>(C64*$V$4)/($V$5*$V$3)</f>
        <v>58.775510204081627</v>
      </c>
      <c r="H64" s="11">
        <f>G64*COS(RADIANS(D64))</f>
        <v>55.230913221702366</v>
      </c>
      <c r="I64" s="11">
        <f>G64*SIN(RADIANS(D64))</f>
        <v>20.102408424039304</v>
      </c>
      <c r="J64" s="13">
        <v>0.33379999999999999</v>
      </c>
      <c r="K64" s="12">
        <v>30</v>
      </c>
      <c r="L64" s="11">
        <f>-(F64*G64*$V$3)/J64</f>
        <v>-13.206001393966813</v>
      </c>
      <c r="M64" s="11">
        <f>ABS(L64/$V$6)</f>
        <v>3.8501461789990712E-2</v>
      </c>
      <c r="N64" s="11">
        <f>L64*SIN(RADIANS(K64))</f>
        <v>-6.6030006969834059</v>
      </c>
      <c r="O64" s="11">
        <f>L64*COS(RADIANS(K64))</f>
        <v>-11.43673268958797</v>
      </c>
      <c r="P64" s="1">
        <v>4.9745432610827311</v>
      </c>
      <c r="Q64" s="1">
        <v>0.61765860731371824</v>
      </c>
      <c r="R64" s="1">
        <f>P64/Q64</f>
        <v>8.0538718349893959</v>
      </c>
    </row>
    <row r="65" spans="1:18" x14ac:dyDescent="0.35">
      <c r="A65" s="14">
        <v>2368</v>
      </c>
      <c r="B65" s="6">
        <v>0.75</v>
      </c>
      <c r="C65" s="6">
        <v>2000000</v>
      </c>
      <c r="D65" s="6">
        <v>10</v>
      </c>
      <c r="E65" s="6">
        <v>0.125</v>
      </c>
      <c r="F65" s="6">
        <v>0.05</v>
      </c>
      <c r="G65" s="11">
        <f>(C65*$V$4)/($V$5*$V$3)</f>
        <v>29.387755102040813</v>
      </c>
      <c r="H65" s="11">
        <f>G65*COS(RADIANS(D65))</f>
        <v>28.941289068113864</v>
      </c>
      <c r="I65" s="11">
        <f>G65*SIN(RADIANS(D65))</f>
        <v>5.1031301191914213</v>
      </c>
      <c r="J65" s="12">
        <v>0.2802</v>
      </c>
      <c r="K65" s="11">
        <v>19</v>
      </c>
      <c r="L65" s="11">
        <f>-(F65*G65*$V$3)/J65</f>
        <v>-5.2440676484726643</v>
      </c>
      <c r="M65" s="11">
        <f>ABS(L65/$V$6)</f>
        <v>1.5288826963477156E-2</v>
      </c>
      <c r="N65" s="11">
        <f>L65*SIN(RADIANS(K65))</f>
        <v>-1.707301426161727</v>
      </c>
      <c r="O65" s="11">
        <f>L65*COS(RADIANS(K65))</f>
        <v>-4.9583633733303323</v>
      </c>
      <c r="P65" s="1">
        <v>4.8392089316660947</v>
      </c>
      <c r="Q65" s="1">
        <v>0.50613782735592117</v>
      </c>
      <c r="R65" s="1">
        <f>P65/Q65</f>
        <v>9.5610497183074887</v>
      </c>
    </row>
    <row r="66" spans="1:18" x14ac:dyDescent="0.35">
      <c r="A66" s="14">
        <v>2352</v>
      </c>
      <c r="B66" s="6">
        <v>0.1</v>
      </c>
      <c r="C66" s="6">
        <v>6000000</v>
      </c>
      <c r="D66" s="6">
        <v>5</v>
      </c>
      <c r="E66" s="6">
        <v>0.25</v>
      </c>
      <c r="F66" s="6">
        <v>0.15</v>
      </c>
      <c r="G66" s="11">
        <f>(C66*$V$4)/($V$5*$V$3)</f>
        <v>88.16326530612244</v>
      </c>
      <c r="H66" s="11">
        <f>G66*COS(RADIANS(D66))</f>
        <v>87.827777464415107</v>
      </c>
      <c r="I66" s="11">
        <f>G66*SIN(RADIANS(D66))</f>
        <v>7.6839348708139434</v>
      </c>
      <c r="J66" s="20">
        <v>0.1661</v>
      </c>
      <c r="K66" s="19">
        <v>80</v>
      </c>
      <c r="L66" s="11">
        <f>-(F66*G66*$V$3)/J66</f>
        <v>-79.617638747250851</v>
      </c>
      <c r="M66" s="11">
        <f>ABS(L66/$V$6)</f>
        <v>0.23212139576457974</v>
      </c>
      <c r="N66" s="11">
        <f>L66*SIN(RADIANS(K66))</f>
        <v>-78.408067914817821</v>
      </c>
      <c r="O66" s="11">
        <f>L66*COS(RADIANS(K66))</f>
        <v>-13.825457878604098</v>
      </c>
      <c r="P66" s="1">
        <v>1.81999120675773</v>
      </c>
      <c r="Q66" s="1">
        <v>0.34285808543419555</v>
      </c>
      <c r="R66" s="1">
        <f>P66/Q66</f>
        <v>5.308293092907209</v>
      </c>
    </row>
    <row r="67" spans="1:18" x14ac:dyDescent="0.35">
      <c r="A67" s="14">
        <v>2604</v>
      </c>
      <c r="B67" s="6">
        <v>0.1</v>
      </c>
      <c r="C67" s="6">
        <v>6000000</v>
      </c>
      <c r="D67" s="6">
        <v>15</v>
      </c>
      <c r="E67" s="6">
        <v>0.25</v>
      </c>
      <c r="F67" s="6">
        <v>0.15</v>
      </c>
      <c r="G67" s="11">
        <f>(C67*$V$4)/($V$5*$V$3)</f>
        <v>88.16326530612244</v>
      </c>
      <c r="H67" s="11">
        <f>G67*COS(RADIANS(D67))</f>
        <v>85.159174889158663</v>
      </c>
      <c r="I67" s="11">
        <f>G67*SIN(RADIANS(D67))</f>
        <v>22.818332139650806</v>
      </c>
      <c r="J67" s="20">
        <v>0.1661</v>
      </c>
      <c r="K67" s="19">
        <v>80</v>
      </c>
      <c r="L67" s="11">
        <f>-(F67*G67*$V$3)/J67</f>
        <v>-79.617638747250851</v>
      </c>
      <c r="M67" s="11">
        <f>ABS(L67/$V$6)</f>
        <v>0.23212139576457974</v>
      </c>
      <c r="N67" s="11">
        <f>L67*SIN(RADIANS(K67))</f>
        <v>-78.408067914817821</v>
      </c>
      <c r="O67" s="11">
        <f>L67*COS(RADIANS(K67))</f>
        <v>-13.825457878604098</v>
      </c>
      <c r="P67" s="1">
        <v>2.1295952815321586</v>
      </c>
      <c r="Q67" s="1">
        <v>0.69522367759077486</v>
      </c>
      <c r="R67" s="1">
        <f>P67/Q67</f>
        <v>3.0631800241787634</v>
      </c>
    </row>
    <row r="68" spans="1:18" x14ac:dyDescent="0.35">
      <c r="A68" s="14">
        <v>2371</v>
      </c>
      <c r="B68" s="6">
        <v>0.75</v>
      </c>
      <c r="C68" s="6">
        <v>4000000</v>
      </c>
      <c r="D68" s="6">
        <v>30</v>
      </c>
      <c r="E68" s="6">
        <v>0.375</v>
      </c>
      <c r="F68" s="6">
        <v>2.5000000000000001E-2</v>
      </c>
      <c r="G68" s="11">
        <f>(C68*$V$4)/($V$5*$V$3)</f>
        <v>58.775510204081627</v>
      </c>
      <c r="H68" s="11">
        <f>G68*COS(RADIANS(D68))</f>
        <v>50.901084957126187</v>
      </c>
      <c r="I68" s="11">
        <f>G68*SIN(RADIANS(D68))</f>
        <v>29.38775510204081</v>
      </c>
      <c r="J68" s="11">
        <v>0.29299999999999998</v>
      </c>
      <c r="K68" s="12">
        <v>57</v>
      </c>
      <c r="L68" s="11">
        <f>-(F68*G68*$V$3)/J68</f>
        <v>-5.0149752733858044</v>
      </c>
      <c r="M68" s="11">
        <f>ABS(L68/$V$6)</f>
        <v>1.46209191643901E-2</v>
      </c>
      <c r="N68" s="11">
        <f>L68*SIN(RADIANS(K68))</f>
        <v>-4.2059121607627308</v>
      </c>
      <c r="O68" s="11">
        <f>L68*COS(RADIANS(K68))</f>
        <v>-2.7313512935210662</v>
      </c>
      <c r="P68" s="1">
        <v>4.5245598337979169</v>
      </c>
      <c r="Q68" s="1">
        <v>1.2694458019299799</v>
      </c>
      <c r="R68" s="1">
        <f>P68/Q68</f>
        <v>3.5642008716867477</v>
      </c>
    </row>
    <row r="69" spans="1:18" x14ac:dyDescent="0.35">
      <c r="A69" s="14">
        <v>2372</v>
      </c>
      <c r="B69" s="6">
        <v>0.5</v>
      </c>
      <c r="C69" s="6">
        <v>6000000</v>
      </c>
      <c r="D69" s="6">
        <v>20</v>
      </c>
      <c r="E69" s="6">
        <v>0.375</v>
      </c>
      <c r="F69" s="6">
        <v>0</v>
      </c>
      <c r="G69" s="11">
        <f>(C69*$V$4)/($V$5*$V$3)</f>
        <v>88.16326530612244</v>
      </c>
      <c r="H69" s="11">
        <f>G69*COS(RADIANS(D69))</f>
        <v>82.846369832553549</v>
      </c>
      <c r="I69" s="11">
        <f>G69*SIN(RADIANS(D69))</f>
        <v>30.153612636058952</v>
      </c>
      <c r="J69" s="12">
        <v>0.24809999999999999</v>
      </c>
      <c r="K69" s="11">
        <v>67</v>
      </c>
      <c r="L69" s="11">
        <f>-(F69*G69*$V$3)/J69</f>
        <v>0</v>
      </c>
      <c r="M69" s="11">
        <f>ABS(L69/$V$6)</f>
        <v>0</v>
      </c>
      <c r="N69" s="11">
        <f>L69*SIN(RADIANS(K69))</f>
        <v>0</v>
      </c>
      <c r="O69" s="11">
        <f>L69*COS(RADIANS(K69))</f>
        <v>0</v>
      </c>
      <c r="P69" s="1">
        <v>4.1386722912293346</v>
      </c>
      <c r="Q69" s="1">
        <v>1.3554378282958195</v>
      </c>
      <c r="R69" s="1">
        <f>P69/Q69</f>
        <v>3.0533840836011286</v>
      </c>
    </row>
    <row r="70" spans="1:18" x14ac:dyDescent="0.35">
      <c r="A70" s="14">
        <v>2373</v>
      </c>
      <c r="B70" s="6">
        <v>0.5</v>
      </c>
      <c r="C70" s="6">
        <v>2000000</v>
      </c>
      <c r="D70" s="6">
        <v>20</v>
      </c>
      <c r="E70" s="6">
        <v>0.125</v>
      </c>
      <c r="F70" s="6">
        <v>7.4999999999999997E-2</v>
      </c>
      <c r="G70" s="11">
        <f>(C70*$V$4)/($V$5*$V$3)</f>
        <v>29.387755102040813</v>
      </c>
      <c r="H70" s="11">
        <f>G70*COS(RADIANS(D70))</f>
        <v>27.615456610851183</v>
      </c>
      <c r="I70" s="11">
        <f>G70*SIN(RADIANS(D70))</f>
        <v>10.051204212019652</v>
      </c>
      <c r="J70" s="12">
        <v>0.23300000000000001</v>
      </c>
      <c r="K70" s="11">
        <v>27</v>
      </c>
      <c r="L70" s="11">
        <f>-(F70*G70*$V$3)/J70</f>
        <v>-9.4595778225453255</v>
      </c>
      <c r="M70" s="11">
        <f>ABS(L70/$V$6)</f>
        <v>2.7578944089053429E-2</v>
      </c>
      <c r="N70" s="11">
        <f>L70*SIN(RADIANS(K70))</f>
        <v>-4.2945584629824856</v>
      </c>
      <c r="O70" s="11">
        <f>L70*COS(RADIANS(K70))</f>
        <v>-8.4285455559554805</v>
      </c>
      <c r="P70" s="1">
        <v>4.021895769976652</v>
      </c>
      <c r="Q70" s="1">
        <v>0.93999440820480318</v>
      </c>
      <c r="R70" s="1">
        <f>P70/Q70</f>
        <v>4.2786379736637468</v>
      </c>
    </row>
    <row r="71" spans="1:18" x14ac:dyDescent="0.35">
      <c r="A71" s="14">
        <v>2374</v>
      </c>
      <c r="B71" s="6">
        <v>0.75</v>
      </c>
      <c r="C71" s="6">
        <v>4000000</v>
      </c>
      <c r="D71" s="6">
        <v>10</v>
      </c>
      <c r="E71" s="6">
        <v>0.25</v>
      </c>
      <c r="F71" s="6">
        <v>0</v>
      </c>
      <c r="G71" s="11">
        <f>(C71*$V$4)/($V$5*$V$3)</f>
        <v>58.775510204081627</v>
      </c>
      <c r="H71" s="11">
        <f>G71*COS(RADIANS(D71))</f>
        <v>57.882578136227728</v>
      </c>
      <c r="I71" s="11">
        <f>G71*SIN(RADIANS(D71))</f>
        <v>10.206260238382843</v>
      </c>
      <c r="J71" s="12">
        <v>0.28370000000000001</v>
      </c>
      <c r="K71" s="11">
        <v>38</v>
      </c>
      <c r="L71" s="11">
        <f>-(F71*G71*$V$3)/J71</f>
        <v>0</v>
      </c>
      <c r="M71" s="11">
        <f>ABS(L71/$V$6)</f>
        <v>0</v>
      </c>
      <c r="N71" s="11">
        <f>L71*SIN(RADIANS(K71))</f>
        <v>0</v>
      </c>
      <c r="O71" s="11">
        <f>L71*COS(RADIANS(K71))</f>
        <v>0</v>
      </c>
      <c r="P71" s="1">
        <v>5.9210919378111768</v>
      </c>
      <c r="Q71" s="1">
        <v>1.2848119440661141</v>
      </c>
      <c r="R71" s="1">
        <f>P71/Q71</f>
        <v>4.6085280925022971</v>
      </c>
    </row>
    <row r="72" spans="1:18" x14ac:dyDescent="0.35">
      <c r="A72" s="14">
        <v>2375</v>
      </c>
      <c r="B72" s="6">
        <v>0.5</v>
      </c>
      <c r="C72" s="6">
        <v>2000000</v>
      </c>
      <c r="D72" s="6">
        <v>30</v>
      </c>
      <c r="E72" s="6">
        <v>0.125</v>
      </c>
      <c r="F72" s="6">
        <v>3.5000000000000003E-2</v>
      </c>
      <c r="G72" s="11">
        <f>(C72*$V$4)/($V$5*$V$3)</f>
        <v>29.387755102040813</v>
      </c>
      <c r="H72" s="11">
        <f>G72*COS(RADIANS(D72))</f>
        <v>25.450542478563094</v>
      </c>
      <c r="I72" s="11">
        <f>G72*SIN(RADIANS(D72))</f>
        <v>14.693877551020405</v>
      </c>
      <c r="J72" s="12">
        <v>0.23300000000000001</v>
      </c>
      <c r="K72" s="11">
        <v>27</v>
      </c>
      <c r="L72" s="11">
        <f>-(F72*G72*$V$3)/J72</f>
        <v>-4.414469650521152</v>
      </c>
      <c r="M72" s="11">
        <f>ABS(L72/$V$6)</f>
        <v>1.2870173908224933E-2</v>
      </c>
      <c r="N72" s="11">
        <f>L72*SIN(RADIANS(K72))</f>
        <v>-2.0041272827251602</v>
      </c>
      <c r="O72" s="11">
        <f>L72*COS(RADIANS(K72))</f>
        <v>-3.9333212594458908</v>
      </c>
      <c r="P72" s="1">
        <v>3.7045291146541723</v>
      </c>
      <c r="Q72" s="1">
        <v>1.3145264401551457</v>
      </c>
      <c r="R72" s="1">
        <f>P72/Q72</f>
        <v>2.8181472821626539</v>
      </c>
    </row>
    <row r="73" spans="1:18" x14ac:dyDescent="0.35">
      <c r="A73" s="14">
        <v>2376</v>
      </c>
      <c r="B73" s="6">
        <v>1</v>
      </c>
      <c r="C73" s="6">
        <v>6000000</v>
      </c>
      <c r="D73" s="6">
        <v>10</v>
      </c>
      <c r="E73" s="6">
        <v>0.375</v>
      </c>
      <c r="F73" s="6">
        <v>7.4999999999999997E-2</v>
      </c>
      <c r="G73" s="11">
        <f>(C73*$V$4)/($V$5*$V$3)</f>
        <v>88.16326530612244</v>
      </c>
      <c r="H73" s="11">
        <f>G73*COS(RADIANS(D73))</f>
        <v>86.823867204341596</v>
      </c>
      <c r="I73" s="11">
        <f>G73*SIN(RADIANS(D73))</f>
        <v>15.309390357574264</v>
      </c>
      <c r="J73" s="12">
        <v>0.33379999999999999</v>
      </c>
      <c r="K73" s="11">
        <v>49</v>
      </c>
      <c r="L73" s="11">
        <f>-(F73*G73*$V$3)/J73</f>
        <v>-19.809002090950219</v>
      </c>
      <c r="M73" s="11">
        <f>ABS(L73/$V$6)</f>
        <v>5.7752192684986062E-2</v>
      </c>
      <c r="N73" s="11">
        <f>L73*SIN(RADIANS(K73))</f>
        <v>-14.950043652693052</v>
      </c>
      <c r="O73" s="11">
        <f>L73*COS(RADIANS(K73))</f>
        <v>-12.99587467705973</v>
      </c>
      <c r="P73" s="1">
        <v>5.8421321015875076</v>
      </c>
      <c r="Q73" s="1">
        <v>-6.3435069080406609E-2</v>
      </c>
      <c r="R73" s="1">
        <f>P73/Q73</f>
        <v>-92.096251904169293</v>
      </c>
    </row>
    <row r="74" spans="1:18" x14ac:dyDescent="0.35">
      <c r="A74" s="14">
        <v>2377</v>
      </c>
      <c r="B74" s="6">
        <v>0.1</v>
      </c>
      <c r="C74" s="6">
        <v>2000000</v>
      </c>
      <c r="D74" s="6">
        <v>30</v>
      </c>
      <c r="E74" s="6">
        <v>0.375</v>
      </c>
      <c r="F74" s="6">
        <v>0.15</v>
      </c>
      <c r="G74" s="11">
        <f>(C74*$V$4)/($V$5*$V$3)</f>
        <v>29.387755102040813</v>
      </c>
      <c r="H74" s="11">
        <f>G74*COS(RADIANS(D74))</f>
        <v>25.450542478563094</v>
      </c>
      <c r="I74" s="11">
        <f>G74*SIN(RADIANS(D74))</f>
        <v>14.693877551020405</v>
      </c>
      <c r="J74" s="12">
        <v>0.16789999999999999</v>
      </c>
      <c r="K74" s="11">
        <v>85</v>
      </c>
      <c r="L74" s="11">
        <f>-(F74*G74*$V$3)/J74</f>
        <v>-26.254694849947125</v>
      </c>
      <c r="M74" s="11">
        <f>ABS(L74/$V$6)</f>
        <v>7.6544299854073253E-2</v>
      </c>
      <c r="N74" s="11">
        <f>L74*SIN(RADIANS(K74))</f>
        <v>-26.154787809533982</v>
      </c>
      <c r="O74" s="11">
        <f>L74*COS(RADIANS(K74))</f>
        <v>-2.2882474302602565</v>
      </c>
      <c r="P74" s="1">
        <v>1.7671998539519445</v>
      </c>
      <c r="Q74" s="1">
        <v>1.2653174257619375</v>
      </c>
      <c r="R74" s="1">
        <f>P74/Q74</f>
        <v>1.3966454724890776</v>
      </c>
    </row>
    <row r="75" spans="1:18" x14ac:dyDescent="0.35">
      <c r="A75" s="14">
        <v>2378</v>
      </c>
      <c r="B75" s="6">
        <v>0.5</v>
      </c>
      <c r="C75" s="6">
        <v>2000000</v>
      </c>
      <c r="D75" s="6">
        <v>10</v>
      </c>
      <c r="E75" s="6">
        <v>0.125</v>
      </c>
      <c r="F75" s="6">
        <v>0.15</v>
      </c>
      <c r="G75" s="11">
        <f>(C75*$V$4)/($V$5*$V$3)</f>
        <v>29.387755102040813</v>
      </c>
      <c r="H75" s="11">
        <f>G75*COS(RADIANS(D75))</f>
        <v>28.941289068113864</v>
      </c>
      <c r="I75" s="11">
        <f>G75*SIN(RADIANS(D75))</f>
        <v>5.1031301191914213</v>
      </c>
      <c r="J75" s="12">
        <v>0.23300000000000001</v>
      </c>
      <c r="K75" s="11">
        <v>27</v>
      </c>
      <c r="L75" s="11">
        <f>-(F75*G75*$V$3)/J75</f>
        <v>-18.919155645090651</v>
      </c>
      <c r="M75" s="11">
        <f>ABS(L75/$V$6)</f>
        <v>5.5157888178106858E-2</v>
      </c>
      <c r="N75" s="11">
        <f>L75*SIN(RADIANS(K75))</f>
        <v>-8.5891169259649711</v>
      </c>
      <c r="O75" s="11">
        <f>L75*COS(RADIANS(K75))</f>
        <v>-16.857091111910961</v>
      </c>
      <c r="P75" s="1">
        <v>5.2918968879652688</v>
      </c>
      <c r="Q75" s="1">
        <v>0.33315172832515294</v>
      </c>
      <c r="R75" s="1">
        <f>P75/Q75</f>
        <v>15.884344693539838</v>
      </c>
    </row>
    <row r="76" spans="1:18" x14ac:dyDescent="0.35">
      <c r="A76" s="14">
        <v>2379</v>
      </c>
      <c r="B76" s="6">
        <v>0.25</v>
      </c>
      <c r="C76" s="6">
        <v>2000000</v>
      </c>
      <c r="D76" s="6">
        <v>30</v>
      </c>
      <c r="E76" s="6">
        <v>0.375</v>
      </c>
      <c r="F76" s="6">
        <v>1.4999999999999999E-2</v>
      </c>
      <c r="G76" s="11">
        <f>(C76*$V$4)/($V$5*$V$3)</f>
        <v>29.387755102040813</v>
      </c>
      <c r="H76" s="11">
        <f>G76*COS(RADIANS(D76))</f>
        <v>25.450542478563094</v>
      </c>
      <c r="I76" s="11">
        <f>G76*SIN(RADIANS(D76))</f>
        <v>14.693877551020405</v>
      </c>
      <c r="J76" s="11">
        <v>0.1976</v>
      </c>
      <c r="K76" s="12">
        <v>78</v>
      </c>
      <c r="L76" s="11">
        <f>-(F76*G76*$V$3)/J76</f>
        <v>-2.2308518549120051</v>
      </c>
      <c r="M76" s="11">
        <f>ABS(L76/$V$6)</f>
        <v>6.5039412679650296E-3</v>
      </c>
      <c r="N76" s="11">
        <f>L76*SIN(RADIANS(K76))</f>
        <v>-2.1821023894747373</v>
      </c>
      <c r="O76" s="11">
        <f>L76*COS(RADIANS(K76))</f>
        <v>-0.46382018111869</v>
      </c>
      <c r="P76" s="1">
        <v>2.4512768318850777</v>
      </c>
      <c r="Q76" s="1">
        <v>1.0581572373478931</v>
      </c>
      <c r="R76" s="1">
        <f>P76/Q76</f>
        <v>2.3165525362079671</v>
      </c>
    </row>
    <row r="77" spans="1:18" x14ac:dyDescent="0.35">
      <c r="A77" s="14">
        <v>2380</v>
      </c>
      <c r="B77" s="6">
        <v>0.1</v>
      </c>
      <c r="C77" s="6">
        <v>6000000</v>
      </c>
      <c r="D77" s="6">
        <v>15</v>
      </c>
      <c r="E77" s="6">
        <v>0.375</v>
      </c>
      <c r="F77" s="6">
        <v>0.15</v>
      </c>
      <c r="G77" s="11">
        <f>(C77*$V$4)/($V$5*$V$3)</f>
        <v>88.16326530612244</v>
      </c>
      <c r="H77" s="11">
        <f>G77*COS(RADIANS(D77))</f>
        <v>85.159174889158663</v>
      </c>
      <c r="I77" s="11">
        <f>G77*SIN(RADIANS(D77))</f>
        <v>22.818332139650806</v>
      </c>
      <c r="J77" s="12">
        <v>0.16789999999999999</v>
      </c>
      <c r="K77" s="11">
        <v>85</v>
      </c>
      <c r="L77" s="11">
        <f>-(F77*G77*$V$3)/J77</f>
        <v>-78.764084549841371</v>
      </c>
      <c r="M77" s="11">
        <f>ABS(L77/$V$6)</f>
        <v>0.22963289956221974</v>
      </c>
      <c r="N77" s="11">
        <f>L77*SIN(RADIANS(K77))</f>
        <v>-78.464363428601942</v>
      </c>
      <c r="O77" s="11">
        <f>L77*COS(RADIANS(K77))</f>
        <v>-6.8647422907807698</v>
      </c>
      <c r="P77" s="1">
        <v>2.2915838134255417</v>
      </c>
      <c r="Q77" s="1">
        <v>0.74982179870899168</v>
      </c>
      <c r="R77" s="1">
        <f>P77/Q77</f>
        <v>3.0561712361138129</v>
      </c>
    </row>
    <row r="78" spans="1:18" x14ac:dyDescent="0.35">
      <c r="A78" s="14">
        <v>2381</v>
      </c>
      <c r="B78" s="6">
        <v>0.25</v>
      </c>
      <c r="C78" s="6">
        <v>2000000</v>
      </c>
      <c r="D78" s="6">
        <v>10</v>
      </c>
      <c r="E78" s="6">
        <v>0.125</v>
      </c>
      <c r="F78" s="6">
        <v>0.05</v>
      </c>
      <c r="G78" s="11">
        <f>(C78*$V$4)/($V$5*$V$3)</f>
        <v>29.387755102040813</v>
      </c>
      <c r="H78" s="11">
        <f>G78*COS(RADIANS(D78))</f>
        <v>28.941289068113864</v>
      </c>
      <c r="I78" s="11">
        <f>G78*SIN(RADIANS(D78))</f>
        <v>5.1031301191914213</v>
      </c>
      <c r="J78" s="11">
        <v>0.19020000000000001</v>
      </c>
      <c r="K78" s="11">
        <v>46</v>
      </c>
      <c r="L78" s="11">
        <f>-(F78*G78*$V$3)/J78</f>
        <v>-7.7254876714092564</v>
      </c>
      <c r="M78" s="11">
        <f>ABS(L78/$V$6)</f>
        <v>2.2523287671747102E-2</v>
      </c>
      <c r="N78" s="11">
        <f>L78*SIN(RADIANS(K78))</f>
        <v>-5.5572507590702447</v>
      </c>
      <c r="O78" s="11">
        <f>L78*COS(RADIANS(K78))</f>
        <v>-5.3665746768222276</v>
      </c>
      <c r="P78" s="1">
        <v>2.2674921094069744</v>
      </c>
      <c r="Q78" s="1">
        <v>0.43410858227768451</v>
      </c>
      <c r="R78" s="1">
        <f>P78/Q78</f>
        <v>5.2233293742083564</v>
      </c>
    </row>
    <row r="79" spans="1:18" x14ac:dyDescent="0.35">
      <c r="A79" s="14">
        <v>2382</v>
      </c>
      <c r="B79" s="6">
        <v>0.5</v>
      </c>
      <c r="C79" s="6">
        <v>2000000</v>
      </c>
      <c r="D79" s="6">
        <v>5</v>
      </c>
      <c r="E79" s="6">
        <v>0.25</v>
      </c>
      <c r="F79" s="6">
        <v>7.4999999999999997E-2</v>
      </c>
      <c r="G79" s="11">
        <f>(C79*$V$4)/($V$5*$V$3)</f>
        <v>29.387755102040813</v>
      </c>
      <c r="H79" s="11">
        <f>G79*COS(RADIANS(D79))</f>
        <v>29.275925821471702</v>
      </c>
      <c r="I79" s="11">
        <f>G79*SIN(RADIANS(D79))</f>
        <v>2.5613116236046478</v>
      </c>
      <c r="J79" s="11">
        <v>0.23580000000000001</v>
      </c>
      <c r="K79" s="11">
        <v>49</v>
      </c>
      <c r="L79" s="11">
        <f>-(F79*G79*$V$3)/J79</f>
        <v>-9.347250350521886</v>
      </c>
      <c r="M79" s="11">
        <f>ABS(L79/$V$6)</f>
        <v>2.7251458747877218E-2</v>
      </c>
      <c r="N79" s="11">
        <f>L79*SIN(RADIANS(K79))</f>
        <v>-7.0544593882795308</v>
      </c>
      <c r="O79" s="11">
        <f>L79*COS(RADIANS(K79))</f>
        <v>-6.1323479886945673</v>
      </c>
      <c r="P79" s="1">
        <v>3.4436414140278484</v>
      </c>
      <c r="Q79" s="1">
        <v>0.16795683765248767</v>
      </c>
      <c r="R79" s="1">
        <f>P79/Q79</f>
        <v>20.503133198738475</v>
      </c>
    </row>
    <row r="80" spans="1:18" x14ac:dyDescent="0.35">
      <c r="A80" s="14">
        <v>2383</v>
      </c>
      <c r="B80" s="6">
        <v>0.1</v>
      </c>
      <c r="C80" s="6">
        <v>2000000</v>
      </c>
      <c r="D80" s="6">
        <v>30</v>
      </c>
      <c r="E80" s="6">
        <v>0.25</v>
      </c>
      <c r="F80" s="6">
        <v>0</v>
      </c>
      <c r="G80" s="11">
        <f>(C80*$V$4)/($V$5*$V$3)</f>
        <v>29.387755102040813</v>
      </c>
      <c r="H80" s="11">
        <f>G80*COS(RADIANS(D80))</f>
        <v>25.450542478563094</v>
      </c>
      <c r="I80" s="11">
        <f>G80*SIN(RADIANS(D80))</f>
        <v>14.693877551020405</v>
      </c>
      <c r="J80" s="11">
        <v>0.1661</v>
      </c>
      <c r="K80" s="12">
        <v>80</v>
      </c>
      <c r="L80" s="11">
        <f>-(F80*G80*$V$3)/J80</f>
        <v>0</v>
      </c>
      <c r="M80" s="11">
        <f>ABS(L80/$V$6)</f>
        <v>0</v>
      </c>
      <c r="N80" s="11">
        <f>L80*SIN(RADIANS(K80))</f>
        <v>0</v>
      </c>
      <c r="O80" s="11">
        <f>L80*COS(RADIANS(K80))</f>
        <v>0</v>
      </c>
      <c r="P80" s="1">
        <v>1.3244044050068697</v>
      </c>
      <c r="Q80" s="1">
        <v>1.0771788244541827</v>
      </c>
      <c r="R80" s="1">
        <f>P80/Q80</f>
        <v>1.2295121060126286</v>
      </c>
    </row>
    <row r="81" spans="1:18" x14ac:dyDescent="0.35">
      <c r="A81" s="14">
        <v>2384</v>
      </c>
      <c r="B81" s="6">
        <v>0.75</v>
      </c>
      <c r="C81" s="6">
        <v>6000000</v>
      </c>
      <c r="D81" s="6">
        <v>20</v>
      </c>
      <c r="E81" s="6">
        <v>0.125</v>
      </c>
      <c r="F81" s="6">
        <v>0</v>
      </c>
      <c r="G81" s="11">
        <f>(C81*$V$4)/($V$5*$V$3)</f>
        <v>88.16326530612244</v>
      </c>
      <c r="H81" s="11">
        <f>G81*COS(RADIANS(D81))</f>
        <v>82.846369832553549</v>
      </c>
      <c r="I81" s="11">
        <f>G81*SIN(RADIANS(D81))</f>
        <v>30.153612636058952</v>
      </c>
      <c r="J81" s="12">
        <v>0.2802</v>
      </c>
      <c r="K81" s="11">
        <v>19</v>
      </c>
      <c r="L81" s="11">
        <f>-(F81*G81*$V$3)/J81</f>
        <v>0</v>
      </c>
      <c r="M81" s="11">
        <f>ABS(L81/$V$6)</f>
        <v>0</v>
      </c>
      <c r="N81" s="11">
        <f>L81*SIN(RADIANS(K81))</f>
        <v>0</v>
      </c>
      <c r="O81" s="11">
        <f>L81*COS(RADIANS(K81))</f>
        <v>0</v>
      </c>
      <c r="P81" s="1">
        <v>4.932634369819616</v>
      </c>
      <c r="Q81" s="1">
        <v>1.9684625027174036</v>
      </c>
      <c r="R81" s="1">
        <f>P81/Q81</f>
        <v>2.5058310041518506</v>
      </c>
    </row>
    <row r="82" spans="1:18" x14ac:dyDescent="0.35">
      <c r="A82" s="14">
        <v>2385</v>
      </c>
      <c r="B82" s="6">
        <v>1</v>
      </c>
      <c r="C82" s="6">
        <v>4000000</v>
      </c>
      <c r="D82" s="6">
        <v>10</v>
      </c>
      <c r="E82" s="6">
        <v>0.125</v>
      </c>
      <c r="F82" s="6">
        <v>0.1</v>
      </c>
      <c r="G82" s="11">
        <f>(C82*$V$4)/($V$5*$V$3)</f>
        <v>58.775510204081627</v>
      </c>
      <c r="H82" s="11">
        <f>G82*COS(RADIANS(D82))</f>
        <v>57.882578136227728</v>
      </c>
      <c r="I82" s="11">
        <f>G82*SIN(RADIANS(D82))</f>
        <v>10.206260238382843</v>
      </c>
      <c r="J82" s="11">
        <v>0.33379999999999999</v>
      </c>
      <c r="K82" s="12">
        <v>14</v>
      </c>
      <c r="L82" s="11">
        <f>-(F82*G82*$V$3)/J82</f>
        <v>-17.608001858622419</v>
      </c>
      <c r="M82" s="11">
        <f>ABS(L82/$V$6)</f>
        <v>5.1335282386654281E-2</v>
      </c>
      <c r="N82" s="11">
        <f>L82*SIN(RADIANS(K82))</f>
        <v>-4.2597611873604082</v>
      </c>
      <c r="O82" s="11">
        <f>L82*COS(RADIANS(K82))</f>
        <v>-17.084968951681137</v>
      </c>
      <c r="P82" s="1">
        <v>3.0149915016413078</v>
      </c>
      <c r="Q82" s="1">
        <v>0.87623582547087098</v>
      </c>
      <c r="R82" s="1">
        <f>P82/Q82</f>
        <v>3.4408448205380258</v>
      </c>
    </row>
    <row r="83" spans="1:18" x14ac:dyDescent="0.35">
      <c r="A83" s="14">
        <v>2386</v>
      </c>
      <c r="B83" s="6">
        <v>0.25</v>
      </c>
      <c r="C83" s="6">
        <v>4000000</v>
      </c>
      <c r="D83" s="6">
        <v>15</v>
      </c>
      <c r="E83" s="6">
        <v>0.25</v>
      </c>
      <c r="F83" s="6">
        <v>0.05</v>
      </c>
      <c r="G83" s="11">
        <f>(C83*$V$4)/($V$5*$V$3)</f>
        <v>58.775510204081627</v>
      </c>
      <c r="H83" s="11">
        <f>G83*COS(RADIANS(D83))</f>
        <v>56.772783259439109</v>
      </c>
      <c r="I83" s="11">
        <f>G83*SIN(RADIANS(D83))</f>
        <v>15.212221426433871</v>
      </c>
      <c r="J83" s="12">
        <v>0.1913</v>
      </c>
      <c r="K83" s="11">
        <v>67</v>
      </c>
      <c r="L83" s="11">
        <f>-(F83*G83*$V$3)/J83</f>
        <v>-15.362130215389866</v>
      </c>
      <c r="M83" s="11">
        <f>ABS(L83/$V$6)</f>
        <v>4.4787551648366959E-2</v>
      </c>
      <c r="N83" s="11">
        <f>L83*SIN(RADIANS(K83))</f>
        <v>-14.140915422634755</v>
      </c>
      <c r="O83" s="11">
        <f>L83*COS(RADIANS(K83))</f>
        <v>-6.0024624750584517</v>
      </c>
      <c r="P83" s="1">
        <v>2.1714338585908051</v>
      </c>
      <c r="Q83" s="1">
        <v>0.51086928754470962</v>
      </c>
      <c r="R83" s="1">
        <f>P83/Q83</f>
        <v>4.2504685866455976</v>
      </c>
    </row>
    <row r="84" spans="1:18" x14ac:dyDescent="0.35">
      <c r="A84" s="14">
        <v>2387</v>
      </c>
      <c r="B84" s="6">
        <v>0.5</v>
      </c>
      <c r="C84" s="6">
        <v>2000000</v>
      </c>
      <c r="D84" s="6">
        <v>10</v>
      </c>
      <c r="E84" s="6">
        <v>0.25</v>
      </c>
      <c r="F84" s="6">
        <v>1.4999999999999999E-2</v>
      </c>
      <c r="G84" s="11">
        <f>(C84*$V$4)/($V$5*$V$3)</f>
        <v>29.387755102040813</v>
      </c>
      <c r="H84" s="11">
        <f>G84*COS(RADIANS(D84))</f>
        <v>28.941289068113864</v>
      </c>
      <c r="I84" s="11">
        <f>G84*SIN(RADIANS(D84))</f>
        <v>5.1031301191914213</v>
      </c>
      <c r="J84" s="11">
        <v>0.23580000000000001</v>
      </c>
      <c r="K84" s="11">
        <v>49</v>
      </c>
      <c r="L84" s="11">
        <f>-(F84*G84*$V$3)/J84</f>
        <v>-1.8694500701043775</v>
      </c>
      <c r="M84" s="11">
        <f>ABS(L84/$V$6)</f>
        <v>5.4502917495754446E-3</v>
      </c>
      <c r="N84" s="11">
        <f>L84*SIN(RADIANS(K84))</f>
        <v>-1.4108918776559065</v>
      </c>
      <c r="O84" s="11">
        <f>L84*COS(RADIANS(K84))</f>
        <v>-1.2264695977389137</v>
      </c>
      <c r="P84" s="1">
        <v>3.6690556129075</v>
      </c>
      <c r="Q84" s="1">
        <v>0.45420023038232921</v>
      </c>
      <c r="R84" s="1">
        <f>P84/Q84</f>
        <v>8.0780575778638912</v>
      </c>
    </row>
    <row r="85" spans="1:18" x14ac:dyDescent="0.35">
      <c r="A85" s="14">
        <v>2388</v>
      </c>
      <c r="B85" s="6">
        <v>1</v>
      </c>
      <c r="C85" s="6">
        <v>2000000</v>
      </c>
      <c r="D85" s="6">
        <v>20</v>
      </c>
      <c r="E85" s="6">
        <v>0.375</v>
      </c>
      <c r="F85" s="6">
        <v>0.1</v>
      </c>
      <c r="G85" s="11">
        <f>(C85*$V$4)/($V$5*$V$3)</f>
        <v>29.387755102040813</v>
      </c>
      <c r="H85" s="11">
        <f>G85*COS(RADIANS(D85))</f>
        <v>27.615456610851183</v>
      </c>
      <c r="I85" s="11">
        <f>G85*SIN(RADIANS(D85))</f>
        <v>10.051204212019652</v>
      </c>
      <c r="J85" s="12">
        <v>0.33379999999999999</v>
      </c>
      <c r="K85" s="11">
        <v>49</v>
      </c>
      <c r="L85" s="11">
        <f>-(F85*G85*$V$3)/J85</f>
        <v>-8.8040009293112096</v>
      </c>
      <c r="M85" s="11">
        <f>ABS(L85/$V$6)</f>
        <v>2.566764119332714E-2</v>
      </c>
      <c r="N85" s="11">
        <f>L85*SIN(RADIANS(K85))</f>
        <v>-6.6444638456413578</v>
      </c>
      <c r="O85" s="11">
        <f>L85*COS(RADIANS(K85))</f>
        <v>-5.7759443009154356</v>
      </c>
      <c r="P85" s="1">
        <v>6.9487822544298288</v>
      </c>
      <c r="Q85" s="1">
        <v>0.6785780554619073</v>
      </c>
      <c r="R85" s="1">
        <f>P85/Q85</f>
        <v>10.240210685415992</v>
      </c>
    </row>
    <row r="86" spans="1:18" x14ac:dyDescent="0.35">
      <c r="A86" s="14">
        <v>2389</v>
      </c>
      <c r="B86" s="6">
        <v>0.5</v>
      </c>
      <c r="C86" s="6">
        <v>2000000</v>
      </c>
      <c r="D86" s="6">
        <v>5</v>
      </c>
      <c r="E86" s="6">
        <v>0.375</v>
      </c>
      <c r="F86" s="6">
        <v>3.5000000000000003E-2</v>
      </c>
      <c r="G86" s="11">
        <f>(C86*$V$4)/($V$5*$V$3)</f>
        <v>29.387755102040813</v>
      </c>
      <c r="H86" s="11">
        <f>G86*COS(RADIANS(D86))</f>
        <v>29.275925821471702</v>
      </c>
      <c r="I86" s="11">
        <f>G86*SIN(RADIANS(D86))</f>
        <v>2.5613116236046478</v>
      </c>
      <c r="J86" s="12">
        <v>0.24809999999999999</v>
      </c>
      <c r="K86" s="11">
        <v>67</v>
      </c>
      <c r="L86" s="11">
        <f>-(F86*G86*$V$3)/J86</f>
        <v>-4.1457937467610986</v>
      </c>
      <c r="M86" s="11">
        <f>ABS(L86/$V$6)</f>
        <v>1.2086862235455098E-2</v>
      </c>
      <c r="N86" s="11">
        <f>L86*SIN(RADIANS(K86))</f>
        <v>-3.8162232653063688</v>
      </c>
      <c r="O86" s="11">
        <f>L86*COS(RADIANS(K86))</f>
        <v>-1.6198906691557382</v>
      </c>
      <c r="P86" s="1">
        <v>3.1609699214995794</v>
      </c>
      <c r="Q86" s="1">
        <v>5.0650048973987276E-2</v>
      </c>
      <c r="R86" s="1">
        <f>P86/Q86</f>
        <v>62.408032875209706</v>
      </c>
    </row>
    <row r="87" spans="1:18" x14ac:dyDescent="0.35">
      <c r="A87" s="14">
        <v>2390</v>
      </c>
      <c r="B87" s="6">
        <v>0.75</v>
      </c>
      <c r="C87" s="6">
        <v>4000000</v>
      </c>
      <c r="D87" s="6">
        <v>0</v>
      </c>
      <c r="E87" s="6">
        <v>0.25</v>
      </c>
      <c r="F87" s="6">
        <v>0.1</v>
      </c>
      <c r="G87" s="11">
        <f>(C87*$V$4)/($V$5*$V$3)</f>
        <v>58.775510204081627</v>
      </c>
      <c r="H87" s="11">
        <f>G87*COS(RADIANS(D87))</f>
        <v>58.775510204081627</v>
      </c>
      <c r="I87" s="11">
        <f>G87*SIN(RADIANS(D87))</f>
        <v>0</v>
      </c>
      <c r="J87" s="12">
        <v>0.28370000000000001</v>
      </c>
      <c r="K87" s="11">
        <v>38</v>
      </c>
      <c r="L87" s="11">
        <f>-(F87*G87*$V$3)/J87</f>
        <v>-20.717486853747488</v>
      </c>
      <c r="M87" s="11">
        <f>ABS(L87/$V$6)</f>
        <v>6.0400836308301717E-2</v>
      </c>
      <c r="N87" s="11">
        <f>L87*SIN(RADIANS(K87))</f>
        <v>-12.754958521418109</v>
      </c>
      <c r="O87" s="11">
        <f>L87*COS(RADIANS(K87))</f>
        <v>-16.325602428458911</v>
      </c>
      <c r="P87" s="1">
        <v>4.2993611870476132</v>
      </c>
      <c r="Q87" s="1">
        <v>-0.23200068910677973</v>
      </c>
      <c r="R87" s="1">
        <f>P87/Q87</f>
        <v>-18.531674210108946</v>
      </c>
    </row>
    <row r="88" spans="1:18" x14ac:dyDescent="0.35">
      <c r="A88" s="14">
        <v>2391</v>
      </c>
      <c r="B88" s="6">
        <v>0.25</v>
      </c>
      <c r="C88" s="6">
        <v>2000000</v>
      </c>
      <c r="D88" s="6">
        <v>20</v>
      </c>
      <c r="E88" s="6">
        <v>0.375</v>
      </c>
      <c r="F88" s="6">
        <v>0.15</v>
      </c>
      <c r="G88" s="11">
        <f>(C88*$V$4)/($V$5*$V$3)</f>
        <v>29.387755102040813</v>
      </c>
      <c r="H88" s="11">
        <f>G88*COS(RADIANS(D88))</f>
        <v>27.615456610851183</v>
      </c>
      <c r="I88" s="11">
        <f>G88*SIN(RADIANS(D88))</f>
        <v>10.051204212019652</v>
      </c>
      <c r="J88" s="11">
        <v>0.1976</v>
      </c>
      <c r="K88" s="12">
        <v>78</v>
      </c>
      <c r="L88" s="11">
        <f>-(F88*G88*$V$3)/J88</f>
        <v>-22.308518549120052</v>
      </c>
      <c r="M88" s="11">
        <f>ABS(L88/$V$6)</f>
        <v>6.5039412679650299E-2</v>
      </c>
      <c r="N88" s="11">
        <f>L88*SIN(RADIANS(K88))</f>
        <v>-21.821023894747377</v>
      </c>
      <c r="O88" s="11">
        <f>L88*COS(RADIANS(K88))</f>
        <v>-4.6382018111869003</v>
      </c>
      <c r="P88" s="1">
        <v>3.0786372282956793</v>
      </c>
      <c r="Q88" s="1">
        <v>0.70953090682969744</v>
      </c>
      <c r="R88" s="1">
        <f>P88/Q88</f>
        <v>4.3389755099626939</v>
      </c>
    </row>
    <row r="89" spans="1:18" x14ac:dyDescent="0.35">
      <c r="A89" s="14">
        <v>2392</v>
      </c>
      <c r="B89" s="6">
        <v>0.25</v>
      </c>
      <c r="C89" s="6">
        <v>2000000</v>
      </c>
      <c r="D89" s="6">
        <v>20</v>
      </c>
      <c r="E89" s="6">
        <v>0.25</v>
      </c>
      <c r="F89" s="6">
        <v>2.5000000000000001E-2</v>
      </c>
      <c r="G89" s="11">
        <f>(C89*$V$4)/($V$5*$V$3)</f>
        <v>29.387755102040813</v>
      </c>
      <c r="H89" s="11">
        <f>G89*COS(RADIANS(D89))</f>
        <v>27.615456610851183</v>
      </c>
      <c r="I89" s="11">
        <f>G89*SIN(RADIANS(D89))</f>
        <v>10.051204212019652</v>
      </c>
      <c r="J89" s="12">
        <v>0.1913</v>
      </c>
      <c r="K89" s="11">
        <v>67</v>
      </c>
      <c r="L89" s="11">
        <f>-(F89*G89*$V$3)/J89</f>
        <v>-3.8405325538474666</v>
      </c>
      <c r="M89" s="11">
        <f>ABS(L89/$V$6)</f>
        <v>1.119688791209174E-2</v>
      </c>
      <c r="N89" s="11">
        <f>L89*SIN(RADIANS(K89))</f>
        <v>-3.5352288556586888</v>
      </c>
      <c r="O89" s="11">
        <f>L89*COS(RADIANS(K89))</f>
        <v>-1.5006156187646129</v>
      </c>
      <c r="P89" s="1">
        <v>2.1539593886807742</v>
      </c>
      <c r="Q89" s="1">
        <v>0.65517577367750213</v>
      </c>
      <c r="R89" s="1">
        <f>P89/Q89</f>
        <v>3.2876053651840613</v>
      </c>
    </row>
    <row r="90" spans="1:18" x14ac:dyDescent="0.35">
      <c r="A90" s="14">
        <v>2393</v>
      </c>
      <c r="B90" s="6">
        <v>0.5</v>
      </c>
      <c r="C90" s="6">
        <v>4000000</v>
      </c>
      <c r="D90" s="6">
        <v>10</v>
      </c>
      <c r="E90" s="6">
        <v>0</v>
      </c>
      <c r="F90" s="6">
        <v>0</v>
      </c>
      <c r="G90" s="11">
        <f>(C90*$V$4)/($V$5*$V$3)</f>
        <v>58.775510204081627</v>
      </c>
      <c r="H90" s="11">
        <f>G90*COS(RADIANS(D90))</f>
        <v>57.882578136227728</v>
      </c>
      <c r="I90" s="11">
        <f>G90*SIN(RADIANS(D90))</f>
        <v>10.206260238382843</v>
      </c>
      <c r="J90" s="12">
        <v>0.23230000000000001</v>
      </c>
      <c r="K90" s="11">
        <v>0</v>
      </c>
      <c r="L90" s="11">
        <f>-(F90*G90*$V$3)/J90</f>
        <v>0</v>
      </c>
      <c r="M90" s="11">
        <f>ABS(L90/$V$6)</f>
        <v>0</v>
      </c>
      <c r="N90" s="11">
        <f>L90*SIN(RADIANS(K90))</f>
        <v>0</v>
      </c>
      <c r="O90" s="11">
        <f>L90*COS(RADIANS(K90))</f>
        <v>0</v>
      </c>
      <c r="P90" s="1">
        <v>3.7130462560957032</v>
      </c>
      <c r="Q90" s="1">
        <v>0.88426724232692966</v>
      </c>
      <c r="R90" s="1">
        <f>P90/Q90</f>
        <v>4.1990091664199891</v>
      </c>
    </row>
    <row r="91" spans="1:18" x14ac:dyDescent="0.35">
      <c r="A91" s="14">
        <v>2394</v>
      </c>
      <c r="B91" s="6">
        <v>1</v>
      </c>
      <c r="C91" s="6">
        <v>4000000</v>
      </c>
      <c r="D91" s="6">
        <v>20</v>
      </c>
      <c r="E91" s="6">
        <v>0.25</v>
      </c>
      <c r="F91" s="6">
        <v>1.4999999999999999E-2</v>
      </c>
      <c r="G91" s="11">
        <f>(C91*$V$4)/($V$5*$V$3)</f>
        <v>58.775510204081627</v>
      </c>
      <c r="H91" s="11">
        <f>G91*COS(RADIANS(D91))</f>
        <v>55.230913221702366</v>
      </c>
      <c r="I91" s="11">
        <f>G91*SIN(RADIANS(D91))</f>
        <v>20.102408424039304</v>
      </c>
      <c r="J91" s="13">
        <v>0.33379999999999999</v>
      </c>
      <c r="K91" s="12">
        <v>30</v>
      </c>
      <c r="L91" s="11">
        <f>-(F91*G91*$V$3)/J91</f>
        <v>-2.6412002787933626</v>
      </c>
      <c r="M91" s="11">
        <f>ABS(L91/$V$6)</f>
        <v>7.7002923579981416E-3</v>
      </c>
      <c r="N91" s="11">
        <f>L91*SIN(RADIANS(K91))</f>
        <v>-1.3206001393966811</v>
      </c>
      <c r="O91" s="11">
        <f>L91*COS(RADIANS(K91))</f>
        <v>-2.2873465379175939</v>
      </c>
      <c r="P91" s="1">
        <v>3.3960449837770628</v>
      </c>
      <c r="Q91" s="1">
        <v>1.3898791354919522</v>
      </c>
      <c r="R91" s="1">
        <f>P91/Q91</f>
        <v>2.4434102916258409</v>
      </c>
    </row>
    <row r="92" spans="1:18" x14ac:dyDescent="0.35">
      <c r="A92" s="14">
        <v>2395</v>
      </c>
      <c r="B92" s="6">
        <v>0.25</v>
      </c>
      <c r="C92" s="6">
        <v>4000000</v>
      </c>
      <c r="D92" s="6">
        <v>0</v>
      </c>
      <c r="E92" s="6">
        <v>0.375</v>
      </c>
      <c r="F92" s="6">
        <v>1.4999999999999999E-2</v>
      </c>
      <c r="G92" s="11">
        <f>(C92*$V$4)/($V$5*$V$3)</f>
        <v>58.775510204081627</v>
      </c>
      <c r="H92" s="11">
        <f>G92*COS(RADIANS(D92))</f>
        <v>58.775510204081627</v>
      </c>
      <c r="I92" s="11">
        <f>G92*SIN(RADIANS(D92))</f>
        <v>0</v>
      </c>
      <c r="J92" s="11">
        <v>0.1976</v>
      </c>
      <c r="K92" s="12">
        <v>78</v>
      </c>
      <c r="L92" s="11">
        <f>-(F92*G92*$V$3)/J92</f>
        <v>-4.4617037098240102</v>
      </c>
      <c r="M92" s="11">
        <f>ABS(L92/$V$6)</f>
        <v>1.3007882535930059E-2</v>
      </c>
      <c r="N92" s="11">
        <f>L92*SIN(RADIANS(K92))</f>
        <v>-4.3642047789494747</v>
      </c>
      <c r="O92" s="11">
        <f>L92*COS(RADIANS(K92))</f>
        <v>-0.92764036223738</v>
      </c>
      <c r="P92" s="1">
        <v>2.1430187988821663</v>
      </c>
      <c r="Q92" s="1">
        <v>0.20940715170726651</v>
      </c>
      <c r="R92" s="1">
        <f>P92/Q92</f>
        <v>10.23374216883445</v>
      </c>
    </row>
    <row r="93" spans="1:18" x14ac:dyDescent="0.35">
      <c r="A93" s="14">
        <v>2396</v>
      </c>
      <c r="B93" s="6">
        <v>0.1</v>
      </c>
      <c r="C93" s="6">
        <v>4000000</v>
      </c>
      <c r="D93" s="6">
        <v>30</v>
      </c>
      <c r="E93" s="6">
        <v>0.375</v>
      </c>
      <c r="F93" s="6">
        <v>0.05</v>
      </c>
      <c r="G93" s="11">
        <f>(C93*$V$4)/($V$5*$V$3)</f>
        <v>58.775510204081627</v>
      </c>
      <c r="H93" s="11">
        <f>G93*COS(RADIANS(D93))</f>
        <v>50.901084957126187</v>
      </c>
      <c r="I93" s="11">
        <f>G93*SIN(RADIANS(D93))</f>
        <v>29.38775510204081</v>
      </c>
      <c r="J93" s="12">
        <v>0.16789999999999999</v>
      </c>
      <c r="K93" s="11">
        <v>85</v>
      </c>
      <c r="L93" s="11">
        <f>-(F93*G93*$V$3)/J93</f>
        <v>-17.503129899964751</v>
      </c>
      <c r="M93" s="11">
        <f>ABS(L93/$V$6)</f>
        <v>5.1029533236048835E-2</v>
      </c>
      <c r="N93" s="11">
        <f>L93*SIN(RADIANS(K93))</f>
        <v>-17.436525206355988</v>
      </c>
      <c r="O93" s="11">
        <f>L93*COS(RADIANS(K93))</f>
        <v>-1.5254982868401712</v>
      </c>
      <c r="P93" s="1">
        <v>1.5278116565247815</v>
      </c>
      <c r="Q93" s="1">
        <v>1.1236179217952726</v>
      </c>
      <c r="R93" s="1">
        <f>P93/Q93</f>
        <v>1.3597252472474841</v>
      </c>
    </row>
    <row r="94" spans="1:18" x14ac:dyDescent="0.35">
      <c r="A94" s="14">
        <v>2397</v>
      </c>
      <c r="B94" s="6">
        <v>0.25</v>
      </c>
      <c r="C94" s="6">
        <v>2000000</v>
      </c>
      <c r="D94" s="6">
        <v>0</v>
      </c>
      <c r="E94" s="6">
        <v>0.25</v>
      </c>
      <c r="F94" s="6">
        <v>3.5000000000000003E-2</v>
      </c>
      <c r="G94" s="11">
        <f>(C94*$V$4)/($V$5*$V$3)</f>
        <v>29.387755102040813</v>
      </c>
      <c r="H94" s="11">
        <f>G94*COS(RADIANS(D94))</f>
        <v>29.387755102040813</v>
      </c>
      <c r="I94" s="11">
        <f>G94*SIN(RADIANS(D94))</f>
        <v>0</v>
      </c>
      <c r="J94" s="12">
        <v>0.1913</v>
      </c>
      <c r="K94" s="11">
        <v>67</v>
      </c>
      <c r="L94" s="11">
        <f>-(F94*G94*$V$3)/J94</f>
        <v>-5.3767455753864528</v>
      </c>
      <c r="M94" s="11">
        <f>ABS(L94/$V$6)</f>
        <v>1.5675643076928435E-2</v>
      </c>
      <c r="N94" s="11">
        <f>L94*SIN(RADIANS(K94))</f>
        <v>-4.9493203979221638</v>
      </c>
      <c r="O94" s="11">
        <f>L94*COS(RADIANS(K94))</f>
        <v>-2.1008618662704581</v>
      </c>
      <c r="P94" s="1">
        <v>1.9564777925819683</v>
      </c>
      <c r="Q94" s="1">
        <v>0.13633368864057846</v>
      </c>
      <c r="R94" s="1">
        <f>P94/Q94</f>
        <v>14.350655454939703</v>
      </c>
    </row>
    <row r="95" spans="1:18" x14ac:dyDescent="0.35">
      <c r="A95" s="14">
        <v>2398</v>
      </c>
      <c r="B95" s="6">
        <v>0.75</v>
      </c>
      <c r="C95" s="6">
        <v>2000000</v>
      </c>
      <c r="D95" s="6">
        <v>5</v>
      </c>
      <c r="E95" s="6">
        <v>0</v>
      </c>
      <c r="F95" s="6">
        <v>2.5000000000000001E-2</v>
      </c>
      <c r="G95" s="11">
        <f>(C95*$V$4)/($V$5*$V$3)</f>
        <v>29.387755102040813</v>
      </c>
      <c r="H95" s="11">
        <f>G95*COS(RADIANS(D95))</f>
        <v>29.275925821471702</v>
      </c>
      <c r="I95" s="11">
        <f>G95*SIN(RADIANS(D95))</f>
        <v>2.5613116236046478</v>
      </c>
      <c r="J95" s="11">
        <v>0.27929999999999999</v>
      </c>
      <c r="K95" s="11">
        <v>0</v>
      </c>
      <c r="L95" s="11">
        <f>-(F95*G95*$V$3)/J95</f>
        <v>-2.630482912821412</v>
      </c>
      <c r="M95" s="11">
        <f>ABS(L95/$V$6)</f>
        <v>7.6690463930653412E-3</v>
      </c>
      <c r="N95" s="11">
        <f>L95*SIN(RADIANS(K95))</f>
        <v>0</v>
      </c>
      <c r="O95" s="11">
        <f>L95*COS(RADIANS(K95))</f>
        <v>-2.630482912821412</v>
      </c>
      <c r="P95" s="1">
        <v>2.566696682109332</v>
      </c>
      <c r="Q95" s="1">
        <v>1.0302923806794966</v>
      </c>
      <c r="R95" s="1">
        <f>P95/Q95</f>
        <v>2.491231353585813</v>
      </c>
    </row>
    <row r="96" spans="1:18" x14ac:dyDescent="0.35">
      <c r="A96" s="14">
        <v>2725</v>
      </c>
      <c r="B96" s="6">
        <v>0.25</v>
      </c>
      <c r="C96" s="6">
        <v>6000000</v>
      </c>
      <c r="D96" s="6">
        <v>30</v>
      </c>
      <c r="E96" s="6">
        <v>0</v>
      </c>
      <c r="F96" s="6">
        <v>0.15</v>
      </c>
      <c r="G96" s="11">
        <f>(C96*$V$4)/($V$5*$V$3)</f>
        <v>88.16326530612244</v>
      </c>
      <c r="H96" s="11">
        <f>G96*COS(RADIANS(D96))</f>
        <v>76.351627435689281</v>
      </c>
      <c r="I96" s="11">
        <f>G96*SIN(RADIANS(D96))</f>
        <v>44.081632653061213</v>
      </c>
      <c r="J96" s="12">
        <v>0.18990000000000001</v>
      </c>
      <c r="K96" s="11">
        <v>0</v>
      </c>
      <c r="L96" s="11">
        <f>-(F96*G96*$V$3)/J96</f>
        <v>-69.639230099622779</v>
      </c>
      <c r="M96" s="11">
        <f>ABS(L96/$V$6)</f>
        <v>0.20302982536333172</v>
      </c>
      <c r="N96" s="11">
        <f>L96*SIN(RADIANS(K96))</f>
        <v>0</v>
      </c>
      <c r="O96" s="11">
        <f>L96*COS(RADIANS(K96))</f>
        <v>-69.639230099622779</v>
      </c>
      <c r="P96" s="1">
        <v>2.644045290712381</v>
      </c>
      <c r="Q96" s="1">
        <v>0.81982917282796419</v>
      </c>
      <c r="R96" s="1">
        <f>P96/Q96</f>
        <v>3.2251173516939691</v>
      </c>
    </row>
    <row r="97" spans="1:18" x14ac:dyDescent="0.35">
      <c r="A97" s="14">
        <v>2602</v>
      </c>
      <c r="B97" s="6">
        <v>0.25</v>
      </c>
      <c r="C97" s="6">
        <v>6000000</v>
      </c>
      <c r="D97" s="6">
        <v>15</v>
      </c>
      <c r="E97" s="6">
        <v>0.125</v>
      </c>
      <c r="F97" s="6">
        <v>0.15</v>
      </c>
      <c r="G97" s="11">
        <f>(C97*$V$4)/($V$5*$V$3)</f>
        <v>88.16326530612244</v>
      </c>
      <c r="H97" s="11">
        <f>G97*COS(RADIANS(D97))</f>
        <v>85.159174889158663</v>
      </c>
      <c r="I97" s="11">
        <f>G97*SIN(RADIANS(D97))</f>
        <v>22.818332139650806</v>
      </c>
      <c r="J97" s="20">
        <v>0.19020000000000001</v>
      </c>
      <c r="K97" s="11">
        <v>46</v>
      </c>
      <c r="L97" s="11">
        <f>-(F97*G97*$V$3)/J97</f>
        <v>-69.529389042683306</v>
      </c>
      <c r="M97" s="11">
        <f>ABS(L97/$V$6)</f>
        <v>0.20270958904572392</v>
      </c>
      <c r="N97" s="11">
        <f>L97*SIN(RADIANS(K97))</f>
        <v>-50.0152568316322</v>
      </c>
      <c r="O97" s="11">
        <f>L97*COS(RADIANS(K97))</f>
        <v>-48.299172091400045</v>
      </c>
      <c r="P97" s="1">
        <v>2.7495144635243709</v>
      </c>
      <c r="Q97" s="1">
        <v>0.50555266524343223</v>
      </c>
      <c r="R97" s="1">
        <f>P97/Q97</f>
        <v>5.438631130943465</v>
      </c>
    </row>
    <row r="98" spans="1:18" x14ac:dyDescent="0.35">
      <c r="A98" s="14">
        <v>2401</v>
      </c>
      <c r="B98" s="6">
        <v>0.1</v>
      </c>
      <c r="C98" s="6">
        <v>2000000</v>
      </c>
      <c r="D98" s="6">
        <v>10</v>
      </c>
      <c r="E98" s="6">
        <v>0.125</v>
      </c>
      <c r="F98" s="6">
        <v>0.15</v>
      </c>
      <c r="G98" s="11">
        <f>(C98*$V$4)/($V$5*$V$3)</f>
        <v>29.387755102040813</v>
      </c>
      <c r="H98" s="11">
        <f>G98*COS(RADIANS(D98))</f>
        <v>28.941289068113864</v>
      </c>
      <c r="I98" s="11">
        <f>G98*SIN(RADIANS(D98))</f>
        <v>5.1031301191914213</v>
      </c>
      <c r="J98" s="12">
        <v>0.1658</v>
      </c>
      <c r="K98" s="11">
        <v>69</v>
      </c>
      <c r="L98" s="11">
        <f>-(F98*G98*$V$3)/J98</f>
        <v>-26.587233204500134</v>
      </c>
      <c r="M98" s="11">
        <f>ABS(L98/$V$6)</f>
        <v>7.7513799430029548E-2</v>
      </c>
      <c r="N98" s="11">
        <f>L98*SIN(RADIANS(K98))</f>
        <v>-24.821320514437797</v>
      </c>
      <c r="O98" s="11">
        <f>L98*COS(RADIANS(K98))</f>
        <v>-9.5280122475794382</v>
      </c>
      <c r="P98" s="1">
        <v>1.7516926576149987</v>
      </c>
      <c r="Q98" s="1">
        <v>0.47418782897962214</v>
      </c>
      <c r="R98" s="1">
        <f>P98/Q98</f>
        <v>3.6940902962110322</v>
      </c>
    </row>
    <row r="99" spans="1:18" x14ac:dyDescent="0.35">
      <c r="A99" s="14">
        <v>2402</v>
      </c>
      <c r="B99" s="6">
        <v>1</v>
      </c>
      <c r="C99" s="6">
        <v>2000000</v>
      </c>
      <c r="D99" s="6">
        <v>15</v>
      </c>
      <c r="E99" s="6">
        <v>0.375</v>
      </c>
      <c r="F99" s="6">
        <v>2.5000000000000001E-2</v>
      </c>
      <c r="G99" s="11">
        <f>(C99*$V$4)/($V$5*$V$3)</f>
        <v>29.387755102040813</v>
      </c>
      <c r="H99" s="11">
        <f>G99*COS(RADIANS(D99))</f>
        <v>28.386391629719554</v>
      </c>
      <c r="I99" s="11">
        <f>G99*SIN(RADIANS(D99))</f>
        <v>7.6061107132169354</v>
      </c>
      <c r="J99" s="12">
        <v>0.33379999999999999</v>
      </c>
      <c r="K99" s="11">
        <v>49</v>
      </c>
      <c r="L99" s="11">
        <f>-(F99*G99*$V$3)/J99</f>
        <v>-2.2010002323278024</v>
      </c>
      <c r="M99" s="11">
        <f>ABS(L99/$V$6)</f>
        <v>6.4169102983317851E-3</v>
      </c>
      <c r="N99" s="11">
        <f>L99*SIN(RADIANS(K99))</f>
        <v>-1.6611159614103395</v>
      </c>
      <c r="O99" s="11">
        <f>L99*COS(RADIANS(K99))</f>
        <v>-1.4439860752288589</v>
      </c>
      <c r="P99" s="1">
        <v>5.2155281036330319</v>
      </c>
      <c r="Q99" s="1">
        <v>0.48901944664627556</v>
      </c>
      <c r="R99" s="1">
        <f>P99/Q99</f>
        <v>10.665277504609344</v>
      </c>
    </row>
    <row r="100" spans="1:18" x14ac:dyDescent="0.35">
      <c r="A100" s="14">
        <v>2403</v>
      </c>
      <c r="B100" s="6">
        <v>0.5</v>
      </c>
      <c r="C100" s="6">
        <v>6000000</v>
      </c>
      <c r="D100" s="6">
        <v>5</v>
      </c>
      <c r="E100" s="6">
        <v>0.375</v>
      </c>
      <c r="F100" s="6">
        <v>3.5000000000000003E-2</v>
      </c>
      <c r="G100" s="11">
        <f>(C100*$V$4)/($V$5*$V$3)</f>
        <v>88.16326530612244</v>
      </c>
      <c r="H100" s="11">
        <f>G100*COS(RADIANS(D100))</f>
        <v>87.827777464415107</v>
      </c>
      <c r="I100" s="11">
        <f>G100*SIN(RADIANS(D100))</f>
        <v>7.6839348708139434</v>
      </c>
      <c r="J100" s="12">
        <v>0.24809999999999999</v>
      </c>
      <c r="K100" s="11">
        <v>67</v>
      </c>
      <c r="L100" s="11">
        <f>-(F100*G100*$V$3)/J100</f>
        <v>-12.437381240283298</v>
      </c>
      <c r="M100" s="11">
        <f>ABS(L100/$V$6)</f>
        <v>3.6260586706365297E-2</v>
      </c>
      <c r="N100" s="11">
        <f>L100*SIN(RADIANS(K100))</f>
        <v>-11.448669795919107</v>
      </c>
      <c r="O100" s="11">
        <f>L100*COS(RADIANS(K100))</f>
        <v>-4.8596720074672159</v>
      </c>
      <c r="P100" s="1">
        <v>3.1540927075717811</v>
      </c>
      <c r="Q100" s="1">
        <v>5.6965789232879122E-2</v>
      </c>
      <c r="R100" s="1">
        <f>P100/Q100</f>
        <v>55.368191155531704</v>
      </c>
    </row>
    <row r="101" spans="1:18" x14ac:dyDescent="0.35">
      <c r="A101" s="14">
        <v>2404</v>
      </c>
      <c r="B101" s="6">
        <v>0.5</v>
      </c>
      <c r="C101" s="6">
        <v>4000000</v>
      </c>
      <c r="D101" s="6">
        <v>10</v>
      </c>
      <c r="E101" s="6">
        <v>0.125</v>
      </c>
      <c r="F101" s="6">
        <v>0</v>
      </c>
      <c r="G101" s="11">
        <f>(C101*$V$4)/($V$5*$V$3)</f>
        <v>58.775510204081627</v>
      </c>
      <c r="H101" s="11">
        <f>G101*COS(RADIANS(D101))</f>
        <v>57.882578136227728</v>
      </c>
      <c r="I101" s="11">
        <f>G101*SIN(RADIANS(D101))</f>
        <v>10.206260238382843</v>
      </c>
      <c r="J101" s="12">
        <v>0.23300000000000001</v>
      </c>
      <c r="K101" s="11">
        <v>27</v>
      </c>
      <c r="L101" s="11">
        <f>-(F101*G101*$V$3)/J101</f>
        <v>0</v>
      </c>
      <c r="M101" s="11">
        <f>ABS(L101/$V$6)</f>
        <v>0</v>
      </c>
      <c r="N101" s="11">
        <f>L101*SIN(RADIANS(K101))</f>
        <v>0</v>
      </c>
      <c r="O101" s="11">
        <f>L101*COS(RADIANS(K101))</f>
        <v>0</v>
      </c>
      <c r="P101" s="1">
        <v>3.9991296813478172</v>
      </c>
      <c r="Q101" s="1">
        <v>0.91530903765967742</v>
      </c>
      <c r="R101" s="1">
        <f>P101/Q101</f>
        <v>4.3691578656024808</v>
      </c>
    </row>
    <row r="102" spans="1:18" x14ac:dyDescent="0.35">
      <c r="A102" s="14">
        <v>2405</v>
      </c>
      <c r="B102" s="6">
        <v>0.75</v>
      </c>
      <c r="C102" s="6">
        <v>6000000</v>
      </c>
      <c r="D102" s="6">
        <v>20</v>
      </c>
      <c r="E102" s="6">
        <v>0.375</v>
      </c>
      <c r="F102" s="6">
        <v>2.5000000000000001E-2</v>
      </c>
      <c r="G102" s="11">
        <f>(C102*$V$4)/($V$5*$V$3)</f>
        <v>88.16326530612244</v>
      </c>
      <c r="H102" s="11">
        <f>G102*COS(RADIANS(D102))</f>
        <v>82.846369832553549</v>
      </c>
      <c r="I102" s="11">
        <f>G102*SIN(RADIANS(D102))</f>
        <v>30.153612636058952</v>
      </c>
      <c r="J102" s="11">
        <v>0.29299999999999998</v>
      </c>
      <c r="K102" s="12">
        <v>57</v>
      </c>
      <c r="L102" s="11">
        <f>-(F102*G102*$V$3)/J102</f>
        <v>-7.5224629100787066</v>
      </c>
      <c r="M102" s="11">
        <f>ABS(L102/$V$6)</f>
        <v>2.1931378746585149E-2</v>
      </c>
      <c r="N102" s="11">
        <f>L102*SIN(RADIANS(K102))</f>
        <v>-6.3088682411440962</v>
      </c>
      <c r="O102" s="11">
        <f>L102*COS(RADIANS(K102))</f>
        <v>-4.0970269402815989</v>
      </c>
      <c r="P102" s="1">
        <v>4.3375897582021343</v>
      </c>
      <c r="Q102" s="1">
        <v>0.70481919702096585</v>
      </c>
      <c r="R102" s="1">
        <f>P102/Q102</f>
        <v>6.1541878775942402</v>
      </c>
    </row>
    <row r="103" spans="1:18" x14ac:dyDescent="0.35">
      <c r="A103" s="14">
        <v>2733</v>
      </c>
      <c r="B103" s="6">
        <v>0.25</v>
      </c>
      <c r="C103" s="6">
        <v>6000000</v>
      </c>
      <c r="D103" s="6">
        <v>5</v>
      </c>
      <c r="E103" s="6">
        <v>0.125</v>
      </c>
      <c r="F103" s="6">
        <v>0.15</v>
      </c>
      <c r="G103" s="11">
        <f>(C103*$V$4)/($V$5*$V$3)</f>
        <v>88.16326530612244</v>
      </c>
      <c r="H103" s="11">
        <f>G103*COS(RADIANS(D103))</f>
        <v>87.827777464415107</v>
      </c>
      <c r="I103" s="11">
        <f>G103*SIN(RADIANS(D103))</f>
        <v>7.6839348708139434</v>
      </c>
      <c r="J103" s="20">
        <v>0.19020000000000001</v>
      </c>
      <c r="K103" s="11">
        <v>46</v>
      </c>
      <c r="L103" s="11">
        <f>-(F103*G103*$V$3)/J103</f>
        <v>-69.529389042683306</v>
      </c>
      <c r="M103" s="11">
        <f>ABS(L103/$V$6)</f>
        <v>0.20270958904572392</v>
      </c>
      <c r="N103" s="11">
        <f>L103*SIN(RADIANS(K103))</f>
        <v>-50.0152568316322</v>
      </c>
      <c r="O103" s="11">
        <f>L103*COS(RADIANS(K103))</f>
        <v>-48.299172091400045</v>
      </c>
      <c r="P103" s="1">
        <v>2.621969037714027</v>
      </c>
      <c r="Q103" s="1">
        <v>0.19531017812782878</v>
      </c>
      <c r="R103" s="1">
        <f>P103/Q103</f>
        <v>13.424641065034367</v>
      </c>
    </row>
    <row r="104" spans="1:18" x14ac:dyDescent="0.35">
      <c r="A104" s="14">
        <v>2407</v>
      </c>
      <c r="B104" s="6">
        <v>0.25</v>
      </c>
      <c r="C104" s="6">
        <v>2000000</v>
      </c>
      <c r="D104" s="6">
        <v>10</v>
      </c>
      <c r="E104" s="6">
        <v>0.125</v>
      </c>
      <c r="F104" s="6">
        <v>0.15</v>
      </c>
      <c r="G104" s="11">
        <f>(C104*$V$4)/($V$5*$V$3)</f>
        <v>29.387755102040813</v>
      </c>
      <c r="H104" s="11">
        <f>G104*COS(RADIANS(D104))</f>
        <v>28.941289068113864</v>
      </c>
      <c r="I104" s="11">
        <f>G104*SIN(RADIANS(D104))</f>
        <v>5.1031301191914213</v>
      </c>
      <c r="J104" s="11">
        <v>0.19020000000000001</v>
      </c>
      <c r="K104" s="11">
        <v>46</v>
      </c>
      <c r="L104" s="11">
        <f>-(F104*G104*$V$3)/J104</f>
        <v>-23.176463014227771</v>
      </c>
      <c r="M104" s="11">
        <f>ABS(L104/$V$6)</f>
        <v>6.7569863015241316E-2</v>
      </c>
      <c r="N104" s="11">
        <f>L104*SIN(RADIANS(K104))</f>
        <v>-16.671752277210736</v>
      </c>
      <c r="O104" s="11">
        <f>L104*COS(RADIANS(K104))</f>
        <v>-16.099724030466682</v>
      </c>
      <c r="P104" s="1">
        <v>2.690463658396808</v>
      </c>
      <c r="Q104" s="1">
        <v>0.34945020287893552</v>
      </c>
      <c r="R104" s="1">
        <f>P104/Q104</f>
        <v>7.6991331990409506</v>
      </c>
    </row>
    <row r="105" spans="1:18" x14ac:dyDescent="0.35">
      <c r="A105" s="14">
        <v>2408</v>
      </c>
      <c r="B105" s="6">
        <v>0.25</v>
      </c>
      <c r="C105" s="6">
        <v>4000000</v>
      </c>
      <c r="D105" s="6">
        <v>0</v>
      </c>
      <c r="E105" s="6">
        <v>0</v>
      </c>
      <c r="F105" s="6">
        <v>2.5000000000000001E-2</v>
      </c>
      <c r="G105" s="11">
        <f>(C105*$V$4)/($V$5*$V$3)</f>
        <v>58.775510204081627</v>
      </c>
      <c r="H105" s="11">
        <f>G105*COS(RADIANS(D105))</f>
        <v>58.775510204081627</v>
      </c>
      <c r="I105" s="11">
        <f>G105*SIN(RADIANS(D105))</f>
        <v>0</v>
      </c>
      <c r="J105" s="12">
        <v>0.18990000000000001</v>
      </c>
      <c r="K105" s="11">
        <v>0</v>
      </c>
      <c r="L105" s="11">
        <f>-(F105*G105*$V$3)/J105</f>
        <v>-7.73769223329142</v>
      </c>
      <c r="M105" s="11">
        <f>ABS(L105/$V$6)</f>
        <v>2.2558869484814635E-2</v>
      </c>
      <c r="N105" s="11">
        <f>L105*SIN(RADIANS(K105))</f>
        <v>0</v>
      </c>
      <c r="O105" s="11">
        <f>L105*COS(RADIANS(K105))</f>
        <v>-7.73769223329142</v>
      </c>
      <c r="P105" s="1">
        <v>1.9443251468641611</v>
      </c>
      <c r="Q105" s="1">
        <v>0.21380575896338819</v>
      </c>
      <c r="R105" s="1">
        <f>P105/Q105</f>
        <v>9.0938857600982796</v>
      </c>
    </row>
    <row r="106" spans="1:18" x14ac:dyDescent="0.35">
      <c r="A106" s="14">
        <v>2409</v>
      </c>
      <c r="B106" s="6">
        <v>0.75</v>
      </c>
      <c r="C106" s="6">
        <v>6000000</v>
      </c>
      <c r="D106" s="6">
        <v>20</v>
      </c>
      <c r="E106" s="6">
        <v>0.125</v>
      </c>
      <c r="F106" s="6">
        <v>0.05</v>
      </c>
      <c r="G106" s="11">
        <f>(C106*$V$4)/($V$5*$V$3)</f>
        <v>88.16326530612244</v>
      </c>
      <c r="H106" s="11">
        <f>G106*COS(RADIANS(D106))</f>
        <v>82.846369832553549</v>
      </c>
      <c r="I106" s="11">
        <f>G106*SIN(RADIANS(D106))</f>
        <v>30.153612636058952</v>
      </c>
      <c r="J106" s="12">
        <v>0.2802</v>
      </c>
      <c r="K106" s="11">
        <v>19</v>
      </c>
      <c r="L106" s="11">
        <f>-(F106*G106*$V$3)/J106</f>
        <v>-15.732202945417994</v>
      </c>
      <c r="M106" s="11">
        <f>ABS(L106/$V$6)</f>
        <v>4.5866480890431466E-2</v>
      </c>
      <c r="N106" s="11">
        <f>L106*SIN(RADIANS(K106))</f>
        <v>-5.1219042784851814</v>
      </c>
      <c r="O106" s="11">
        <f>L106*COS(RADIANS(K106))</f>
        <v>-14.875090119990999</v>
      </c>
      <c r="P106" s="1">
        <v>4.5989771078553989</v>
      </c>
      <c r="Q106" s="1">
        <v>0.95612815229723891</v>
      </c>
      <c r="R106" s="1">
        <f>P106/Q106</f>
        <v>4.8100007272097134</v>
      </c>
    </row>
    <row r="107" spans="1:18" x14ac:dyDescent="0.35">
      <c r="A107" s="14">
        <v>2410</v>
      </c>
      <c r="B107" s="6">
        <v>0.5</v>
      </c>
      <c r="C107" s="6">
        <v>4000000</v>
      </c>
      <c r="D107" s="6">
        <v>0</v>
      </c>
      <c r="E107" s="6">
        <v>0.125</v>
      </c>
      <c r="F107" s="6">
        <v>3.5000000000000003E-2</v>
      </c>
      <c r="G107" s="11">
        <f>(C107*$V$4)/($V$5*$V$3)</f>
        <v>58.775510204081627</v>
      </c>
      <c r="H107" s="11">
        <f>G107*COS(RADIANS(D107))</f>
        <v>58.775510204081627</v>
      </c>
      <c r="I107" s="11">
        <f>G107*SIN(RADIANS(D107))</f>
        <v>0</v>
      </c>
      <c r="J107" s="12">
        <v>0.23300000000000001</v>
      </c>
      <c r="K107" s="11">
        <v>27</v>
      </c>
      <c r="L107" s="11">
        <f>-(F107*G107*$V$3)/J107</f>
        <v>-8.8289393010423041</v>
      </c>
      <c r="M107" s="11">
        <f>ABS(L107/$V$6)</f>
        <v>2.5740347816449866E-2</v>
      </c>
      <c r="N107" s="11">
        <f>L107*SIN(RADIANS(K107))</f>
        <v>-4.0082545654503203</v>
      </c>
      <c r="O107" s="11">
        <f>L107*COS(RADIANS(K107))</f>
        <v>-7.8666425188917817</v>
      </c>
      <c r="P107" s="1">
        <v>4.1807359469326189</v>
      </c>
      <c r="Q107" s="1">
        <v>8.6709425573340423E-2</v>
      </c>
      <c r="R107" s="1">
        <f>P107/Q107</f>
        <v>48.215472761914164</v>
      </c>
    </row>
    <row r="108" spans="1:18" x14ac:dyDescent="0.35">
      <c r="A108" s="14">
        <v>2411</v>
      </c>
      <c r="B108" s="6">
        <v>0.1</v>
      </c>
      <c r="C108" s="6">
        <v>4000000</v>
      </c>
      <c r="D108" s="6">
        <v>10</v>
      </c>
      <c r="E108" s="6">
        <v>0</v>
      </c>
      <c r="F108" s="6">
        <v>1.4999999999999999E-2</v>
      </c>
      <c r="G108" s="11">
        <f>(C108*$V$4)/($V$5*$V$3)</f>
        <v>58.775510204081627</v>
      </c>
      <c r="H108" s="11">
        <f>G108*COS(RADIANS(D108))</f>
        <v>57.882578136227728</v>
      </c>
      <c r="I108" s="11">
        <f>G108*SIN(RADIANS(D108))</f>
        <v>10.206260238382843</v>
      </c>
      <c r="J108" s="11">
        <v>0.16569999999999999</v>
      </c>
      <c r="K108" s="12">
        <v>0</v>
      </c>
      <c r="L108" s="11">
        <f>-(F108*G108*$V$3)/J108</f>
        <v>-5.3206557215523507</v>
      </c>
      <c r="M108" s="11">
        <f>ABS(L108/$V$6)</f>
        <v>1.5512115806275074E-2</v>
      </c>
      <c r="N108" s="11">
        <f>L108*SIN(RADIANS(K108))</f>
        <v>0</v>
      </c>
      <c r="O108" s="11">
        <f>L108*COS(RADIANS(K108))</f>
        <v>-5.3206557215523507</v>
      </c>
      <c r="P108" s="1">
        <v>1.1674450309087343</v>
      </c>
      <c r="Q108" s="1">
        <v>0.40225634682747274</v>
      </c>
      <c r="R108" s="1">
        <f>P108/Q108</f>
        <v>2.9022414192247661</v>
      </c>
    </row>
    <row r="109" spans="1:18" x14ac:dyDescent="0.35">
      <c r="A109" s="14">
        <v>2412</v>
      </c>
      <c r="B109" s="6">
        <v>0.75</v>
      </c>
      <c r="C109" s="6">
        <v>4000000</v>
      </c>
      <c r="D109" s="6">
        <v>30</v>
      </c>
      <c r="E109" s="6">
        <v>0.375</v>
      </c>
      <c r="F109" s="6">
        <v>3.5000000000000003E-2</v>
      </c>
      <c r="G109" s="11">
        <f>(C109*$V$4)/($V$5*$V$3)</f>
        <v>58.775510204081627</v>
      </c>
      <c r="H109" s="11">
        <f>G109*COS(RADIANS(D109))</f>
        <v>50.901084957126187</v>
      </c>
      <c r="I109" s="11">
        <f>G109*SIN(RADIANS(D109))</f>
        <v>29.38775510204081</v>
      </c>
      <c r="J109" s="11">
        <v>0.29299999999999998</v>
      </c>
      <c r="K109" s="12">
        <v>57</v>
      </c>
      <c r="L109" s="11">
        <f>-(F109*G109*$V$3)/J109</f>
        <v>-7.0209653827401262</v>
      </c>
      <c r="M109" s="11">
        <f>ABS(L109/$V$6)</f>
        <v>2.0469286830146139E-2</v>
      </c>
      <c r="N109" s="11">
        <f>L109*SIN(RADIANS(K109))</f>
        <v>-5.8882770250678229</v>
      </c>
      <c r="O109" s="11">
        <f>L109*COS(RADIANS(K109))</f>
        <v>-3.8238918109294926</v>
      </c>
      <c r="P109" s="1">
        <v>4.3500852101743082</v>
      </c>
      <c r="Q109" s="1">
        <v>1.3366930100503145</v>
      </c>
      <c r="R109" s="1">
        <f>P109/Q109</f>
        <v>3.2543637001667021</v>
      </c>
    </row>
    <row r="110" spans="1:18" x14ac:dyDescent="0.35">
      <c r="A110" s="14">
        <v>2413</v>
      </c>
      <c r="B110" s="6">
        <v>1</v>
      </c>
      <c r="C110" s="6">
        <v>6000000</v>
      </c>
      <c r="D110" s="6">
        <v>5</v>
      </c>
      <c r="E110" s="6">
        <v>0.25</v>
      </c>
      <c r="F110" s="6">
        <v>3.5000000000000003E-2</v>
      </c>
      <c r="G110" s="11">
        <f>(C110*$V$4)/($V$5*$V$3)</f>
        <v>88.16326530612244</v>
      </c>
      <c r="H110" s="11">
        <f>G110*COS(RADIANS(D110))</f>
        <v>87.827777464415107</v>
      </c>
      <c r="I110" s="11">
        <f>G110*SIN(RADIANS(D110))</f>
        <v>7.6839348708139434</v>
      </c>
      <c r="J110" s="13">
        <v>0.33379999999999999</v>
      </c>
      <c r="K110" s="12">
        <v>30</v>
      </c>
      <c r="L110" s="11">
        <f>-(F110*G110*$V$3)/J110</f>
        <v>-9.2442009757767707</v>
      </c>
      <c r="M110" s="11">
        <f>ABS(L110/$V$6)</f>
        <v>2.6951023252993502E-2</v>
      </c>
      <c r="N110" s="11">
        <f>L110*SIN(RADIANS(K110))</f>
        <v>-4.6221004878883845</v>
      </c>
      <c r="O110" s="11">
        <f>L110*COS(RADIANS(K110))</f>
        <v>-8.0057128827115793</v>
      </c>
      <c r="P110" s="1">
        <v>3.5926259738097515</v>
      </c>
      <c r="Q110" s="1">
        <v>0.58972036861010779</v>
      </c>
      <c r="R110" s="1">
        <f>P110/Q110</f>
        <v>6.092083918140883</v>
      </c>
    </row>
    <row r="111" spans="1:18" x14ac:dyDescent="0.35">
      <c r="A111" s="14">
        <v>2414</v>
      </c>
      <c r="B111" s="6">
        <v>0.5</v>
      </c>
      <c r="C111" s="6">
        <v>2000000</v>
      </c>
      <c r="D111" s="6">
        <v>15</v>
      </c>
      <c r="E111" s="6">
        <v>0.125</v>
      </c>
      <c r="F111" s="6">
        <v>1.4999999999999999E-2</v>
      </c>
      <c r="G111" s="11">
        <f>(C111*$V$4)/($V$5*$V$3)</f>
        <v>29.387755102040813</v>
      </c>
      <c r="H111" s="11">
        <f>G111*COS(RADIANS(D111))</f>
        <v>28.386391629719554</v>
      </c>
      <c r="I111" s="11">
        <f>G111*SIN(RADIANS(D111))</f>
        <v>7.6061107132169354</v>
      </c>
      <c r="J111" s="12">
        <v>0.23300000000000001</v>
      </c>
      <c r="K111" s="11">
        <v>27</v>
      </c>
      <c r="L111" s="11">
        <f>-(F111*G111*$V$3)/J111</f>
        <v>-1.8919155645090651</v>
      </c>
      <c r="M111" s="11">
        <f>ABS(L111/$V$6)</f>
        <v>5.5157888178106853E-3</v>
      </c>
      <c r="N111" s="11">
        <f>L111*SIN(RADIANS(K111))</f>
        <v>-0.85891169259649713</v>
      </c>
      <c r="O111" s="11">
        <f>L111*COS(RADIANS(K111))</f>
        <v>-1.685709111191096</v>
      </c>
      <c r="P111" s="1">
        <v>3.3047671326840895</v>
      </c>
      <c r="Q111" s="1">
        <v>0.79508837217392647</v>
      </c>
      <c r="R111" s="1">
        <f>P111/Q111</f>
        <v>4.1564777556087416</v>
      </c>
    </row>
    <row r="112" spans="1:18" x14ac:dyDescent="0.35">
      <c r="A112" s="14">
        <v>2415</v>
      </c>
      <c r="B112" s="6">
        <v>0.75</v>
      </c>
      <c r="C112" s="6">
        <v>2000000</v>
      </c>
      <c r="D112" s="6">
        <v>10</v>
      </c>
      <c r="E112" s="6">
        <v>0.125</v>
      </c>
      <c r="F112" s="6">
        <v>2.5000000000000001E-2</v>
      </c>
      <c r="G112" s="11">
        <f>(C112*$V$4)/($V$5*$V$3)</f>
        <v>29.387755102040813</v>
      </c>
      <c r="H112" s="11">
        <f>G112*COS(RADIANS(D112))</f>
        <v>28.941289068113864</v>
      </c>
      <c r="I112" s="11">
        <f>G112*SIN(RADIANS(D112))</f>
        <v>5.1031301191914213</v>
      </c>
      <c r="J112" s="12">
        <v>0.2802</v>
      </c>
      <c r="K112" s="11">
        <v>19</v>
      </c>
      <c r="L112" s="11">
        <f>-(F112*G112*$V$3)/J112</f>
        <v>-2.6220338242363321</v>
      </c>
      <c r="M112" s="11">
        <f>ABS(L112/$V$6)</f>
        <v>7.6444134817385779E-3</v>
      </c>
      <c r="N112" s="11">
        <f>L112*SIN(RADIANS(K112))</f>
        <v>-0.85365071308086349</v>
      </c>
      <c r="O112" s="11">
        <f>L112*COS(RADIANS(K112))</f>
        <v>-2.4791816866651661</v>
      </c>
      <c r="P112" s="1">
        <v>4.0858893697191796</v>
      </c>
      <c r="Q112" s="1">
        <v>0.6353606772798861</v>
      </c>
      <c r="R112" s="1">
        <f>P112/Q112</f>
        <v>6.4308187708621487</v>
      </c>
    </row>
    <row r="113" spans="1:18" x14ac:dyDescent="0.35">
      <c r="A113" s="14">
        <v>2416</v>
      </c>
      <c r="B113" s="6">
        <v>0.75</v>
      </c>
      <c r="C113" s="6">
        <v>4000000</v>
      </c>
      <c r="D113" s="6">
        <v>20</v>
      </c>
      <c r="E113" s="6">
        <v>0.375</v>
      </c>
      <c r="F113" s="6">
        <v>0</v>
      </c>
      <c r="G113" s="11">
        <f>(C113*$V$4)/($V$5*$V$3)</f>
        <v>58.775510204081627</v>
      </c>
      <c r="H113" s="11">
        <f>G113*COS(RADIANS(D113))</f>
        <v>55.230913221702366</v>
      </c>
      <c r="I113" s="11">
        <f>G113*SIN(RADIANS(D113))</f>
        <v>20.102408424039304</v>
      </c>
      <c r="J113" s="11">
        <v>0.29299999999999998</v>
      </c>
      <c r="K113" s="12">
        <v>57</v>
      </c>
      <c r="L113" s="11">
        <f>-(F113*G113*$V$3)/J113</f>
        <v>0</v>
      </c>
      <c r="M113" s="11">
        <f>ABS(L113/$V$6)</f>
        <v>0</v>
      </c>
      <c r="N113" s="11">
        <f>L113*SIN(RADIANS(K113))</f>
        <v>0</v>
      </c>
      <c r="O113" s="11">
        <f>L113*COS(RADIANS(K113))</f>
        <v>0</v>
      </c>
      <c r="P113" s="1">
        <v>4.792288258615411</v>
      </c>
      <c r="Q113" s="1">
        <v>1.6200900279988237</v>
      </c>
      <c r="R113" s="1">
        <f>P113/Q113</f>
        <v>2.9580382421926061</v>
      </c>
    </row>
    <row r="114" spans="1:18" x14ac:dyDescent="0.35">
      <c r="A114" s="14">
        <v>2417</v>
      </c>
      <c r="B114" s="6">
        <v>0.75</v>
      </c>
      <c r="C114" s="6">
        <v>2000000</v>
      </c>
      <c r="D114" s="6">
        <v>15</v>
      </c>
      <c r="E114" s="6">
        <v>0.25</v>
      </c>
      <c r="F114" s="6">
        <v>0</v>
      </c>
      <c r="G114" s="11">
        <f>(C114*$V$4)/($V$5*$V$3)</f>
        <v>29.387755102040813</v>
      </c>
      <c r="H114" s="11">
        <f>G114*COS(RADIANS(D114))</f>
        <v>28.386391629719554</v>
      </c>
      <c r="I114" s="11">
        <f>G114*SIN(RADIANS(D114))</f>
        <v>7.6061107132169354</v>
      </c>
      <c r="J114" s="12">
        <v>0.28370000000000001</v>
      </c>
      <c r="K114" s="11">
        <v>38</v>
      </c>
      <c r="L114" s="11">
        <f>-(F114*G114*$V$3)/J114</f>
        <v>0</v>
      </c>
      <c r="M114" s="11">
        <f>ABS(L114/$V$6)</f>
        <v>0</v>
      </c>
      <c r="N114" s="11">
        <f>L114*SIN(RADIANS(K114))</f>
        <v>0</v>
      </c>
      <c r="O114" s="11">
        <f>L114*COS(RADIANS(K114))</f>
        <v>0</v>
      </c>
      <c r="P114" s="1">
        <v>5.8249102790005027</v>
      </c>
      <c r="Q114" s="1">
        <v>1.6378744747324248</v>
      </c>
      <c r="R114" s="1">
        <f>P114/Q114</f>
        <v>3.556383818700211</v>
      </c>
    </row>
    <row r="115" spans="1:18" x14ac:dyDescent="0.35">
      <c r="A115" s="14">
        <v>2419</v>
      </c>
      <c r="B115" s="6">
        <v>1</v>
      </c>
      <c r="C115" s="6">
        <v>4000000</v>
      </c>
      <c r="D115" s="6">
        <v>0</v>
      </c>
      <c r="E115" s="6">
        <v>0</v>
      </c>
      <c r="F115" s="6">
        <v>3.5000000000000003E-2</v>
      </c>
      <c r="G115" s="11">
        <f>(C115*$V$4)/($V$5*$V$3)</f>
        <v>58.775510204081627</v>
      </c>
      <c r="H115" s="11">
        <f>G115*COS(RADIANS(D115))</f>
        <v>58.775510204081627</v>
      </c>
      <c r="I115" s="11">
        <f>G115*SIN(RADIANS(D115))</f>
        <v>0</v>
      </c>
      <c r="J115" s="11">
        <v>0.33379999999999999</v>
      </c>
      <c r="K115" s="12">
        <v>0</v>
      </c>
      <c r="L115" s="11">
        <f>-(F115*G115*$V$3)/J115</f>
        <v>-6.1628006505178465</v>
      </c>
      <c r="M115" s="11">
        <f>ABS(L115/$V$6)</f>
        <v>1.7967348835328998E-2</v>
      </c>
      <c r="N115" s="11">
        <f>L115*SIN(RADIANS(K115))</f>
        <v>0</v>
      </c>
      <c r="O115" s="11">
        <f>L115*COS(RADIANS(K115))</f>
        <v>-6.1628006505178465</v>
      </c>
      <c r="P115" s="1">
        <v>1.3406394584009658</v>
      </c>
      <c r="Q115" s="1">
        <v>2.2006363761560901</v>
      </c>
      <c r="R115" s="1">
        <f>P115/Q115</f>
        <v>0.60920535210941862</v>
      </c>
    </row>
    <row r="116" spans="1:18" x14ac:dyDescent="0.35">
      <c r="A116" s="14">
        <v>2420</v>
      </c>
      <c r="B116" s="6">
        <v>0.5</v>
      </c>
      <c r="C116" s="6">
        <v>2000000</v>
      </c>
      <c r="D116" s="6">
        <v>5</v>
      </c>
      <c r="E116" s="6">
        <v>0.375</v>
      </c>
      <c r="F116" s="6">
        <v>7.4999999999999997E-2</v>
      </c>
      <c r="G116" s="11">
        <f>(C116*$V$4)/($V$5*$V$3)</f>
        <v>29.387755102040813</v>
      </c>
      <c r="H116" s="11">
        <f>G116*COS(RADIANS(D116))</f>
        <v>29.275925821471702</v>
      </c>
      <c r="I116" s="11">
        <f>G116*SIN(RADIANS(D116))</f>
        <v>2.5613116236046478</v>
      </c>
      <c r="J116" s="12">
        <v>0.24809999999999999</v>
      </c>
      <c r="K116" s="11">
        <v>67</v>
      </c>
      <c r="L116" s="11">
        <f>-(F116*G116*$V$3)/J116</f>
        <v>-8.8838437430594972</v>
      </c>
      <c r="M116" s="11">
        <f>ABS(L116/$V$6)</f>
        <v>2.590041907597521E-2</v>
      </c>
      <c r="N116" s="11">
        <f>L116*SIN(RADIANS(K116))</f>
        <v>-8.1776212827993611</v>
      </c>
      <c r="O116" s="11">
        <f>L116*COS(RADIANS(K116))</f>
        <v>-3.4711942910480107</v>
      </c>
      <c r="P116" s="1">
        <v>3.8332344885783858</v>
      </c>
      <c r="Q116" s="1">
        <v>-0.12193245185240639</v>
      </c>
      <c r="R116" s="1">
        <f>P116/Q116</f>
        <v>-31.437360853026554</v>
      </c>
    </row>
    <row r="117" spans="1:18" x14ac:dyDescent="0.35">
      <c r="A117" s="14">
        <v>2421</v>
      </c>
      <c r="B117" s="6">
        <v>0.75</v>
      </c>
      <c r="C117" s="6">
        <v>4000000</v>
      </c>
      <c r="D117" s="6">
        <v>15</v>
      </c>
      <c r="E117" s="6">
        <v>0</v>
      </c>
      <c r="F117" s="6">
        <v>7.4999999999999997E-2</v>
      </c>
      <c r="G117" s="11">
        <f>(C117*$V$4)/($V$5*$V$3)</f>
        <v>58.775510204081627</v>
      </c>
      <c r="H117" s="11">
        <f>G117*COS(RADIANS(D117))</f>
        <v>56.772783259439109</v>
      </c>
      <c r="I117" s="11">
        <f>G117*SIN(RADIANS(D117))</f>
        <v>15.212221426433871</v>
      </c>
      <c r="J117" s="11">
        <v>0.27929999999999999</v>
      </c>
      <c r="K117" s="11">
        <v>0</v>
      </c>
      <c r="L117" s="11">
        <f>-(F117*G117*$V$3)/J117</f>
        <v>-15.782897476928472</v>
      </c>
      <c r="M117" s="11">
        <f>ABS(L117/$V$6)</f>
        <v>4.6014278358392044E-2</v>
      </c>
      <c r="N117" s="11">
        <f>L117*SIN(RADIANS(K117))</f>
        <v>0</v>
      </c>
      <c r="O117" s="11">
        <f>L117*COS(RADIANS(K117))</f>
        <v>-15.782897476928472</v>
      </c>
      <c r="P117" s="1">
        <v>2.5995353165662367</v>
      </c>
      <c r="Q117" s="1">
        <v>1.0507007091253593</v>
      </c>
      <c r="R117" s="1">
        <f>P117/Q117</f>
        <v>2.4740968517382869</v>
      </c>
    </row>
    <row r="118" spans="1:18" x14ac:dyDescent="0.35">
      <c r="A118" s="14">
        <v>2422</v>
      </c>
      <c r="B118" s="6">
        <v>0.75</v>
      </c>
      <c r="C118" s="6">
        <v>2000000</v>
      </c>
      <c r="D118" s="6">
        <v>10</v>
      </c>
      <c r="E118" s="6">
        <v>0.25</v>
      </c>
      <c r="F118" s="6">
        <v>0.05</v>
      </c>
      <c r="G118" s="11">
        <f>(C118*$V$4)/($V$5*$V$3)</f>
        <v>29.387755102040813</v>
      </c>
      <c r="H118" s="11">
        <f>G118*COS(RADIANS(D118))</f>
        <v>28.941289068113864</v>
      </c>
      <c r="I118" s="11">
        <f>G118*SIN(RADIANS(D118))</f>
        <v>5.1031301191914213</v>
      </c>
      <c r="J118" s="12">
        <v>0.28370000000000001</v>
      </c>
      <c r="K118" s="11">
        <v>38</v>
      </c>
      <c r="L118" s="11">
        <f>-(F118*G118*$V$3)/J118</f>
        <v>-5.179371713436872</v>
      </c>
      <c r="M118" s="11">
        <f>ABS(L118/$V$6)</f>
        <v>1.5100209077075429E-2</v>
      </c>
      <c r="N118" s="11">
        <f>L118*SIN(RADIANS(K118))</f>
        <v>-3.1887396303545272</v>
      </c>
      <c r="O118" s="11">
        <f>L118*COS(RADIANS(K118))</f>
        <v>-4.0814006071147277</v>
      </c>
      <c r="P118" s="1">
        <v>3.1160064127532729</v>
      </c>
      <c r="Q118" s="1">
        <v>0.70948534475341563</v>
      </c>
      <c r="R118" s="1">
        <f>P118/Q118</f>
        <v>4.3919249859012286</v>
      </c>
    </row>
    <row r="119" spans="1:18" x14ac:dyDescent="0.35">
      <c r="A119" s="14">
        <v>2423</v>
      </c>
      <c r="B119" s="6">
        <v>0.25</v>
      </c>
      <c r="C119" s="6">
        <v>6000000</v>
      </c>
      <c r="D119" s="6">
        <v>15</v>
      </c>
      <c r="E119" s="6">
        <v>0</v>
      </c>
      <c r="F119" s="6">
        <v>1.4999999999999999E-2</v>
      </c>
      <c r="G119" s="11">
        <f>(C119*$V$4)/($V$5*$V$3)</f>
        <v>88.16326530612244</v>
      </c>
      <c r="H119" s="11">
        <f>G119*COS(RADIANS(D119))</f>
        <v>85.159174889158663</v>
      </c>
      <c r="I119" s="11">
        <f>G119*SIN(RADIANS(D119))</f>
        <v>22.818332139650806</v>
      </c>
      <c r="J119" s="12">
        <v>0.18990000000000001</v>
      </c>
      <c r="K119" s="11">
        <v>0</v>
      </c>
      <c r="L119" s="11">
        <f>-(F119*G119*$V$3)/J119</f>
        <v>-6.9639230099622775</v>
      </c>
      <c r="M119" s="11">
        <f>ABS(L119/$V$6)</f>
        <v>2.030298253633317E-2</v>
      </c>
      <c r="N119" s="11">
        <f>L119*SIN(RADIANS(K119))</f>
        <v>0</v>
      </c>
      <c r="O119" s="11">
        <f>L119*COS(RADIANS(K119))</f>
        <v>-6.9639230099622775</v>
      </c>
      <c r="P119" s="1">
        <v>2.0661854335049634</v>
      </c>
      <c r="Q119" s="1">
        <v>0.55682449721769911</v>
      </c>
      <c r="R119" s="1">
        <f>P119/Q119</f>
        <v>3.7106582843052545</v>
      </c>
    </row>
    <row r="120" spans="1:18" x14ac:dyDescent="0.35">
      <c r="A120" s="14">
        <v>2424</v>
      </c>
      <c r="B120" s="6">
        <v>0.1</v>
      </c>
      <c r="C120" s="6">
        <v>2000000</v>
      </c>
      <c r="D120" s="6">
        <v>0</v>
      </c>
      <c r="E120" s="6">
        <v>0.25</v>
      </c>
      <c r="F120" s="6">
        <v>0.05</v>
      </c>
      <c r="G120" s="11">
        <f>(C120*$V$4)/($V$5*$V$3)</f>
        <v>29.387755102040813</v>
      </c>
      <c r="H120" s="11">
        <f>G120*COS(RADIANS(D120))</f>
        <v>29.387755102040813</v>
      </c>
      <c r="I120" s="11">
        <f>G120*SIN(RADIANS(D120))</f>
        <v>0</v>
      </c>
      <c r="J120" s="11">
        <v>0.1661</v>
      </c>
      <c r="K120" s="12">
        <v>80</v>
      </c>
      <c r="L120" s="11">
        <f>-(F120*G120*$V$3)/J120</f>
        <v>-8.8464043052500951</v>
      </c>
      <c r="M120" s="11">
        <f>ABS(L120/$V$6)</f>
        <v>2.5791266196064418E-2</v>
      </c>
      <c r="N120" s="11">
        <f>L120*SIN(RADIANS(K120))</f>
        <v>-8.7120075460908701</v>
      </c>
      <c r="O120" s="11">
        <f>L120*COS(RADIANS(K120))</f>
        <v>-1.5361619865115665</v>
      </c>
      <c r="P120" s="1">
        <v>1.4305377484441579</v>
      </c>
      <c r="Q120" s="1">
        <v>0.22494851278210445</v>
      </c>
      <c r="R120" s="1">
        <f>P120/Q120</f>
        <v>6.3594007835466027</v>
      </c>
    </row>
    <row r="121" spans="1:18" x14ac:dyDescent="0.35">
      <c r="A121" s="14">
        <v>2425</v>
      </c>
      <c r="B121" s="6">
        <v>1</v>
      </c>
      <c r="C121" s="6">
        <v>4000000</v>
      </c>
      <c r="D121" s="6">
        <v>20</v>
      </c>
      <c r="E121" s="6">
        <v>0.125</v>
      </c>
      <c r="F121" s="6">
        <v>0</v>
      </c>
      <c r="G121" s="11">
        <f>(C121*$V$4)/($V$5*$V$3)</f>
        <v>58.775510204081627</v>
      </c>
      <c r="H121" s="11">
        <f>G121*COS(RADIANS(D121))</f>
        <v>55.230913221702366</v>
      </c>
      <c r="I121" s="11">
        <f>G121*SIN(RADIANS(D121))</f>
        <v>20.102408424039304</v>
      </c>
      <c r="J121" s="11">
        <v>0.33379999999999999</v>
      </c>
      <c r="K121" s="12">
        <v>14</v>
      </c>
      <c r="L121" s="11">
        <f>-(F121*G121*$V$3)/J121</f>
        <v>0</v>
      </c>
      <c r="M121" s="11">
        <f>ABS(L121/$V$6)</f>
        <v>0</v>
      </c>
      <c r="N121" s="11">
        <f>L121*SIN(RADIANS(K121))</f>
        <v>0</v>
      </c>
      <c r="O121" s="11">
        <f>L121*COS(RADIANS(K121))</f>
        <v>0</v>
      </c>
      <c r="P121" s="1">
        <v>5.5984751462267193</v>
      </c>
      <c r="Q121" s="1">
        <v>2.5111291609061808</v>
      </c>
      <c r="R121" s="1">
        <f>P121/Q121</f>
        <v>2.2294652275896558</v>
      </c>
    </row>
    <row r="122" spans="1:18" x14ac:dyDescent="0.35">
      <c r="A122" s="14">
        <v>2339</v>
      </c>
      <c r="B122" s="6">
        <v>0.25</v>
      </c>
      <c r="C122" s="6">
        <v>6000000</v>
      </c>
      <c r="D122" s="6">
        <v>20</v>
      </c>
      <c r="E122" s="6">
        <v>0.375</v>
      </c>
      <c r="F122" s="6">
        <v>0.15</v>
      </c>
      <c r="G122" s="11">
        <f>(C122*$V$4)/($V$5*$V$3)</f>
        <v>88.16326530612244</v>
      </c>
      <c r="H122" s="11">
        <f>G122*COS(RADIANS(D122))</f>
        <v>82.846369832553549</v>
      </c>
      <c r="I122" s="11">
        <f>G122*SIN(RADIANS(D122))</f>
        <v>30.153612636058952</v>
      </c>
      <c r="J122" s="11">
        <v>0.1976</v>
      </c>
      <c r="K122" s="12">
        <v>78</v>
      </c>
      <c r="L122" s="11">
        <f>-(F122*G122*$V$3)/J122</f>
        <v>-66.925555647360156</v>
      </c>
      <c r="M122" s="11">
        <f>ABS(L122/$V$6)</f>
        <v>0.1951182380389509</v>
      </c>
      <c r="N122" s="11">
        <f>L122*SIN(RADIANS(K122))</f>
        <v>-65.463071684242124</v>
      </c>
      <c r="O122" s="11">
        <f>L122*COS(RADIANS(K122))</f>
        <v>-13.9146054335607</v>
      </c>
      <c r="P122" s="1">
        <v>3.0817644892823854</v>
      </c>
      <c r="Q122" s="1">
        <v>0.71394480284754147</v>
      </c>
      <c r="R122" s="1">
        <f>P122/Q122</f>
        <v>4.316530461445879</v>
      </c>
    </row>
    <row r="123" spans="1:18" x14ac:dyDescent="0.35">
      <c r="A123" s="14">
        <v>2427</v>
      </c>
      <c r="B123" s="6">
        <v>0.5</v>
      </c>
      <c r="C123" s="6">
        <v>4000000</v>
      </c>
      <c r="D123" s="6">
        <v>30</v>
      </c>
      <c r="E123" s="6">
        <v>0.375</v>
      </c>
      <c r="F123" s="6">
        <v>0.1</v>
      </c>
      <c r="G123" s="11">
        <f>(C123*$V$4)/($V$5*$V$3)</f>
        <v>58.775510204081627</v>
      </c>
      <c r="H123" s="11">
        <f>G123*COS(RADIANS(D123))</f>
        <v>50.901084957126187</v>
      </c>
      <c r="I123" s="11">
        <f>G123*SIN(RADIANS(D123))</f>
        <v>29.38775510204081</v>
      </c>
      <c r="J123" s="12">
        <v>0.24809999999999999</v>
      </c>
      <c r="K123" s="11">
        <v>67</v>
      </c>
      <c r="L123" s="11">
        <f>-(F123*G123*$V$3)/J123</f>
        <v>-23.690249981491991</v>
      </c>
      <c r="M123" s="11">
        <f>ABS(L123/$V$6)</f>
        <v>6.9067784202600555E-2</v>
      </c>
      <c r="N123" s="11">
        <f>L123*SIN(RADIANS(K123))</f>
        <v>-21.806990087464964</v>
      </c>
      <c r="O123" s="11">
        <f>L123*COS(RADIANS(K123))</f>
        <v>-9.2565181094613607</v>
      </c>
      <c r="P123" s="1">
        <v>4.4019227531539027</v>
      </c>
      <c r="Q123" s="1">
        <v>1.2217498093566308</v>
      </c>
      <c r="R123" s="1">
        <f>P123/Q123</f>
        <v>3.6029657786252818</v>
      </c>
    </row>
    <row r="124" spans="1:18" x14ac:dyDescent="0.35">
      <c r="A124" s="14">
        <v>2428</v>
      </c>
      <c r="B124" s="6">
        <v>0.1</v>
      </c>
      <c r="C124" s="6">
        <v>4000000</v>
      </c>
      <c r="D124" s="6">
        <v>20</v>
      </c>
      <c r="E124" s="6">
        <v>0.375</v>
      </c>
      <c r="F124" s="6">
        <v>0.05</v>
      </c>
      <c r="G124" s="11">
        <f>(C124*$V$4)/($V$5*$V$3)</f>
        <v>58.775510204081627</v>
      </c>
      <c r="H124" s="11">
        <f>G124*COS(RADIANS(D124))</f>
        <v>55.230913221702366</v>
      </c>
      <c r="I124" s="11">
        <f>G124*SIN(RADIANS(D124))</f>
        <v>20.102408424039304</v>
      </c>
      <c r="J124" s="12">
        <v>0.16789999999999999</v>
      </c>
      <c r="K124" s="11">
        <v>85</v>
      </c>
      <c r="L124" s="11">
        <f>-(F124*G124*$V$3)/J124</f>
        <v>-17.503129899964751</v>
      </c>
      <c r="M124" s="11">
        <f>ABS(L124/$V$6)</f>
        <v>5.1029533236048835E-2</v>
      </c>
      <c r="N124" s="11">
        <f>L124*SIN(RADIANS(K124))</f>
        <v>-17.436525206355988</v>
      </c>
      <c r="O124" s="11">
        <f>L124*COS(RADIANS(K124))</f>
        <v>-1.5254982868401712</v>
      </c>
      <c r="P124" s="1">
        <v>1.8264780338748279</v>
      </c>
      <c r="Q124" s="1">
        <v>0.86421597417163043</v>
      </c>
      <c r="R124" s="1">
        <f>P124/Q124</f>
        <v>2.1134509063264497</v>
      </c>
    </row>
    <row r="125" spans="1:18" x14ac:dyDescent="0.35">
      <c r="A125" s="14">
        <v>2429</v>
      </c>
      <c r="B125" s="6">
        <v>0.75</v>
      </c>
      <c r="C125" s="6">
        <v>2000000</v>
      </c>
      <c r="D125" s="6">
        <v>10</v>
      </c>
      <c r="E125" s="6">
        <v>0.375</v>
      </c>
      <c r="F125" s="6">
        <v>2.5000000000000001E-2</v>
      </c>
      <c r="G125" s="11">
        <f>(C125*$V$4)/($V$5*$V$3)</f>
        <v>29.387755102040813</v>
      </c>
      <c r="H125" s="11">
        <f>G125*COS(RADIANS(D125))</f>
        <v>28.941289068113864</v>
      </c>
      <c r="I125" s="11">
        <f>G125*SIN(RADIANS(D125))</f>
        <v>5.1031301191914213</v>
      </c>
      <c r="J125" s="11">
        <v>0.29299999999999998</v>
      </c>
      <c r="K125" s="12">
        <v>57</v>
      </c>
      <c r="L125" s="11">
        <f>-(F125*G125*$V$3)/J125</f>
        <v>-2.5074876366929022</v>
      </c>
      <c r="M125" s="11">
        <f>ABS(L125/$V$6)</f>
        <v>7.31045958219505E-3</v>
      </c>
      <c r="N125" s="11">
        <f>L125*SIN(RADIANS(K125))</f>
        <v>-2.1029560803813654</v>
      </c>
      <c r="O125" s="11">
        <f>L125*COS(RADIANS(K125))</f>
        <v>-1.3656756467605331</v>
      </c>
      <c r="P125" s="1">
        <v>4.0957976553799531</v>
      </c>
      <c r="Q125" s="1">
        <v>0.1896816944081694</v>
      </c>
      <c r="R125" s="1">
        <f>P125/Q125</f>
        <v>21.593004365336117</v>
      </c>
    </row>
    <row r="126" spans="1:18" x14ac:dyDescent="0.35">
      <c r="A126" s="14">
        <v>2430</v>
      </c>
      <c r="B126" s="6">
        <v>0.75</v>
      </c>
      <c r="C126" s="6">
        <v>4000000</v>
      </c>
      <c r="D126" s="6">
        <v>5</v>
      </c>
      <c r="E126" s="6">
        <v>0.125</v>
      </c>
      <c r="F126" s="6">
        <v>7.4999999999999997E-2</v>
      </c>
      <c r="G126" s="11">
        <f>(C126*$V$4)/($V$5*$V$3)</f>
        <v>58.775510204081627</v>
      </c>
      <c r="H126" s="11">
        <f>G126*COS(RADIANS(D126))</f>
        <v>58.551851642943404</v>
      </c>
      <c r="I126" s="11">
        <f>G126*SIN(RADIANS(D126))</f>
        <v>5.1226232472092956</v>
      </c>
      <c r="J126" s="12">
        <v>0.2802</v>
      </c>
      <c r="K126" s="11">
        <v>19</v>
      </c>
      <c r="L126" s="11">
        <f>-(F126*G126*$V$3)/J126</f>
        <v>-15.732202945417994</v>
      </c>
      <c r="M126" s="11">
        <f>ABS(L126/$V$6)</f>
        <v>4.5866480890431466E-2</v>
      </c>
      <c r="N126" s="11">
        <f>L126*SIN(RADIANS(K126))</f>
        <v>-5.1219042784851814</v>
      </c>
      <c r="O126" s="11">
        <f>L126*COS(RADIANS(K126))</f>
        <v>-14.875090119990999</v>
      </c>
      <c r="P126" s="1">
        <v>6.3640215136679643</v>
      </c>
      <c r="Q126" s="1">
        <v>2.6748360311763201E-2</v>
      </c>
      <c r="R126" s="1">
        <f>P126/Q126</f>
        <v>237.92193014796652</v>
      </c>
    </row>
    <row r="127" spans="1:18" x14ac:dyDescent="0.35">
      <c r="A127" s="14">
        <v>2431</v>
      </c>
      <c r="B127" s="6">
        <v>1</v>
      </c>
      <c r="C127" s="6">
        <v>6000000</v>
      </c>
      <c r="D127" s="6">
        <v>5</v>
      </c>
      <c r="E127" s="6">
        <v>0.125</v>
      </c>
      <c r="F127" s="6">
        <v>3.5000000000000003E-2</v>
      </c>
      <c r="G127" s="11">
        <f>(C127*$V$4)/($V$5*$V$3)</f>
        <v>88.16326530612244</v>
      </c>
      <c r="H127" s="11">
        <f>G127*COS(RADIANS(D127))</f>
        <v>87.827777464415107</v>
      </c>
      <c r="I127" s="11">
        <f>G127*SIN(RADIANS(D127))</f>
        <v>7.6839348708139434</v>
      </c>
      <c r="J127" s="11">
        <v>0.33379999999999999</v>
      </c>
      <c r="K127" s="12">
        <v>14</v>
      </c>
      <c r="L127" s="11">
        <f>-(F127*G127*$V$3)/J127</f>
        <v>-9.2442009757767707</v>
      </c>
      <c r="M127" s="11">
        <f>ABS(L127/$V$6)</f>
        <v>2.6951023252993502E-2</v>
      </c>
      <c r="N127" s="11">
        <f>L127*SIN(RADIANS(K127))</f>
        <v>-2.2363746233642146</v>
      </c>
      <c r="O127" s="11">
        <f>L127*COS(RADIANS(K127))</f>
        <v>-8.9696086996325963</v>
      </c>
      <c r="P127" s="1">
        <v>4.6608716371363128</v>
      </c>
      <c r="Q127" s="1">
        <v>0.24891420697953295</v>
      </c>
      <c r="R127" s="1">
        <f>P127/Q127</f>
        <v>18.72481162764468</v>
      </c>
    </row>
    <row r="128" spans="1:18" x14ac:dyDescent="0.35">
      <c r="A128" s="14">
        <v>2432</v>
      </c>
      <c r="B128" s="6">
        <v>0.5</v>
      </c>
      <c r="C128" s="6">
        <v>6000000</v>
      </c>
      <c r="D128" s="6">
        <v>0</v>
      </c>
      <c r="E128" s="6">
        <v>0</v>
      </c>
      <c r="F128" s="6">
        <v>2.5000000000000001E-2</v>
      </c>
      <c r="G128" s="11">
        <f>(C128*$V$4)/($V$5*$V$3)</f>
        <v>88.16326530612244</v>
      </c>
      <c r="H128" s="11">
        <f>G128*COS(RADIANS(D128))</f>
        <v>88.16326530612244</v>
      </c>
      <c r="I128" s="11">
        <f>G128*SIN(RADIANS(D128))</f>
        <v>0</v>
      </c>
      <c r="J128" s="12">
        <v>0.23230000000000001</v>
      </c>
      <c r="K128" s="11">
        <v>0</v>
      </c>
      <c r="L128" s="11">
        <f>-(F128*G128*$V$3)/J128</f>
        <v>-9.4880827923076243</v>
      </c>
      <c r="M128" s="11">
        <f>ABS(L128/$V$6)</f>
        <v>2.7662048957165085E-2</v>
      </c>
      <c r="N128" s="11">
        <f>L128*SIN(RADIANS(K128))</f>
        <v>0</v>
      </c>
      <c r="O128" s="11">
        <f>L128*COS(RADIANS(K128))</f>
        <v>-9.4880827923076243</v>
      </c>
      <c r="P128" s="1">
        <v>2.5981544571922051</v>
      </c>
      <c r="Q128" s="1">
        <v>0.4453027166882334</v>
      </c>
      <c r="R128" s="1">
        <f>P128/Q128</f>
        <v>5.8345802974546688</v>
      </c>
    </row>
    <row r="129" spans="1:18" x14ac:dyDescent="0.35">
      <c r="A129" s="14">
        <v>2433</v>
      </c>
      <c r="B129" s="6">
        <v>1</v>
      </c>
      <c r="C129" s="6">
        <v>6000000</v>
      </c>
      <c r="D129" s="6">
        <v>10</v>
      </c>
      <c r="E129" s="6">
        <v>0.125</v>
      </c>
      <c r="F129" s="6">
        <v>7.4999999999999997E-2</v>
      </c>
      <c r="G129" s="11">
        <f>(C129*$V$4)/($V$5*$V$3)</f>
        <v>88.16326530612244</v>
      </c>
      <c r="H129" s="11">
        <f>G129*COS(RADIANS(D129))</f>
        <v>86.823867204341596</v>
      </c>
      <c r="I129" s="11">
        <f>G129*SIN(RADIANS(D129))</f>
        <v>15.309390357574264</v>
      </c>
      <c r="J129" s="11">
        <v>0.33379999999999999</v>
      </c>
      <c r="K129" s="12">
        <v>14</v>
      </c>
      <c r="L129" s="11">
        <f>-(F129*G129*$V$3)/J129</f>
        <v>-19.809002090950219</v>
      </c>
      <c r="M129" s="11">
        <f>ABS(L129/$V$6)</f>
        <v>5.7752192684986062E-2</v>
      </c>
      <c r="N129" s="11">
        <f>L129*SIN(RADIANS(K129))</f>
        <v>-4.7922313357804587</v>
      </c>
      <c r="O129" s="11">
        <f>L129*COS(RADIANS(K129))</f>
        <v>-19.220590070641276</v>
      </c>
      <c r="P129" s="1">
        <v>3.0294739150481003</v>
      </c>
      <c r="Q129" s="1">
        <v>0.86968269303307777</v>
      </c>
      <c r="R129" s="1">
        <f>P129/Q129</f>
        <v>3.4834244021605203</v>
      </c>
    </row>
    <row r="130" spans="1:18" x14ac:dyDescent="0.35">
      <c r="A130" s="14">
        <v>2434</v>
      </c>
      <c r="B130" s="6">
        <v>1</v>
      </c>
      <c r="C130" s="6">
        <v>4000000</v>
      </c>
      <c r="D130" s="6">
        <v>5</v>
      </c>
      <c r="E130" s="6">
        <v>0.125</v>
      </c>
      <c r="F130" s="6">
        <v>3.5000000000000003E-2</v>
      </c>
      <c r="G130" s="11">
        <f>(C130*$V$4)/($V$5*$V$3)</f>
        <v>58.775510204081627</v>
      </c>
      <c r="H130" s="11">
        <f>G130*COS(RADIANS(D130))</f>
        <v>58.551851642943404</v>
      </c>
      <c r="I130" s="11">
        <f>G130*SIN(RADIANS(D130))</f>
        <v>5.1226232472092956</v>
      </c>
      <c r="J130" s="11">
        <v>0.33379999999999999</v>
      </c>
      <c r="K130" s="12">
        <v>14</v>
      </c>
      <c r="L130" s="11">
        <f>-(F130*G130*$V$3)/J130</f>
        <v>-6.1628006505178465</v>
      </c>
      <c r="M130" s="11">
        <f>ABS(L130/$V$6)</f>
        <v>1.7967348835328998E-2</v>
      </c>
      <c r="N130" s="11">
        <f>L130*SIN(RADIANS(K130))</f>
        <v>-1.4909164155761427</v>
      </c>
      <c r="O130" s="11">
        <f>L130*COS(RADIANS(K130))</f>
        <v>-5.9797391330883976</v>
      </c>
      <c r="P130" s="1">
        <v>4.4864612920433231</v>
      </c>
      <c r="Q130" s="1">
        <v>0.3186904586377069</v>
      </c>
      <c r="R130" s="1">
        <f>P130/Q130</f>
        <v>14.077802364154284</v>
      </c>
    </row>
    <row r="131" spans="1:18" x14ac:dyDescent="0.35">
      <c r="A131" s="14">
        <v>2435</v>
      </c>
      <c r="B131" s="6">
        <v>0.75</v>
      </c>
      <c r="C131" s="6">
        <v>4000000</v>
      </c>
      <c r="D131" s="6">
        <v>30</v>
      </c>
      <c r="E131" s="6">
        <v>0.375</v>
      </c>
      <c r="F131" s="6">
        <v>0.05</v>
      </c>
      <c r="G131" s="11">
        <f>(C131*$V$4)/($V$5*$V$3)</f>
        <v>58.775510204081627</v>
      </c>
      <c r="H131" s="11">
        <f>G131*COS(RADIANS(D131))</f>
        <v>50.901084957126187</v>
      </c>
      <c r="I131" s="11">
        <f>G131*SIN(RADIANS(D131))</f>
        <v>29.38775510204081</v>
      </c>
      <c r="J131" s="11">
        <v>0.29299999999999998</v>
      </c>
      <c r="K131" s="12">
        <v>57</v>
      </c>
      <c r="L131" s="11">
        <f>-(F131*G131*$V$3)/J131</f>
        <v>-10.029950546771609</v>
      </c>
      <c r="M131" s="11">
        <f>ABS(L131/$V$6)</f>
        <v>2.92418383287802E-2</v>
      </c>
      <c r="N131" s="11">
        <f>L131*SIN(RADIANS(K131))</f>
        <v>-8.4118243215254616</v>
      </c>
      <c r="O131" s="11">
        <f>L131*COS(RADIANS(K131))</f>
        <v>-5.4627025870421324</v>
      </c>
      <c r="P131" s="1">
        <v>5.6313692360096903</v>
      </c>
      <c r="Q131" s="1">
        <v>1.3517971149830967</v>
      </c>
      <c r="R131" s="1">
        <f>P131/Q131</f>
        <v>4.1658390697779426</v>
      </c>
    </row>
    <row r="132" spans="1:18" x14ac:dyDescent="0.35">
      <c r="A132" s="14">
        <v>2436</v>
      </c>
      <c r="B132" s="6">
        <v>0.5</v>
      </c>
      <c r="C132" s="6">
        <v>4000000</v>
      </c>
      <c r="D132" s="6">
        <v>30</v>
      </c>
      <c r="E132" s="6">
        <v>0</v>
      </c>
      <c r="F132" s="6">
        <v>0.05</v>
      </c>
      <c r="G132" s="11">
        <f>(C132*$V$4)/($V$5*$V$3)</f>
        <v>58.775510204081627</v>
      </c>
      <c r="H132" s="11">
        <f>G132*COS(RADIANS(D132))</f>
        <v>50.901084957126187</v>
      </c>
      <c r="I132" s="11">
        <f>G132*SIN(RADIANS(D132))</f>
        <v>29.38775510204081</v>
      </c>
      <c r="J132" s="12">
        <v>0.23230000000000001</v>
      </c>
      <c r="K132" s="11">
        <v>0</v>
      </c>
      <c r="L132" s="11">
        <f>-(F132*G132*$V$3)/J132</f>
        <v>-12.650777056410165</v>
      </c>
      <c r="M132" s="11">
        <f>ABS(L132/$V$6)</f>
        <v>3.6882731942886778E-2</v>
      </c>
      <c r="N132" s="11">
        <f>L132*SIN(RADIANS(K132))</f>
        <v>0</v>
      </c>
      <c r="O132" s="11">
        <f>L132*COS(RADIANS(K132))</f>
        <v>-12.650777056410165</v>
      </c>
      <c r="P132" s="1">
        <v>3.9457731811513832</v>
      </c>
      <c r="Q132" s="1">
        <v>1.4097539899279909</v>
      </c>
      <c r="R132" s="1">
        <f>P132/Q132</f>
        <v>2.7989090361453277</v>
      </c>
    </row>
    <row r="133" spans="1:18" x14ac:dyDescent="0.35">
      <c r="A133" s="14">
        <v>2437</v>
      </c>
      <c r="B133" s="6">
        <v>1</v>
      </c>
      <c r="C133" s="6">
        <v>4000000</v>
      </c>
      <c r="D133" s="6">
        <v>15</v>
      </c>
      <c r="E133" s="6">
        <v>0.125</v>
      </c>
      <c r="F133" s="6">
        <v>2.5000000000000001E-2</v>
      </c>
      <c r="G133" s="11">
        <f>(C133*$V$4)/($V$5*$V$3)</f>
        <v>58.775510204081627</v>
      </c>
      <c r="H133" s="11">
        <f>G133*COS(RADIANS(D133))</f>
        <v>56.772783259439109</v>
      </c>
      <c r="I133" s="11">
        <f>G133*SIN(RADIANS(D133))</f>
        <v>15.212221426433871</v>
      </c>
      <c r="J133" s="11">
        <v>0.33379999999999999</v>
      </c>
      <c r="K133" s="12">
        <v>14</v>
      </c>
      <c r="L133" s="11">
        <f>-(F133*G133*$V$3)/J133</f>
        <v>-4.4020004646556048</v>
      </c>
      <c r="M133" s="11">
        <f>ABS(L133/$V$6)</f>
        <v>1.283382059666357E-2</v>
      </c>
      <c r="N133" s="11">
        <f>L133*SIN(RADIANS(K133))</f>
        <v>-1.0649402968401021</v>
      </c>
      <c r="O133" s="11">
        <f>L133*COS(RADIANS(K133))</f>
        <v>-4.2712422379202843</v>
      </c>
      <c r="P133" s="1">
        <v>3.6378870004845325</v>
      </c>
      <c r="Q133" s="1">
        <v>1.0158054546951263</v>
      </c>
      <c r="R133" s="1">
        <f>P133/Q133</f>
        <v>3.5812831912547383</v>
      </c>
    </row>
    <row r="134" spans="1:18" x14ac:dyDescent="0.35">
      <c r="A134" s="14">
        <v>2438</v>
      </c>
      <c r="B134" s="6">
        <v>0.75</v>
      </c>
      <c r="C134" s="6">
        <v>4000000</v>
      </c>
      <c r="D134" s="6">
        <v>5</v>
      </c>
      <c r="E134" s="6">
        <v>0.25</v>
      </c>
      <c r="F134" s="6">
        <v>0.1</v>
      </c>
      <c r="G134" s="11">
        <f>(C134*$V$4)/($V$5*$V$3)</f>
        <v>58.775510204081627</v>
      </c>
      <c r="H134" s="11">
        <f>G134*COS(RADIANS(D134))</f>
        <v>58.551851642943404</v>
      </c>
      <c r="I134" s="11">
        <f>G134*SIN(RADIANS(D134))</f>
        <v>5.1226232472092956</v>
      </c>
      <c r="J134" s="12">
        <v>0.28370000000000001</v>
      </c>
      <c r="K134" s="11">
        <v>38</v>
      </c>
      <c r="L134" s="11">
        <f>-(F134*G134*$V$3)/J134</f>
        <v>-20.717486853747488</v>
      </c>
      <c r="M134" s="11">
        <f>ABS(L134/$V$6)</f>
        <v>6.0400836308301717E-2</v>
      </c>
      <c r="N134" s="11">
        <f>L134*SIN(RADIANS(K134))</f>
        <v>-12.754958521418109</v>
      </c>
      <c r="O134" s="11">
        <f>L134*COS(RADIANS(K134))</f>
        <v>-16.325602428458911</v>
      </c>
      <c r="P134" s="1">
        <v>4.4282198409680333</v>
      </c>
      <c r="Q134" s="1">
        <v>-7.3763363133032722E-2</v>
      </c>
      <c r="R134" s="1">
        <f>P134/Q134</f>
        <v>-60.03278121933932</v>
      </c>
    </row>
    <row r="135" spans="1:18" x14ac:dyDescent="0.35">
      <c r="A135" s="14">
        <v>2439</v>
      </c>
      <c r="B135" s="6">
        <v>0.5</v>
      </c>
      <c r="C135" s="6">
        <v>4000000</v>
      </c>
      <c r="D135" s="6">
        <v>30</v>
      </c>
      <c r="E135" s="6">
        <v>0.25</v>
      </c>
      <c r="F135" s="6">
        <v>7.4999999999999997E-2</v>
      </c>
      <c r="G135" s="11">
        <f>(C135*$V$4)/($V$5*$V$3)</f>
        <v>58.775510204081627</v>
      </c>
      <c r="H135" s="11">
        <f>G135*COS(RADIANS(D135))</f>
        <v>50.901084957126187</v>
      </c>
      <c r="I135" s="11">
        <f>G135*SIN(RADIANS(D135))</f>
        <v>29.38775510204081</v>
      </c>
      <c r="J135" s="11">
        <v>0.23580000000000001</v>
      </c>
      <c r="K135" s="11">
        <v>49</v>
      </c>
      <c r="L135" s="11">
        <f>-(F135*G135*$V$3)/J135</f>
        <v>-18.694500701043772</v>
      </c>
      <c r="M135" s="11">
        <f>ABS(L135/$V$6)</f>
        <v>5.4502917495754435E-2</v>
      </c>
      <c r="N135" s="11">
        <f>L135*SIN(RADIANS(K135))</f>
        <v>-14.108918776559062</v>
      </c>
      <c r="O135" s="11">
        <f>L135*COS(RADIANS(K135))</f>
        <v>-12.264695977389135</v>
      </c>
      <c r="P135" s="1">
        <v>4.5273123825105595</v>
      </c>
      <c r="Q135" s="1">
        <v>1.3489363279895497</v>
      </c>
      <c r="R135" s="1">
        <f>P135/Q135</f>
        <v>3.3562091023659</v>
      </c>
    </row>
    <row r="136" spans="1:18" x14ac:dyDescent="0.35">
      <c r="A136" s="14">
        <v>2440</v>
      </c>
      <c r="B136" s="6">
        <v>1</v>
      </c>
      <c r="C136" s="6">
        <v>2000000</v>
      </c>
      <c r="D136" s="6">
        <v>15</v>
      </c>
      <c r="E136" s="6">
        <v>0.375</v>
      </c>
      <c r="F136" s="6">
        <v>0</v>
      </c>
      <c r="G136" s="11">
        <f>(C136*$V$4)/($V$5*$V$3)</f>
        <v>29.387755102040813</v>
      </c>
      <c r="H136" s="11">
        <f>G136*COS(RADIANS(D136))</f>
        <v>28.386391629719554</v>
      </c>
      <c r="I136" s="11">
        <f>G136*SIN(RADIANS(D136))</f>
        <v>7.6061107132169354</v>
      </c>
      <c r="J136" s="12">
        <v>0.33379999999999999</v>
      </c>
      <c r="K136" s="11">
        <v>49</v>
      </c>
      <c r="L136" s="11">
        <f>-(F136*G136*$V$3)/J136</f>
        <v>0</v>
      </c>
      <c r="M136" s="11">
        <f>ABS(L136/$V$6)</f>
        <v>0</v>
      </c>
      <c r="N136" s="11">
        <f>L136*SIN(RADIANS(K136))</f>
        <v>0</v>
      </c>
      <c r="O136" s="11">
        <f>L136*COS(RADIANS(K136))</f>
        <v>0</v>
      </c>
      <c r="P136" s="1">
        <v>6.1568803131547147</v>
      </c>
      <c r="Q136" s="1">
        <v>1.5692522814766974</v>
      </c>
      <c r="R136" s="1">
        <f>P136/Q136</f>
        <v>3.9234483746367212</v>
      </c>
    </row>
    <row r="137" spans="1:18" x14ac:dyDescent="0.35">
      <c r="A137" s="14">
        <v>2441</v>
      </c>
      <c r="B137" s="6">
        <v>0.5</v>
      </c>
      <c r="C137" s="6">
        <v>4000000</v>
      </c>
      <c r="D137" s="6">
        <v>30</v>
      </c>
      <c r="E137" s="6">
        <v>0.375</v>
      </c>
      <c r="F137" s="6">
        <v>3.5000000000000003E-2</v>
      </c>
      <c r="G137" s="11">
        <f>(C137*$V$4)/($V$5*$V$3)</f>
        <v>58.775510204081627</v>
      </c>
      <c r="H137" s="11">
        <f>G137*COS(RADIANS(D137))</f>
        <v>50.901084957126187</v>
      </c>
      <c r="I137" s="11">
        <f>G137*SIN(RADIANS(D137))</f>
        <v>29.38775510204081</v>
      </c>
      <c r="J137" s="12">
        <v>0.24809999999999999</v>
      </c>
      <c r="K137" s="11">
        <v>67</v>
      </c>
      <c r="L137" s="11">
        <f>-(F137*G137*$V$3)/J137</f>
        <v>-8.2915874935221971</v>
      </c>
      <c r="M137" s="11">
        <f>ABS(L137/$V$6)</f>
        <v>2.4173724470910197E-2</v>
      </c>
      <c r="N137" s="11">
        <f>L137*SIN(RADIANS(K137))</f>
        <v>-7.6324465306127376</v>
      </c>
      <c r="O137" s="11">
        <f>L137*COS(RADIANS(K137))</f>
        <v>-3.2397813383114764</v>
      </c>
      <c r="P137" s="1">
        <v>3.5017403305468044</v>
      </c>
      <c r="Q137" s="1">
        <v>1.1435870342880925</v>
      </c>
      <c r="R137" s="1">
        <f>P137/Q137</f>
        <v>3.0620671847042344</v>
      </c>
    </row>
    <row r="138" spans="1:18" x14ac:dyDescent="0.35">
      <c r="A138" s="14">
        <v>2442</v>
      </c>
      <c r="B138" s="6">
        <v>1</v>
      </c>
      <c r="C138" s="6">
        <v>4000000</v>
      </c>
      <c r="D138" s="6">
        <v>15</v>
      </c>
      <c r="E138" s="6">
        <v>0.125</v>
      </c>
      <c r="F138" s="6">
        <v>0.15</v>
      </c>
      <c r="G138" s="11">
        <f>(C138*$V$4)/($V$5*$V$3)</f>
        <v>58.775510204081627</v>
      </c>
      <c r="H138" s="11">
        <f>G138*COS(RADIANS(D138))</f>
        <v>56.772783259439109</v>
      </c>
      <c r="I138" s="11">
        <f>G138*SIN(RADIANS(D138))</f>
        <v>15.212221426433871</v>
      </c>
      <c r="J138" s="11">
        <v>0.33379999999999999</v>
      </c>
      <c r="K138" s="12">
        <v>14</v>
      </c>
      <c r="L138" s="11">
        <f>-(F138*G138*$V$3)/J138</f>
        <v>-26.412002787933627</v>
      </c>
      <c r="M138" s="11">
        <f>ABS(L138/$V$6)</f>
        <v>7.7002923579981425E-2</v>
      </c>
      <c r="N138" s="11">
        <f>L138*SIN(RADIANS(K138))</f>
        <v>-6.3896417810406119</v>
      </c>
      <c r="O138" s="11">
        <f>L138*COS(RADIANS(K138))</f>
        <v>-25.627453427521701</v>
      </c>
      <c r="P138" s="1">
        <v>4.3065737834631124</v>
      </c>
      <c r="Q138" s="1">
        <v>0.53192526612811486</v>
      </c>
      <c r="R138" s="1">
        <f>P138/Q138</f>
        <v>8.0962008343966669</v>
      </c>
    </row>
    <row r="139" spans="1:18" x14ac:dyDescent="0.35">
      <c r="A139" s="14">
        <v>2709</v>
      </c>
      <c r="B139" s="6">
        <v>0.5</v>
      </c>
      <c r="C139" s="6">
        <v>6000000</v>
      </c>
      <c r="D139" s="6">
        <v>30</v>
      </c>
      <c r="E139" s="6">
        <v>0.125</v>
      </c>
      <c r="F139" s="6">
        <v>0.15</v>
      </c>
      <c r="G139" s="11">
        <f>(C139*$V$4)/($V$5*$V$3)</f>
        <v>88.16326530612244</v>
      </c>
      <c r="H139" s="11">
        <f>G139*COS(RADIANS(D139))</f>
        <v>76.351627435689281</v>
      </c>
      <c r="I139" s="11">
        <f>G139*SIN(RADIANS(D139))</f>
        <v>44.081632653061213</v>
      </c>
      <c r="J139" s="19">
        <v>0.23300000000000001</v>
      </c>
      <c r="K139" s="20">
        <v>27</v>
      </c>
      <c r="L139" s="11">
        <f>-(F139*G139*$V$3)/J139</f>
        <v>-56.757466935271957</v>
      </c>
      <c r="M139" s="11">
        <f>ABS(L139/$V$6)</f>
        <v>0.16547366453432058</v>
      </c>
      <c r="N139" s="11">
        <f>L139*SIN(RADIANS(K139))</f>
        <v>-25.767350777894915</v>
      </c>
      <c r="O139" s="11">
        <f>L139*COS(RADIANS(K139))</f>
        <v>-50.571273335732883</v>
      </c>
      <c r="P139" s="1">
        <v>5.4077549695912808</v>
      </c>
      <c r="Q139" s="1">
        <v>1.5359498019438917</v>
      </c>
      <c r="R139" s="1">
        <f>P139/Q139</f>
        <v>3.5207888713206956</v>
      </c>
    </row>
    <row r="140" spans="1:18" x14ac:dyDescent="0.35">
      <c r="A140" s="14">
        <v>2444</v>
      </c>
      <c r="B140" s="6">
        <v>0.25</v>
      </c>
      <c r="C140" s="6">
        <v>4000000</v>
      </c>
      <c r="D140" s="6">
        <v>20</v>
      </c>
      <c r="E140" s="6">
        <v>0.125</v>
      </c>
      <c r="F140" s="6">
        <v>0.1</v>
      </c>
      <c r="G140" s="11">
        <f>(C140*$V$4)/($V$5*$V$3)</f>
        <v>58.775510204081627</v>
      </c>
      <c r="H140" s="11">
        <f>G140*COS(RADIANS(D140))</f>
        <v>55.230913221702366</v>
      </c>
      <c r="I140" s="11">
        <f>G140*SIN(RADIANS(D140))</f>
        <v>20.102408424039304</v>
      </c>
      <c r="J140" s="11">
        <v>0.19020000000000001</v>
      </c>
      <c r="K140" s="11">
        <v>46</v>
      </c>
      <c r="L140" s="11">
        <f>-(F140*G140*$V$3)/J140</f>
        <v>-30.901950685637026</v>
      </c>
      <c r="M140" s="11">
        <f>ABS(L140/$V$6)</f>
        <v>9.0093150686988407E-2</v>
      </c>
      <c r="N140" s="11">
        <f>L140*SIN(RADIANS(K140))</f>
        <v>-22.229003036280979</v>
      </c>
      <c r="O140" s="11">
        <f>L140*COS(RADIANS(K140))</f>
        <v>-21.46629870728891</v>
      </c>
      <c r="P140" s="1">
        <v>2.6111485492360433</v>
      </c>
      <c r="Q140" s="1">
        <v>0.68754608121666483</v>
      </c>
      <c r="R140" s="1">
        <f>P140/Q140</f>
        <v>3.7977796988027599</v>
      </c>
    </row>
    <row r="141" spans="1:18" x14ac:dyDescent="0.35">
      <c r="A141" s="14">
        <v>2445</v>
      </c>
      <c r="B141" s="6">
        <v>0.75</v>
      </c>
      <c r="C141" s="6">
        <v>6000000</v>
      </c>
      <c r="D141" s="6">
        <v>20</v>
      </c>
      <c r="E141" s="6">
        <v>0.375</v>
      </c>
      <c r="F141" s="6">
        <v>0</v>
      </c>
      <c r="G141" s="11">
        <f>(C141*$V$4)/($V$5*$V$3)</f>
        <v>88.16326530612244</v>
      </c>
      <c r="H141" s="11">
        <f>G141*COS(RADIANS(D141))</f>
        <v>82.846369832553549</v>
      </c>
      <c r="I141" s="11">
        <f>G141*SIN(RADIANS(D141))</f>
        <v>30.153612636058952</v>
      </c>
      <c r="J141" s="11">
        <v>0.29299999999999998</v>
      </c>
      <c r="K141" s="12">
        <v>57</v>
      </c>
      <c r="L141" s="11">
        <f>-(F141*G141*$V$3)/J141</f>
        <v>0</v>
      </c>
      <c r="M141" s="11">
        <f>ABS(L141/$V$6)</f>
        <v>0</v>
      </c>
      <c r="N141" s="11">
        <f>L141*SIN(RADIANS(K141))</f>
        <v>0</v>
      </c>
      <c r="O141" s="11">
        <f>L141*COS(RADIANS(K141))</f>
        <v>0</v>
      </c>
      <c r="P141" s="1">
        <v>4.866566287133848</v>
      </c>
      <c r="Q141" s="1">
        <v>1.6328800117435958</v>
      </c>
      <c r="R141" s="1">
        <f>P141/Q141</f>
        <v>2.9803575597311092</v>
      </c>
    </row>
    <row r="142" spans="1:18" x14ac:dyDescent="0.35">
      <c r="A142" s="14">
        <v>2446</v>
      </c>
      <c r="B142" s="6">
        <v>0.75</v>
      </c>
      <c r="C142" s="6">
        <v>4000000</v>
      </c>
      <c r="D142" s="6">
        <v>5</v>
      </c>
      <c r="E142" s="6">
        <v>0.25</v>
      </c>
      <c r="F142" s="6">
        <v>0.05</v>
      </c>
      <c r="G142" s="11">
        <f>(C142*$V$4)/($V$5*$V$3)</f>
        <v>58.775510204081627</v>
      </c>
      <c r="H142" s="11">
        <f>G142*COS(RADIANS(D142))</f>
        <v>58.551851642943404</v>
      </c>
      <c r="I142" s="11">
        <f>G142*SIN(RADIANS(D142))</f>
        <v>5.1226232472092956</v>
      </c>
      <c r="J142" s="12">
        <v>0.28370000000000001</v>
      </c>
      <c r="K142" s="11">
        <v>38</v>
      </c>
      <c r="L142" s="11">
        <f>-(F142*G142*$V$3)/J142</f>
        <v>-10.358743426873744</v>
      </c>
      <c r="M142" s="11">
        <f>ABS(L142/$V$6)</f>
        <v>3.0200418154150858E-2</v>
      </c>
      <c r="N142" s="11">
        <f>L142*SIN(RADIANS(K142))</f>
        <v>-6.3774792607090545</v>
      </c>
      <c r="O142" s="11">
        <f>L142*COS(RADIANS(K142))</f>
        <v>-8.1628012142294555</v>
      </c>
      <c r="P142" s="1">
        <v>3.2933326261076115</v>
      </c>
      <c r="Q142" s="1">
        <v>0.35348500545810491</v>
      </c>
      <c r="R142" s="1">
        <f>P142/Q142</f>
        <v>9.3167533990290785</v>
      </c>
    </row>
    <row r="143" spans="1:18" x14ac:dyDescent="0.35">
      <c r="A143" s="14">
        <v>2447</v>
      </c>
      <c r="B143" s="6">
        <v>0.25</v>
      </c>
      <c r="C143" s="6">
        <v>2000000</v>
      </c>
      <c r="D143" s="6">
        <v>10</v>
      </c>
      <c r="E143" s="6">
        <v>0.125</v>
      </c>
      <c r="F143" s="6">
        <v>0.1</v>
      </c>
      <c r="G143" s="11">
        <f>(C143*$V$4)/($V$5*$V$3)</f>
        <v>29.387755102040813</v>
      </c>
      <c r="H143" s="11">
        <f>G143*COS(RADIANS(D143))</f>
        <v>28.941289068113864</v>
      </c>
      <c r="I143" s="11">
        <f>G143*SIN(RADIANS(D143))</f>
        <v>5.1031301191914213</v>
      </c>
      <c r="J143" s="11">
        <v>0.19020000000000001</v>
      </c>
      <c r="K143" s="11">
        <v>46</v>
      </c>
      <c r="L143" s="11">
        <f>-(F143*G143*$V$3)/J143</f>
        <v>-15.450975342818513</v>
      </c>
      <c r="M143" s="11">
        <f>ABS(L143/$V$6)</f>
        <v>4.5046575343494204E-2</v>
      </c>
      <c r="N143" s="11">
        <f>L143*SIN(RADIANS(K143))</f>
        <v>-11.114501518140489</v>
      </c>
      <c r="O143" s="11">
        <f>L143*COS(RADIANS(K143))</f>
        <v>-10.733149353644455</v>
      </c>
      <c r="P143" s="1">
        <v>2.4990398829325677</v>
      </c>
      <c r="Q143" s="1">
        <v>0.39386796472651497</v>
      </c>
      <c r="R143" s="1">
        <f>P143/Q143</f>
        <v>6.3448670791690152</v>
      </c>
    </row>
    <row r="144" spans="1:18" x14ac:dyDescent="0.35">
      <c r="A144" s="14">
        <v>2448</v>
      </c>
      <c r="B144" s="6">
        <v>0.1</v>
      </c>
      <c r="C144" s="6">
        <v>2000000</v>
      </c>
      <c r="D144" s="6">
        <v>5</v>
      </c>
      <c r="E144" s="6">
        <v>0.375</v>
      </c>
      <c r="F144" s="6">
        <v>0</v>
      </c>
      <c r="G144" s="11">
        <f>(C144*$V$4)/($V$5*$V$3)</f>
        <v>29.387755102040813</v>
      </c>
      <c r="H144" s="11">
        <f>G144*COS(RADIANS(D144))</f>
        <v>29.275925821471702</v>
      </c>
      <c r="I144" s="11">
        <f>G144*SIN(RADIANS(D144))</f>
        <v>2.5613116236046478</v>
      </c>
      <c r="J144" s="12">
        <v>0.16789999999999999</v>
      </c>
      <c r="K144" s="11">
        <v>85</v>
      </c>
      <c r="L144" s="11">
        <f>-(F144*G144*$V$3)/J144</f>
        <v>0</v>
      </c>
      <c r="M144" s="11">
        <f>ABS(L144/$V$6)</f>
        <v>0</v>
      </c>
      <c r="N144" s="11">
        <f>L144*SIN(RADIANS(K144))</f>
        <v>0</v>
      </c>
      <c r="O144" s="11">
        <f>L144*COS(RADIANS(K144))</f>
        <v>0</v>
      </c>
      <c r="P144" s="1">
        <v>1.6579346156563388</v>
      </c>
      <c r="Q144" s="1">
        <v>0.3590719292382486</v>
      </c>
      <c r="R144" s="1">
        <f>P144/Q144</f>
        <v>4.617277154395099</v>
      </c>
    </row>
    <row r="145" spans="1:18" x14ac:dyDescent="0.35">
      <c r="A145" s="14">
        <v>2449</v>
      </c>
      <c r="B145" s="6">
        <v>1</v>
      </c>
      <c r="C145" s="6">
        <v>6000000</v>
      </c>
      <c r="D145" s="6">
        <v>30</v>
      </c>
      <c r="E145" s="6">
        <v>0.375</v>
      </c>
      <c r="F145" s="6">
        <v>2.5000000000000001E-2</v>
      </c>
      <c r="G145" s="11">
        <f>(C145*$V$4)/($V$5*$V$3)</f>
        <v>88.16326530612244</v>
      </c>
      <c r="H145" s="11">
        <f>G145*COS(RADIANS(D145))</f>
        <v>76.351627435689281</v>
      </c>
      <c r="I145" s="11">
        <f>G145*SIN(RADIANS(D145))</f>
        <v>44.081632653061213</v>
      </c>
      <c r="J145" s="12">
        <v>0.33379999999999999</v>
      </c>
      <c r="K145" s="11">
        <v>49</v>
      </c>
      <c r="L145" s="11">
        <f>-(F145*G145*$V$3)/J145</f>
        <v>-6.6030006969834067</v>
      </c>
      <c r="M145" s="11">
        <f>ABS(L145/$V$6)</f>
        <v>1.9250730894995356E-2</v>
      </c>
      <c r="N145" s="11">
        <f>L145*SIN(RADIANS(K145))</f>
        <v>-4.9833478842310184</v>
      </c>
      <c r="O145" s="11">
        <f>L145*COS(RADIANS(K145))</f>
        <v>-4.3319582256865763</v>
      </c>
      <c r="P145" s="1">
        <v>5.5413781737516468</v>
      </c>
      <c r="Q145" s="1">
        <v>1.5865409582914152</v>
      </c>
      <c r="R145" s="1">
        <f>P145/Q145</f>
        <v>3.4927419584044603</v>
      </c>
    </row>
    <row r="146" spans="1:18" x14ac:dyDescent="0.35">
      <c r="A146" s="14">
        <v>2450</v>
      </c>
      <c r="B146" s="6">
        <v>0.25</v>
      </c>
      <c r="C146" s="6">
        <v>6000000</v>
      </c>
      <c r="D146" s="6">
        <v>5</v>
      </c>
      <c r="E146" s="6">
        <v>0</v>
      </c>
      <c r="F146" s="6">
        <v>3.5000000000000003E-2</v>
      </c>
      <c r="G146" s="11">
        <f>(C146*$V$4)/($V$5*$V$3)</f>
        <v>88.16326530612244</v>
      </c>
      <c r="H146" s="11">
        <f>G146*COS(RADIANS(D146))</f>
        <v>87.827777464415107</v>
      </c>
      <c r="I146" s="11">
        <f>G146*SIN(RADIANS(D146))</f>
        <v>7.6839348708139434</v>
      </c>
      <c r="J146" s="12">
        <v>0.18990000000000001</v>
      </c>
      <c r="K146" s="11">
        <v>0</v>
      </c>
      <c r="L146" s="11">
        <f>-(F146*G146*$V$3)/J146</f>
        <v>-16.249153689911985</v>
      </c>
      <c r="M146" s="11">
        <f>ABS(L146/$V$6)</f>
        <v>4.7373625918110743E-2</v>
      </c>
      <c r="N146" s="11">
        <f>L146*SIN(RADIANS(K146))</f>
        <v>0</v>
      </c>
      <c r="O146" s="11">
        <f>L146*COS(RADIANS(K146))</f>
        <v>-16.249153689911985</v>
      </c>
      <c r="P146" s="1">
        <v>2.1160628707120792</v>
      </c>
      <c r="Q146" s="1">
        <v>0.30562214981190089</v>
      </c>
      <c r="R146" s="1">
        <f>P146/Q146</f>
        <v>6.9237876639976434</v>
      </c>
    </row>
    <row r="147" spans="1:18" x14ac:dyDescent="0.35">
      <c r="A147" s="14">
        <v>2451</v>
      </c>
      <c r="B147" s="6">
        <v>1</v>
      </c>
      <c r="C147" s="6">
        <v>2000000</v>
      </c>
      <c r="D147" s="6">
        <v>30</v>
      </c>
      <c r="E147" s="6">
        <v>0</v>
      </c>
      <c r="F147" s="6">
        <v>2.5000000000000001E-2</v>
      </c>
      <c r="G147" s="11">
        <f>(C147*$V$4)/($V$5*$V$3)</f>
        <v>29.387755102040813</v>
      </c>
      <c r="H147" s="11">
        <f>G147*COS(RADIANS(D147))</f>
        <v>25.450542478563094</v>
      </c>
      <c r="I147" s="11">
        <f>G147*SIN(RADIANS(D147))</f>
        <v>14.693877551020405</v>
      </c>
      <c r="J147" s="11">
        <v>0.33379999999999999</v>
      </c>
      <c r="K147" s="12">
        <v>0</v>
      </c>
      <c r="L147" s="11">
        <f>-(F147*G147*$V$3)/J147</f>
        <v>-2.2010002323278024</v>
      </c>
      <c r="M147" s="11">
        <f>ABS(L147/$V$6)</f>
        <v>6.4169102983317851E-3</v>
      </c>
      <c r="N147" s="11">
        <f>L147*SIN(RADIANS(K147))</f>
        <v>0</v>
      </c>
      <c r="O147" s="11">
        <f>L147*COS(RADIANS(K147))</f>
        <v>-2.2010002323278024</v>
      </c>
      <c r="P147" s="1">
        <v>2.829927957997989</v>
      </c>
      <c r="Q147" s="1">
        <v>1.5520088475339437</v>
      </c>
      <c r="R147" s="1">
        <f>P147/Q147</f>
        <v>1.8233967947377285</v>
      </c>
    </row>
    <row r="148" spans="1:18" x14ac:dyDescent="0.35">
      <c r="A148" s="14">
        <v>2452</v>
      </c>
      <c r="B148" s="6">
        <v>0.1</v>
      </c>
      <c r="C148" s="6">
        <v>6000000</v>
      </c>
      <c r="D148" s="6">
        <v>10</v>
      </c>
      <c r="E148" s="6">
        <v>0.25</v>
      </c>
      <c r="F148" s="6">
        <v>1.4999999999999999E-2</v>
      </c>
      <c r="G148" s="11">
        <f>(C148*$V$4)/($V$5*$V$3)</f>
        <v>88.16326530612244</v>
      </c>
      <c r="H148" s="11">
        <f>G148*COS(RADIANS(D148))</f>
        <v>86.823867204341596</v>
      </c>
      <c r="I148" s="11">
        <f>G148*SIN(RADIANS(D148))</f>
        <v>15.309390357574264</v>
      </c>
      <c r="J148" s="11">
        <v>0.1661</v>
      </c>
      <c r="K148" s="12">
        <v>80</v>
      </c>
      <c r="L148" s="11">
        <f>-(F148*G148*$V$3)/J148</f>
        <v>-7.9617638747250847</v>
      </c>
      <c r="M148" s="11">
        <f>ABS(L148/$V$6)</f>
        <v>2.3212139576457971E-2</v>
      </c>
      <c r="N148" s="11">
        <f>L148*SIN(RADIANS(K148))</f>
        <v>-7.8408067914817812</v>
      </c>
      <c r="O148" s="11">
        <f>L148*COS(RADIANS(K148))</f>
        <v>-1.3825457878604097</v>
      </c>
      <c r="P148" s="1">
        <v>1.4947859557520164</v>
      </c>
      <c r="Q148" s="1">
        <v>0.4869225282991152</v>
      </c>
      <c r="R148" s="1">
        <f>P148/Q148</f>
        <v>3.069864031499018</v>
      </c>
    </row>
    <row r="149" spans="1:18" x14ac:dyDescent="0.35">
      <c r="A149" s="14">
        <v>2453</v>
      </c>
      <c r="B149" s="6">
        <v>0.1</v>
      </c>
      <c r="C149" s="6">
        <v>2000000</v>
      </c>
      <c r="D149" s="6">
        <v>30</v>
      </c>
      <c r="E149" s="6">
        <v>0.125</v>
      </c>
      <c r="F149" s="6">
        <v>0.05</v>
      </c>
      <c r="G149" s="11">
        <f>(C149*$V$4)/($V$5*$V$3)</f>
        <v>29.387755102040813</v>
      </c>
      <c r="H149" s="11">
        <f>G149*COS(RADIANS(D149))</f>
        <v>25.450542478563094</v>
      </c>
      <c r="I149" s="11">
        <f>G149*SIN(RADIANS(D149))</f>
        <v>14.693877551020405</v>
      </c>
      <c r="J149" s="12">
        <v>0.1658</v>
      </c>
      <c r="K149" s="11">
        <v>69</v>
      </c>
      <c r="L149" s="11">
        <f>-(F149*G149*$V$3)/J149</f>
        <v>-8.8624110681667112</v>
      </c>
      <c r="M149" s="11">
        <f>ABS(L149/$V$6)</f>
        <v>2.5837933143343182E-2</v>
      </c>
      <c r="N149" s="11">
        <f>L149*SIN(RADIANS(K149))</f>
        <v>-8.2737735048125991</v>
      </c>
      <c r="O149" s="11">
        <f>L149*COS(RADIANS(K149))</f>
        <v>-3.1760040825264797</v>
      </c>
      <c r="P149" s="1">
        <v>1.1520126781821314</v>
      </c>
      <c r="Q149" s="1">
        <v>0.91450695713314223</v>
      </c>
      <c r="R149" s="1">
        <f>P149/Q149</f>
        <v>1.2597090368711223</v>
      </c>
    </row>
    <row r="150" spans="1:18" x14ac:dyDescent="0.35">
      <c r="A150" s="14">
        <v>2454</v>
      </c>
      <c r="B150" s="6">
        <v>0.1</v>
      </c>
      <c r="C150" s="6">
        <v>4000000</v>
      </c>
      <c r="D150" s="6">
        <v>10</v>
      </c>
      <c r="E150" s="6">
        <v>0</v>
      </c>
      <c r="F150" s="6">
        <v>2.5000000000000001E-2</v>
      </c>
      <c r="G150" s="11">
        <f>(C150*$V$4)/($V$5*$V$3)</f>
        <v>58.775510204081627</v>
      </c>
      <c r="H150" s="11">
        <f>G150*COS(RADIANS(D150))</f>
        <v>57.882578136227728</v>
      </c>
      <c r="I150" s="11">
        <f>G150*SIN(RADIANS(D150))</f>
        <v>10.206260238382843</v>
      </c>
      <c r="J150" s="11">
        <v>0.16569999999999999</v>
      </c>
      <c r="K150" s="12">
        <v>0</v>
      </c>
      <c r="L150" s="11">
        <f>-(F150*G150*$V$3)/J150</f>
        <v>-8.8677595359205839</v>
      </c>
      <c r="M150" s="11">
        <f>ABS(L150/$V$6)</f>
        <v>2.5853526343791788E-2</v>
      </c>
      <c r="N150" s="11">
        <f>L150*SIN(RADIANS(K150))</f>
        <v>0</v>
      </c>
      <c r="O150" s="11">
        <f>L150*COS(RADIANS(K150))</f>
        <v>-8.8677595359205839</v>
      </c>
      <c r="P150" s="1">
        <v>1.299014623908453</v>
      </c>
      <c r="Q150" s="1">
        <v>0.40672977562606927</v>
      </c>
      <c r="R150" s="1">
        <f>P150/Q150</f>
        <v>3.1938026221682723</v>
      </c>
    </row>
    <row r="151" spans="1:18" x14ac:dyDescent="0.35">
      <c r="A151" s="14">
        <v>2455</v>
      </c>
      <c r="B151" s="6">
        <v>0.75</v>
      </c>
      <c r="C151" s="6">
        <v>2000000</v>
      </c>
      <c r="D151" s="6">
        <v>10</v>
      </c>
      <c r="E151" s="6">
        <v>0.375</v>
      </c>
      <c r="F151" s="6">
        <v>7.4999999999999997E-2</v>
      </c>
      <c r="G151" s="11">
        <f>(C151*$V$4)/($V$5*$V$3)</f>
        <v>29.387755102040813</v>
      </c>
      <c r="H151" s="11">
        <f>G151*COS(RADIANS(D151))</f>
        <v>28.941289068113864</v>
      </c>
      <c r="I151" s="11">
        <f>G151*SIN(RADIANS(D151))</f>
        <v>5.1031301191914213</v>
      </c>
      <c r="J151" s="11">
        <v>0.29299999999999998</v>
      </c>
      <c r="K151" s="12">
        <v>57</v>
      </c>
      <c r="L151" s="11">
        <f>-(F151*G151*$V$3)/J151</f>
        <v>-7.5224629100787066</v>
      </c>
      <c r="M151" s="11">
        <f>ABS(L151/$V$6)</f>
        <v>2.1931378746585149E-2</v>
      </c>
      <c r="N151" s="11">
        <f>L151*SIN(RADIANS(K151))</f>
        <v>-6.3088682411440962</v>
      </c>
      <c r="O151" s="11">
        <f>L151*COS(RADIANS(K151))</f>
        <v>-4.0970269402815989</v>
      </c>
      <c r="P151" s="1">
        <v>5.0935535597653523</v>
      </c>
      <c r="Q151" s="1">
        <v>-2.4855226407006454E-2</v>
      </c>
      <c r="R151" s="1">
        <f>P151/Q151</f>
        <v>-204.92887396630303</v>
      </c>
    </row>
    <row r="152" spans="1:18" x14ac:dyDescent="0.35">
      <c r="A152" s="14">
        <v>2456</v>
      </c>
      <c r="B152" s="6">
        <v>0.25</v>
      </c>
      <c r="C152" s="6">
        <v>4000000</v>
      </c>
      <c r="D152" s="6">
        <v>20</v>
      </c>
      <c r="E152" s="6">
        <v>0</v>
      </c>
      <c r="F152" s="6">
        <v>2.5000000000000001E-2</v>
      </c>
      <c r="G152" s="11">
        <f>(C152*$V$4)/($V$5*$V$3)</f>
        <v>58.775510204081627</v>
      </c>
      <c r="H152" s="11">
        <f>G152*COS(RADIANS(D152))</f>
        <v>55.230913221702366</v>
      </c>
      <c r="I152" s="11">
        <f>G152*SIN(RADIANS(D152))</f>
        <v>20.102408424039304</v>
      </c>
      <c r="J152" s="12">
        <v>0.18990000000000001</v>
      </c>
      <c r="K152" s="11">
        <v>0</v>
      </c>
      <c r="L152" s="11">
        <f>-(F152*G152*$V$3)/J152</f>
        <v>-7.73769223329142</v>
      </c>
      <c r="M152" s="11">
        <f>ABS(L152/$V$6)</f>
        <v>2.2558869484814635E-2</v>
      </c>
      <c r="N152" s="11">
        <f>L152*SIN(RADIANS(K152))</f>
        <v>0</v>
      </c>
      <c r="O152" s="11">
        <f>L152*COS(RADIANS(K152))</f>
        <v>-7.73769223329142</v>
      </c>
      <c r="P152" s="1">
        <v>2.0860312310097582</v>
      </c>
      <c r="Q152" s="1">
        <v>0.65409672443140587</v>
      </c>
      <c r="R152" s="1">
        <f>P152/Q152</f>
        <v>3.1891785313909136</v>
      </c>
    </row>
    <row r="153" spans="1:18" x14ac:dyDescent="0.35">
      <c r="A153" s="14">
        <v>2457</v>
      </c>
      <c r="B153" s="6">
        <v>0.1</v>
      </c>
      <c r="C153" s="6">
        <v>2000000</v>
      </c>
      <c r="D153" s="6">
        <v>0</v>
      </c>
      <c r="E153" s="6">
        <v>0.375</v>
      </c>
      <c r="F153" s="6">
        <v>0.1</v>
      </c>
      <c r="G153" s="11">
        <f>(C153*$V$4)/($V$5*$V$3)</f>
        <v>29.387755102040813</v>
      </c>
      <c r="H153" s="11">
        <f>G153*COS(RADIANS(D153))</f>
        <v>29.387755102040813</v>
      </c>
      <c r="I153" s="11">
        <f>G153*SIN(RADIANS(D153))</f>
        <v>0</v>
      </c>
      <c r="J153" s="12">
        <v>0.16789999999999999</v>
      </c>
      <c r="K153" s="11">
        <v>85</v>
      </c>
      <c r="L153" s="11">
        <f>-(F153*G153*$V$3)/J153</f>
        <v>-17.503129899964751</v>
      </c>
      <c r="M153" s="11">
        <f>ABS(L153/$V$6)</f>
        <v>5.1029533236048835E-2</v>
      </c>
      <c r="N153" s="11">
        <f>L153*SIN(RADIANS(K153))</f>
        <v>-17.436525206355988</v>
      </c>
      <c r="O153" s="11">
        <f>L153*COS(RADIANS(K153))</f>
        <v>-1.5254982868401712</v>
      </c>
      <c r="P153" s="1">
        <v>1.7931574580659142</v>
      </c>
      <c r="Q153" s="1">
        <v>0.16598857295985403</v>
      </c>
      <c r="R153" s="1">
        <f>P153/Q153</f>
        <v>10.802897007251259</v>
      </c>
    </row>
    <row r="154" spans="1:18" x14ac:dyDescent="0.35">
      <c r="A154" s="14">
        <v>2458</v>
      </c>
      <c r="B154" s="6">
        <v>1</v>
      </c>
      <c r="C154" s="6">
        <v>2000000</v>
      </c>
      <c r="D154" s="6">
        <v>15</v>
      </c>
      <c r="E154" s="6">
        <v>0.375</v>
      </c>
      <c r="F154" s="6">
        <v>1.4999999999999999E-2</v>
      </c>
      <c r="G154" s="11">
        <f>(C154*$V$4)/($V$5*$V$3)</f>
        <v>29.387755102040813</v>
      </c>
      <c r="H154" s="11">
        <f>G154*COS(RADIANS(D154))</f>
        <v>28.386391629719554</v>
      </c>
      <c r="I154" s="11">
        <f>G154*SIN(RADIANS(D154))</f>
        <v>7.6061107132169354</v>
      </c>
      <c r="J154" s="12">
        <v>0.33379999999999999</v>
      </c>
      <c r="K154" s="11">
        <v>49</v>
      </c>
      <c r="L154" s="11">
        <f>-(F154*G154*$V$3)/J154</f>
        <v>-1.3206001393966813</v>
      </c>
      <c r="M154" s="11">
        <f>ABS(L154/$V$6)</f>
        <v>3.8501461789990708E-3</v>
      </c>
      <c r="N154" s="11">
        <f>L154*SIN(RADIANS(K154))</f>
        <v>-0.99666957684620361</v>
      </c>
      <c r="O154" s="11">
        <f>L154*COS(RADIANS(K154))</f>
        <v>-0.86639164513731526</v>
      </c>
      <c r="P154" s="1">
        <v>5.2082904710382891</v>
      </c>
      <c r="Q154" s="1">
        <v>0.39818765740507678</v>
      </c>
      <c r="R154" s="1">
        <f>P154/Q154</f>
        <v>13.079989733935648</v>
      </c>
    </row>
    <row r="155" spans="1:18" x14ac:dyDescent="0.35">
      <c r="A155" s="14">
        <v>2459</v>
      </c>
      <c r="B155" s="6">
        <v>0.25</v>
      </c>
      <c r="C155" s="6">
        <v>4000000</v>
      </c>
      <c r="D155" s="6">
        <v>30</v>
      </c>
      <c r="E155" s="6">
        <v>0.25</v>
      </c>
      <c r="F155" s="6">
        <v>0</v>
      </c>
      <c r="G155" s="11">
        <f>(C155*$V$4)/($V$5*$V$3)</f>
        <v>58.775510204081627</v>
      </c>
      <c r="H155" s="11">
        <f>G155*COS(RADIANS(D155))</f>
        <v>50.901084957126187</v>
      </c>
      <c r="I155" s="11">
        <f>G155*SIN(RADIANS(D155))</f>
        <v>29.38775510204081</v>
      </c>
      <c r="J155" s="12">
        <v>0.1913</v>
      </c>
      <c r="K155" s="11">
        <v>67</v>
      </c>
      <c r="L155" s="11">
        <f>-(F155*G155*$V$3)/J155</f>
        <v>0</v>
      </c>
      <c r="M155" s="11">
        <f>ABS(L155/$V$6)</f>
        <v>0</v>
      </c>
      <c r="N155" s="11">
        <f>L155*SIN(RADIANS(K155))</f>
        <v>0</v>
      </c>
      <c r="O155" s="11">
        <f>L155*COS(RADIANS(K155))</f>
        <v>0</v>
      </c>
      <c r="P155" s="1">
        <v>2.5828104079915826</v>
      </c>
      <c r="Q155" s="1">
        <v>1.2123258995650033</v>
      </c>
      <c r="R155" s="1">
        <f>P155/Q155</f>
        <v>2.1304588221024767</v>
      </c>
    </row>
    <row r="156" spans="1:18" x14ac:dyDescent="0.35">
      <c r="A156" s="14">
        <v>2460</v>
      </c>
      <c r="B156" s="6">
        <v>0.75</v>
      </c>
      <c r="C156" s="6">
        <v>6000000</v>
      </c>
      <c r="D156" s="6">
        <v>5</v>
      </c>
      <c r="E156" s="6">
        <v>0.125</v>
      </c>
      <c r="F156" s="6">
        <v>0.1</v>
      </c>
      <c r="G156" s="11">
        <f>(C156*$V$4)/($V$5*$V$3)</f>
        <v>88.16326530612244</v>
      </c>
      <c r="H156" s="11">
        <f>G156*COS(RADIANS(D156))</f>
        <v>87.827777464415107</v>
      </c>
      <c r="I156" s="11">
        <f>G156*SIN(RADIANS(D156))</f>
        <v>7.6839348708139434</v>
      </c>
      <c r="J156" s="12">
        <v>0.2802</v>
      </c>
      <c r="K156" s="11">
        <v>19</v>
      </c>
      <c r="L156" s="11">
        <f>-(F156*G156*$V$3)/J156</f>
        <v>-31.464405890835987</v>
      </c>
      <c r="M156" s="11">
        <f>ABS(L156/$V$6)</f>
        <v>9.1732961780862932E-2</v>
      </c>
      <c r="N156" s="11">
        <f>L156*SIN(RADIANS(K156))</f>
        <v>-10.243808556970363</v>
      </c>
      <c r="O156" s="11">
        <f>L156*COS(RADIANS(K156))</f>
        <v>-29.750180239981997</v>
      </c>
      <c r="P156" s="1">
        <v>3.7233715081898948</v>
      </c>
      <c r="Q156" s="1">
        <v>0.38158003432517895</v>
      </c>
      <c r="R156" s="1">
        <f>P156/Q156</f>
        <v>9.7577733981146206</v>
      </c>
    </row>
    <row r="157" spans="1:18" x14ac:dyDescent="0.35">
      <c r="A157" s="14">
        <v>2461</v>
      </c>
      <c r="B157" s="6">
        <v>0.25</v>
      </c>
      <c r="C157" s="6">
        <v>2000000</v>
      </c>
      <c r="D157" s="6">
        <v>10</v>
      </c>
      <c r="E157" s="6">
        <v>0.375</v>
      </c>
      <c r="F157" s="6">
        <v>0.15</v>
      </c>
      <c r="G157" s="11">
        <f>(C157*$V$4)/($V$5*$V$3)</f>
        <v>29.387755102040813</v>
      </c>
      <c r="H157" s="11">
        <f>G157*COS(RADIANS(D157))</f>
        <v>28.941289068113864</v>
      </c>
      <c r="I157" s="11">
        <f>G157*SIN(RADIANS(D157))</f>
        <v>5.1031301191914213</v>
      </c>
      <c r="J157" s="11">
        <v>0.1976</v>
      </c>
      <c r="K157" s="12">
        <v>78</v>
      </c>
      <c r="L157" s="11">
        <f>-(F157*G157*$V$3)/J157</f>
        <v>-22.308518549120052</v>
      </c>
      <c r="M157" s="11">
        <f>ABS(L157/$V$6)</f>
        <v>6.5039412679650299E-2</v>
      </c>
      <c r="N157" s="11">
        <f>L157*SIN(RADIANS(K157))</f>
        <v>-21.821023894747377</v>
      </c>
      <c r="O157" s="11">
        <f>L157*COS(RADIANS(K157))</f>
        <v>-4.6382018111869003</v>
      </c>
      <c r="P157" s="1">
        <v>2.9346036498946173</v>
      </c>
      <c r="Q157" s="1">
        <v>0.33458671857430927</v>
      </c>
      <c r="R157" s="1">
        <f>P157/Q157</f>
        <v>8.770831258332997</v>
      </c>
    </row>
    <row r="158" spans="1:18" x14ac:dyDescent="0.35">
      <c r="A158" s="14">
        <v>2462</v>
      </c>
      <c r="B158" s="6">
        <v>1</v>
      </c>
      <c r="C158" s="6">
        <v>2000000</v>
      </c>
      <c r="D158" s="6">
        <v>10</v>
      </c>
      <c r="E158" s="6">
        <v>0.125</v>
      </c>
      <c r="F158" s="6">
        <v>0.1</v>
      </c>
      <c r="G158" s="11">
        <f>(C158*$V$4)/($V$5*$V$3)</f>
        <v>29.387755102040813</v>
      </c>
      <c r="H158" s="11">
        <f>G158*COS(RADIANS(D158))</f>
        <v>28.941289068113864</v>
      </c>
      <c r="I158" s="11">
        <f>G158*SIN(RADIANS(D158))</f>
        <v>5.1031301191914213</v>
      </c>
      <c r="J158" s="11">
        <v>0.33379999999999999</v>
      </c>
      <c r="K158" s="12">
        <v>14</v>
      </c>
      <c r="L158" s="11">
        <f>-(F158*G158*$V$3)/J158</f>
        <v>-8.8040009293112096</v>
      </c>
      <c r="M158" s="11">
        <f>ABS(L158/$V$6)</f>
        <v>2.566764119332714E-2</v>
      </c>
      <c r="N158" s="11">
        <f>L158*SIN(RADIANS(K158))</f>
        <v>-2.1298805936802041</v>
      </c>
      <c r="O158" s="11">
        <f>L158*COS(RADIANS(K158))</f>
        <v>-8.5424844758405687</v>
      </c>
      <c r="P158" s="1">
        <v>3.0267846245801464</v>
      </c>
      <c r="Q158" s="1">
        <v>0.81437069358342307</v>
      </c>
      <c r="R158" s="1">
        <f>P158/Q158</f>
        <v>3.7167160464254678</v>
      </c>
    </row>
    <row r="159" spans="1:18" x14ac:dyDescent="0.35">
      <c r="A159" s="14">
        <v>2463</v>
      </c>
      <c r="B159" s="6">
        <v>0.25</v>
      </c>
      <c r="C159" s="6">
        <v>2000000</v>
      </c>
      <c r="D159" s="6">
        <v>10</v>
      </c>
      <c r="E159" s="6">
        <v>0.25</v>
      </c>
      <c r="F159" s="6">
        <v>1.4999999999999999E-2</v>
      </c>
      <c r="G159" s="11">
        <f>(C159*$V$4)/($V$5*$V$3)</f>
        <v>29.387755102040813</v>
      </c>
      <c r="H159" s="11">
        <f>G159*COS(RADIANS(D159))</f>
        <v>28.941289068113864</v>
      </c>
      <c r="I159" s="11">
        <f>G159*SIN(RADIANS(D159))</f>
        <v>5.1031301191914213</v>
      </c>
      <c r="J159" s="12">
        <v>0.1913</v>
      </c>
      <c r="K159" s="11">
        <v>67</v>
      </c>
      <c r="L159" s="11">
        <f>-(F159*G159*$V$3)/J159</f>
        <v>-2.30431953230848</v>
      </c>
      <c r="M159" s="11">
        <f>ABS(L159/$V$6)</f>
        <v>6.7181327472550434E-3</v>
      </c>
      <c r="N159" s="11">
        <f>L159*SIN(RADIANS(K159))</f>
        <v>-2.1211373133952134</v>
      </c>
      <c r="O159" s="11">
        <f>L159*COS(RADIANS(K159))</f>
        <v>-0.90036937125876781</v>
      </c>
      <c r="P159" s="1">
        <v>2.1698959538370466</v>
      </c>
      <c r="Q159" s="1">
        <v>0.41869538205539536</v>
      </c>
      <c r="R159" s="1">
        <f>P159/Q159</f>
        <v>5.1825170442170272</v>
      </c>
    </row>
    <row r="160" spans="1:18" x14ac:dyDescent="0.35">
      <c r="A160" s="14">
        <v>2464</v>
      </c>
      <c r="B160" s="6">
        <v>0.1</v>
      </c>
      <c r="C160" s="6">
        <v>2000000</v>
      </c>
      <c r="D160" s="6">
        <v>20</v>
      </c>
      <c r="E160" s="6">
        <v>0.25</v>
      </c>
      <c r="F160" s="6">
        <v>0.15</v>
      </c>
      <c r="G160" s="11">
        <f>(C160*$V$4)/($V$5*$V$3)</f>
        <v>29.387755102040813</v>
      </c>
      <c r="H160" s="11">
        <f>G160*COS(RADIANS(D160))</f>
        <v>27.615456610851183</v>
      </c>
      <c r="I160" s="11">
        <f>G160*SIN(RADIANS(D160))</f>
        <v>10.051204212019652</v>
      </c>
      <c r="J160" s="11">
        <v>0.1661</v>
      </c>
      <c r="K160" s="12">
        <v>80</v>
      </c>
      <c r="L160" s="11">
        <f>-(F160*G160*$V$3)/J160</f>
        <v>-26.539212915750284</v>
      </c>
      <c r="M160" s="11">
        <f>ABS(L160/$V$6)</f>
        <v>7.7373798588193252E-2</v>
      </c>
      <c r="N160" s="11">
        <f>L160*SIN(RADIANS(K160))</f>
        <v>-26.136022638272607</v>
      </c>
      <c r="O160" s="11">
        <f>L160*COS(RADIANS(K160))</f>
        <v>-4.6084859595346996</v>
      </c>
      <c r="P160" s="1">
        <v>2.0715132338226132</v>
      </c>
      <c r="Q160" s="1">
        <v>0.88186208698687141</v>
      </c>
      <c r="R160" s="1">
        <f>P160/Q160</f>
        <v>2.3490217624623346</v>
      </c>
    </row>
    <row r="161" spans="1:18" x14ac:dyDescent="0.35">
      <c r="A161" s="14">
        <v>2465</v>
      </c>
      <c r="B161" s="6">
        <v>0.25</v>
      </c>
      <c r="C161" s="6">
        <v>2000000</v>
      </c>
      <c r="D161" s="6">
        <v>10</v>
      </c>
      <c r="E161" s="6">
        <v>0.125</v>
      </c>
      <c r="F161" s="6">
        <v>1.4999999999999999E-2</v>
      </c>
      <c r="G161" s="11">
        <f>(C161*$V$4)/($V$5*$V$3)</f>
        <v>29.387755102040813</v>
      </c>
      <c r="H161" s="11">
        <f>G161*COS(RADIANS(D161))</f>
        <v>28.941289068113864</v>
      </c>
      <c r="I161" s="11">
        <f>G161*SIN(RADIANS(D161))</f>
        <v>5.1031301191914213</v>
      </c>
      <c r="J161" s="11">
        <v>0.19020000000000001</v>
      </c>
      <c r="K161" s="11">
        <v>46</v>
      </c>
      <c r="L161" s="11">
        <f>-(F161*G161*$V$3)/J161</f>
        <v>-2.3176463014227768</v>
      </c>
      <c r="M161" s="11">
        <f>ABS(L161/$V$6)</f>
        <v>6.7569863015241307E-3</v>
      </c>
      <c r="N161" s="11">
        <f>L161*SIN(RADIANS(K161))</f>
        <v>-1.6671752277210734</v>
      </c>
      <c r="O161" s="11">
        <f>L161*COS(RADIANS(K161))</f>
        <v>-1.6099724030466682</v>
      </c>
      <c r="P161" s="1">
        <v>2.1061550209091506</v>
      </c>
      <c r="Q161" s="1">
        <v>0.46561835768250959</v>
      </c>
      <c r="R161" s="1">
        <f>P161/Q161</f>
        <v>4.5233504782585721</v>
      </c>
    </row>
    <row r="162" spans="1:18" x14ac:dyDescent="0.35">
      <c r="A162" s="14">
        <v>2466</v>
      </c>
      <c r="B162" s="6">
        <v>0.1</v>
      </c>
      <c r="C162" s="6">
        <v>6000000</v>
      </c>
      <c r="D162" s="6">
        <v>10</v>
      </c>
      <c r="E162" s="6">
        <v>0.125</v>
      </c>
      <c r="F162" s="6">
        <v>2.5000000000000001E-2</v>
      </c>
      <c r="G162" s="11">
        <f>(C162*$V$4)/($V$5*$V$3)</f>
        <v>88.16326530612244</v>
      </c>
      <c r="H162" s="11">
        <f>G162*COS(RADIANS(D162))</f>
        <v>86.823867204341596</v>
      </c>
      <c r="I162" s="11">
        <f>G162*SIN(RADIANS(D162))</f>
        <v>15.309390357574264</v>
      </c>
      <c r="J162" s="12">
        <v>0.1658</v>
      </c>
      <c r="K162" s="11">
        <v>69</v>
      </c>
      <c r="L162" s="11">
        <f>-(F162*G162*$V$3)/J162</f>
        <v>-13.293616602250067</v>
      </c>
      <c r="M162" s="11">
        <f>ABS(L162/$V$6)</f>
        <v>3.8756899715014774E-2</v>
      </c>
      <c r="N162" s="11">
        <f>L162*SIN(RADIANS(K162))</f>
        <v>-12.410660257218899</v>
      </c>
      <c r="O162" s="11">
        <f>L162*COS(RADIANS(K162))</f>
        <v>-4.7640061237897191</v>
      </c>
      <c r="P162" s="1">
        <v>1.3669862806587749</v>
      </c>
      <c r="Q162" s="1">
        <v>0.44871584455624097</v>
      </c>
      <c r="R162" s="1">
        <f>P162/Q162</f>
        <v>3.0464408539231784</v>
      </c>
    </row>
    <row r="163" spans="1:18" x14ac:dyDescent="0.35">
      <c r="A163" s="14">
        <v>2467</v>
      </c>
      <c r="B163" s="6">
        <v>0.5</v>
      </c>
      <c r="C163" s="6">
        <v>2000000</v>
      </c>
      <c r="D163" s="6">
        <v>30</v>
      </c>
      <c r="E163" s="6">
        <v>0.25</v>
      </c>
      <c r="F163" s="6">
        <v>0.05</v>
      </c>
      <c r="G163" s="11">
        <f>(C163*$V$4)/($V$5*$V$3)</f>
        <v>29.387755102040813</v>
      </c>
      <c r="H163" s="11">
        <f>G163*COS(RADIANS(D163))</f>
        <v>25.450542478563094</v>
      </c>
      <c r="I163" s="11">
        <f>G163*SIN(RADIANS(D163))</f>
        <v>14.693877551020405</v>
      </c>
      <c r="J163" s="11">
        <v>0.23580000000000001</v>
      </c>
      <c r="K163" s="11">
        <v>49</v>
      </c>
      <c r="L163" s="11">
        <f>-(F163*G163*$V$3)/J163</f>
        <v>-6.2315002336812579</v>
      </c>
      <c r="M163" s="11">
        <f>ABS(L163/$V$6)</f>
        <v>1.8167639165251482E-2</v>
      </c>
      <c r="N163" s="11">
        <f>L163*SIN(RADIANS(K163))</f>
        <v>-4.7029729255196875</v>
      </c>
      <c r="O163" s="11">
        <f>L163*COS(RADIANS(K163))</f>
        <v>-4.0882319924630455</v>
      </c>
      <c r="P163" s="1">
        <v>4.1535632612229216</v>
      </c>
      <c r="Q163" s="1">
        <v>1.320513402911019</v>
      </c>
      <c r="R163" s="1">
        <f>P163/Q163</f>
        <v>3.1454154513438164</v>
      </c>
    </row>
    <row r="164" spans="1:18" x14ac:dyDescent="0.35">
      <c r="A164" s="14">
        <v>2468</v>
      </c>
      <c r="B164" s="6">
        <v>1</v>
      </c>
      <c r="C164" s="6">
        <v>2000000</v>
      </c>
      <c r="D164" s="6">
        <v>10</v>
      </c>
      <c r="E164" s="6">
        <v>0.125</v>
      </c>
      <c r="F164" s="6">
        <v>0</v>
      </c>
      <c r="G164" s="11">
        <f>(C164*$V$4)/($V$5*$V$3)</f>
        <v>29.387755102040813</v>
      </c>
      <c r="H164" s="11">
        <f>G164*COS(RADIANS(D164))</f>
        <v>28.941289068113864</v>
      </c>
      <c r="I164" s="11">
        <f>G164*SIN(RADIANS(D164))</f>
        <v>5.1031301191914213</v>
      </c>
      <c r="J164" s="11">
        <v>0.33379999999999999</v>
      </c>
      <c r="K164" s="12">
        <v>14</v>
      </c>
      <c r="L164" s="11">
        <f>-(F164*G164*$V$3)/J164</f>
        <v>0</v>
      </c>
      <c r="M164" s="11">
        <f>ABS(L164/$V$6)</f>
        <v>0</v>
      </c>
      <c r="N164" s="11">
        <f>L164*SIN(RADIANS(K164))</f>
        <v>0</v>
      </c>
      <c r="O164" s="11">
        <f>L164*COS(RADIANS(K164))</f>
        <v>0</v>
      </c>
      <c r="P164" s="1">
        <v>5.9673119264070253</v>
      </c>
      <c r="Q164" s="1">
        <v>1.8911618964671391</v>
      </c>
      <c r="R164" s="1">
        <f>P164/Q164</f>
        <v>3.1553681033625423</v>
      </c>
    </row>
    <row r="165" spans="1:18" x14ac:dyDescent="0.35">
      <c r="A165" s="14">
        <v>2469</v>
      </c>
      <c r="B165" s="6">
        <v>0.1</v>
      </c>
      <c r="C165" s="6">
        <v>4000000</v>
      </c>
      <c r="D165" s="6">
        <v>20</v>
      </c>
      <c r="E165" s="6">
        <v>0.375</v>
      </c>
      <c r="F165" s="6">
        <v>3.5000000000000003E-2</v>
      </c>
      <c r="G165" s="11">
        <f>(C165*$V$4)/($V$5*$V$3)</f>
        <v>58.775510204081627</v>
      </c>
      <c r="H165" s="11">
        <f>G165*COS(RADIANS(D165))</f>
        <v>55.230913221702366</v>
      </c>
      <c r="I165" s="11">
        <f>G165*SIN(RADIANS(D165))</f>
        <v>20.102408424039304</v>
      </c>
      <c r="J165" s="12">
        <v>0.16789999999999999</v>
      </c>
      <c r="K165" s="11">
        <v>85</v>
      </c>
      <c r="L165" s="11">
        <f>-(F165*G165*$V$3)/J165</f>
        <v>-12.252190929975324</v>
      </c>
      <c r="M165" s="11">
        <f>ABS(L165/$V$6)</f>
        <v>3.5720673265234183E-2</v>
      </c>
      <c r="N165" s="11">
        <f>L165*SIN(RADIANS(K165))</f>
        <v>-12.205567644449191</v>
      </c>
      <c r="O165" s="11">
        <f>L165*COS(RADIANS(K165))</f>
        <v>-1.0678488007881197</v>
      </c>
      <c r="P165" s="1">
        <v>1.7633823428793127</v>
      </c>
      <c r="Q165" s="1">
        <v>0.84631529880552769</v>
      </c>
      <c r="R165" s="1">
        <f>P165/Q165</f>
        <v>2.0835997474795915</v>
      </c>
    </row>
    <row r="166" spans="1:18" x14ac:dyDescent="0.35">
      <c r="A166" s="14">
        <v>2470</v>
      </c>
      <c r="B166" s="6">
        <v>0.1</v>
      </c>
      <c r="C166" s="6">
        <v>6000000</v>
      </c>
      <c r="D166" s="6">
        <v>10</v>
      </c>
      <c r="E166" s="6">
        <v>0.375</v>
      </c>
      <c r="F166" s="6">
        <v>1.4999999999999999E-2</v>
      </c>
      <c r="G166" s="11">
        <f>(C166*$V$4)/($V$5*$V$3)</f>
        <v>88.16326530612244</v>
      </c>
      <c r="H166" s="11">
        <f>G166*COS(RADIANS(D166))</f>
        <v>86.823867204341596</v>
      </c>
      <c r="I166" s="11">
        <f>G166*SIN(RADIANS(D166))</f>
        <v>15.309390357574264</v>
      </c>
      <c r="J166" s="12">
        <v>0.16789999999999999</v>
      </c>
      <c r="K166" s="11">
        <v>85</v>
      </c>
      <c r="L166" s="11">
        <f>-(F166*G166*$V$3)/J166</f>
        <v>-7.8764084549841371</v>
      </c>
      <c r="M166" s="11">
        <f>ABS(L166/$V$6)</f>
        <v>2.2963289956221974E-2</v>
      </c>
      <c r="N166" s="11">
        <f>L166*SIN(RADIANS(K166))</f>
        <v>-7.8464363428601942</v>
      </c>
      <c r="O166" s="11">
        <f>L166*COS(RADIANS(K166))</f>
        <v>-0.68647422907807698</v>
      </c>
      <c r="P166" s="1">
        <v>1.7787138843364216</v>
      </c>
      <c r="Q166" s="1">
        <v>0.5143759460971189</v>
      </c>
      <c r="R166" s="1">
        <f>P166/Q166</f>
        <v>3.4580036213446577</v>
      </c>
    </row>
    <row r="167" spans="1:18" x14ac:dyDescent="0.35">
      <c r="A167" s="14">
        <v>2471</v>
      </c>
      <c r="B167" s="6">
        <v>0.25</v>
      </c>
      <c r="C167" s="6">
        <v>2000000</v>
      </c>
      <c r="D167" s="6">
        <v>5</v>
      </c>
      <c r="E167" s="6">
        <v>0.125</v>
      </c>
      <c r="F167" s="6">
        <v>0.05</v>
      </c>
      <c r="G167" s="11">
        <f>(C167*$V$4)/($V$5*$V$3)</f>
        <v>29.387755102040813</v>
      </c>
      <c r="H167" s="11">
        <f>G167*COS(RADIANS(D167))</f>
        <v>29.275925821471702</v>
      </c>
      <c r="I167" s="11">
        <f>G167*SIN(RADIANS(D167))</f>
        <v>2.5613116236046478</v>
      </c>
      <c r="J167" s="11">
        <v>0.19020000000000001</v>
      </c>
      <c r="K167" s="11">
        <v>46</v>
      </c>
      <c r="L167" s="11">
        <f>-(F167*G167*$V$3)/J167</f>
        <v>-7.7254876714092564</v>
      </c>
      <c r="M167" s="11">
        <f>ABS(L167/$V$6)</f>
        <v>2.2523287671747102E-2</v>
      </c>
      <c r="N167" s="11">
        <f>L167*SIN(RADIANS(K167))</f>
        <v>-5.5572507590702447</v>
      </c>
      <c r="O167" s="11">
        <f>L167*COS(RADIANS(K167))</f>
        <v>-5.3665746768222276</v>
      </c>
      <c r="P167" s="1">
        <v>2.2256325776208952</v>
      </c>
      <c r="Q167" s="1">
        <v>0.30410848674495533</v>
      </c>
      <c r="R167" s="1">
        <f>P167/Q167</f>
        <v>7.3185480663269082</v>
      </c>
    </row>
    <row r="168" spans="1:18" x14ac:dyDescent="0.35">
      <c r="A168" s="14">
        <v>2852</v>
      </c>
      <c r="B168" s="6">
        <v>0.5</v>
      </c>
      <c r="C168" s="6">
        <v>6000000</v>
      </c>
      <c r="D168" s="6">
        <v>0</v>
      </c>
      <c r="E168" s="6">
        <v>0.125</v>
      </c>
      <c r="F168" s="6">
        <v>0.15</v>
      </c>
      <c r="G168" s="11">
        <f>(C168*$V$4)/($V$5*$V$3)</f>
        <v>88.16326530612244</v>
      </c>
      <c r="H168" s="11">
        <f>G168*COS(RADIANS(D168))</f>
        <v>88.16326530612244</v>
      </c>
      <c r="I168" s="11">
        <f>G168*SIN(RADIANS(D168))</f>
        <v>0</v>
      </c>
      <c r="J168" s="19">
        <v>0.23300000000000001</v>
      </c>
      <c r="K168" s="20">
        <v>27</v>
      </c>
      <c r="L168" s="11">
        <f>-(F168*G168*$V$3)/J168</f>
        <v>-56.757466935271957</v>
      </c>
      <c r="M168" s="11">
        <f>ABS(L168/$V$6)</f>
        <v>0.16547366453432058</v>
      </c>
      <c r="N168" s="11">
        <f>L168*SIN(RADIANS(K168))</f>
        <v>-25.767350777894915</v>
      </c>
      <c r="O168" s="11">
        <f>L168*COS(RADIANS(K168))</f>
        <v>-50.571273335732883</v>
      </c>
      <c r="P168" s="1">
        <v>5.3791401941680457</v>
      </c>
      <c r="Q168" s="1">
        <v>-0.25720394760767645</v>
      </c>
      <c r="R168" s="1">
        <f>P168/Q168</f>
        <v>-20.913909931013443</v>
      </c>
    </row>
    <row r="169" spans="1:18" x14ac:dyDescent="0.35">
      <c r="A169" s="14">
        <v>2473</v>
      </c>
      <c r="B169" s="6">
        <v>0.25</v>
      </c>
      <c r="C169" s="6">
        <v>6000000</v>
      </c>
      <c r="D169" s="6">
        <v>5</v>
      </c>
      <c r="E169" s="6">
        <v>0</v>
      </c>
      <c r="F169" s="6">
        <v>2.5000000000000001E-2</v>
      </c>
      <c r="G169" s="11">
        <f>(C169*$V$4)/($V$5*$V$3)</f>
        <v>88.16326530612244</v>
      </c>
      <c r="H169" s="11">
        <f>G169*COS(RADIANS(D169))</f>
        <v>87.827777464415107</v>
      </c>
      <c r="I169" s="11">
        <f>G169*SIN(RADIANS(D169))</f>
        <v>7.6839348708139434</v>
      </c>
      <c r="J169" s="12">
        <v>0.18990000000000001</v>
      </c>
      <c r="K169" s="11">
        <v>0</v>
      </c>
      <c r="L169" s="11">
        <f>-(F169*G169*$V$3)/J169</f>
        <v>-11.606538349937129</v>
      </c>
      <c r="M169" s="11">
        <f>ABS(L169/$V$6)</f>
        <v>3.3838304227221949E-2</v>
      </c>
      <c r="N169" s="11">
        <f>L169*SIN(RADIANS(K169))</f>
        <v>0</v>
      </c>
      <c r="O169" s="11">
        <f>L169*COS(RADIANS(K169))</f>
        <v>-11.606538349937129</v>
      </c>
      <c r="P169" s="1">
        <v>2.0124989337711066</v>
      </c>
      <c r="Q169" s="1">
        <v>0.3228778778927856</v>
      </c>
      <c r="R169" s="1">
        <f>P169/Q169</f>
        <v>6.2330034714839595</v>
      </c>
    </row>
    <row r="170" spans="1:18" x14ac:dyDescent="0.35">
      <c r="A170" s="14">
        <v>2474</v>
      </c>
      <c r="B170" s="6">
        <v>0.75</v>
      </c>
      <c r="C170" s="6">
        <v>2000000</v>
      </c>
      <c r="D170" s="6">
        <v>20</v>
      </c>
      <c r="E170" s="6">
        <v>0.25</v>
      </c>
      <c r="F170" s="6">
        <v>0.1</v>
      </c>
      <c r="G170" s="11">
        <f>(C170*$V$4)/($V$5*$V$3)</f>
        <v>29.387755102040813</v>
      </c>
      <c r="H170" s="11">
        <f>G170*COS(RADIANS(D170))</f>
        <v>27.615456610851183</v>
      </c>
      <c r="I170" s="11">
        <f>G170*SIN(RADIANS(D170))</f>
        <v>10.051204212019652</v>
      </c>
      <c r="J170" s="12">
        <v>0.28370000000000001</v>
      </c>
      <c r="K170" s="11">
        <v>38</v>
      </c>
      <c r="L170" s="11">
        <f>-(F170*G170*$V$3)/J170</f>
        <v>-10.358743426873744</v>
      </c>
      <c r="M170" s="11">
        <f>ABS(L170/$V$6)</f>
        <v>3.0200418154150858E-2</v>
      </c>
      <c r="N170" s="11">
        <f>L170*SIN(RADIANS(K170))</f>
        <v>-6.3774792607090545</v>
      </c>
      <c r="O170" s="11">
        <f>L170*COS(RADIANS(K170))</f>
        <v>-8.1628012142294555</v>
      </c>
      <c r="P170" s="1">
        <v>4.6733377220954164</v>
      </c>
      <c r="Q170" s="1">
        <v>0.66768429754867753</v>
      </c>
      <c r="R170" s="1">
        <f>P170/Q170</f>
        <v>6.9993224930599878</v>
      </c>
    </row>
    <row r="171" spans="1:18" x14ac:dyDescent="0.35">
      <c r="A171" s="14">
        <v>2475</v>
      </c>
      <c r="B171" s="6">
        <v>0.75</v>
      </c>
      <c r="C171" s="6">
        <v>6000000</v>
      </c>
      <c r="D171" s="6">
        <v>5</v>
      </c>
      <c r="E171" s="6">
        <v>0.375</v>
      </c>
      <c r="F171" s="6">
        <v>0.1</v>
      </c>
      <c r="G171" s="11">
        <f>(C171*$V$4)/($V$5*$V$3)</f>
        <v>88.16326530612244</v>
      </c>
      <c r="H171" s="11">
        <f>G171*COS(RADIANS(D171))</f>
        <v>87.827777464415107</v>
      </c>
      <c r="I171" s="11">
        <f>G171*SIN(RADIANS(D171))</f>
        <v>7.6839348708139434</v>
      </c>
      <c r="J171" s="11">
        <v>0.29299999999999998</v>
      </c>
      <c r="K171" s="12">
        <v>57</v>
      </c>
      <c r="L171" s="11">
        <f>-(F171*G171*$V$3)/J171</f>
        <v>-30.089851640314826</v>
      </c>
      <c r="M171" s="11">
        <f>ABS(L171/$V$6)</f>
        <v>8.7725514986340597E-2</v>
      </c>
      <c r="N171" s="11">
        <f>L171*SIN(RADIANS(K171))</f>
        <v>-25.235472964576385</v>
      </c>
      <c r="O171" s="11">
        <f>L171*COS(RADIANS(K171))</f>
        <v>-16.388107761126395</v>
      </c>
      <c r="P171" s="1">
        <v>5.2003459550782605</v>
      </c>
      <c r="Q171" s="1">
        <v>-0.35698997905952495</v>
      </c>
      <c r="R171" s="1">
        <f>P171/Q171</f>
        <v>-14.56720429177971</v>
      </c>
    </row>
    <row r="172" spans="1:18" x14ac:dyDescent="0.35">
      <c r="A172" s="14">
        <v>2476</v>
      </c>
      <c r="B172" s="6">
        <v>0.75</v>
      </c>
      <c r="C172" s="6">
        <v>4000000</v>
      </c>
      <c r="D172" s="6">
        <v>10</v>
      </c>
      <c r="E172" s="6">
        <v>0.375</v>
      </c>
      <c r="F172" s="6">
        <v>1.4999999999999999E-2</v>
      </c>
      <c r="G172" s="11">
        <f>(C172*$V$4)/($V$5*$V$3)</f>
        <v>58.775510204081627</v>
      </c>
      <c r="H172" s="11">
        <f>G172*COS(RADIANS(D172))</f>
        <v>57.882578136227728</v>
      </c>
      <c r="I172" s="11">
        <f>G172*SIN(RADIANS(D172))</f>
        <v>10.206260238382843</v>
      </c>
      <c r="J172" s="11">
        <v>0.29299999999999998</v>
      </c>
      <c r="K172" s="12">
        <v>57</v>
      </c>
      <c r="L172" s="11">
        <f>-(F172*G172*$V$3)/J172</f>
        <v>-3.0089851640314826</v>
      </c>
      <c r="M172" s="11">
        <f>ABS(L172/$V$6)</f>
        <v>8.7725514986340593E-3</v>
      </c>
      <c r="N172" s="11">
        <f>L172*SIN(RADIANS(K172))</f>
        <v>-2.5235472964576386</v>
      </c>
      <c r="O172" s="11">
        <f>L172*COS(RADIANS(K172))</f>
        <v>-1.6388107761126396</v>
      </c>
      <c r="P172" s="1">
        <v>4.4531307766723405</v>
      </c>
      <c r="Q172" s="1">
        <v>8.4743249366245194E-2</v>
      </c>
      <c r="R172" s="1">
        <f>P172/Q172</f>
        <v>52.548501620780485</v>
      </c>
    </row>
    <row r="173" spans="1:18" x14ac:dyDescent="0.35">
      <c r="A173" s="14">
        <v>2477</v>
      </c>
      <c r="B173" s="6">
        <v>0.25</v>
      </c>
      <c r="C173" s="6">
        <v>2000000</v>
      </c>
      <c r="D173" s="6">
        <v>5</v>
      </c>
      <c r="E173" s="6">
        <v>0</v>
      </c>
      <c r="F173" s="6">
        <v>1.4999999999999999E-2</v>
      </c>
      <c r="G173" s="11">
        <f>(C173*$V$4)/($V$5*$V$3)</f>
        <v>29.387755102040813</v>
      </c>
      <c r="H173" s="11">
        <f>G173*COS(RADIANS(D173))</f>
        <v>29.275925821471702</v>
      </c>
      <c r="I173" s="11">
        <f>G173*SIN(RADIANS(D173))</f>
        <v>2.5613116236046478</v>
      </c>
      <c r="J173" s="12">
        <v>0.18990000000000001</v>
      </c>
      <c r="K173" s="11">
        <v>0</v>
      </c>
      <c r="L173" s="11">
        <f>-(F173*G173*$V$3)/J173</f>
        <v>-2.321307669987426</v>
      </c>
      <c r="M173" s="11">
        <f>ABS(L173/$V$6)</f>
        <v>6.7676608454443907E-3</v>
      </c>
      <c r="N173" s="11">
        <f>L173*SIN(RADIANS(K173))</f>
        <v>0</v>
      </c>
      <c r="O173" s="11">
        <f>L173*COS(RADIANS(K173))</f>
        <v>-2.321307669987426</v>
      </c>
      <c r="P173" s="1">
        <v>2.0052186681516408</v>
      </c>
      <c r="Q173" s="1">
        <v>0.33836313735534673</v>
      </c>
      <c r="R173" s="1">
        <f>P173/Q173</f>
        <v>5.9262326381782344</v>
      </c>
    </row>
    <row r="174" spans="1:18" x14ac:dyDescent="0.35">
      <c r="A174" s="14">
        <v>2478</v>
      </c>
      <c r="B174" s="6">
        <v>0.5</v>
      </c>
      <c r="C174" s="6">
        <v>2000000</v>
      </c>
      <c r="D174" s="6">
        <v>20</v>
      </c>
      <c r="E174" s="6">
        <v>0.25</v>
      </c>
      <c r="F174" s="6">
        <v>3.5000000000000003E-2</v>
      </c>
      <c r="G174" s="11">
        <f>(C174*$V$4)/($V$5*$V$3)</f>
        <v>29.387755102040813</v>
      </c>
      <c r="H174" s="11">
        <f>G174*COS(RADIANS(D174))</f>
        <v>27.615456610851183</v>
      </c>
      <c r="I174" s="11">
        <f>G174*SIN(RADIANS(D174))</f>
        <v>10.051204212019652</v>
      </c>
      <c r="J174" s="11">
        <v>0.23580000000000001</v>
      </c>
      <c r="K174" s="11">
        <v>49</v>
      </c>
      <c r="L174" s="11">
        <f>-(F174*G174*$V$3)/J174</f>
        <v>-4.3620501635768809</v>
      </c>
      <c r="M174" s="11">
        <f>ABS(L174/$V$6)</f>
        <v>1.2717347415676037E-2</v>
      </c>
      <c r="N174" s="11">
        <f>L174*SIN(RADIANS(K174))</f>
        <v>-3.2920810478637819</v>
      </c>
      <c r="O174" s="11">
        <f>L174*COS(RADIANS(K174))</f>
        <v>-2.8617623947241317</v>
      </c>
      <c r="P174" s="1">
        <v>2.8780357839996697</v>
      </c>
      <c r="Q174" s="1">
        <v>0.72175604311565111</v>
      </c>
      <c r="R174" s="1">
        <f>P174/Q174</f>
        <v>3.9875465005819226</v>
      </c>
    </row>
    <row r="175" spans="1:18" x14ac:dyDescent="0.35">
      <c r="A175" s="14">
        <v>2479</v>
      </c>
      <c r="B175" s="6">
        <v>1</v>
      </c>
      <c r="C175" s="6">
        <v>4000000</v>
      </c>
      <c r="D175" s="6">
        <v>5</v>
      </c>
      <c r="E175" s="6">
        <v>0.375</v>
      </c>
      <c r="F175" s="6">
        <v>0.05</v>
      </c>
      <c r="G175" s="11">
        <f>(C175*$V$4)/($V$5*$V$3)</f>
        <v>58.775510204081627</v>
      </c>
      <c r="H175" s="11">
        <f>G175*COS(RADIANS(D175))</f>
        <v>58.551851642943404</v>
      </c>
      <c r="I175" s="11">
        <f>G175*SIN(RADIANS(D175))</f>
        <v>5.1226232472092956</v>
      </c>
      <c r="J175" s="12">
        <v>0.33379999999999999</v>
      </c>
      <c r="K175" s="11">
        <v>49</v>
      </c>
      <c r="L175" s="11">
        <f>-(F175*G175*$V$3)/J175</f>
        <v>-8.8040009293112096</v>
      </c>
      <c r="M175" s="11">
        <f>ABS(L175/$V$6)</f>
        <v>2.566764119332714E-2</v>
      </c>
      <c r="N175" s="11">
        <f>L175*SIN(RADIANS(K175))</f>
        <v>-6.6444638456413578</v>
      </c>
      <c r="O175" s="11">
        <f>L175*COS(RADIANS(K175))</f>
        <v>-5.7759443009154356</v>
      </c>
      <c r="P175" s="1">
        <v>4.9818061200243164</v>
      </c>
      <c r="Q175" s="1">
        <v>-0.25885166016510625</v>
      </c>
      <c r="R175" s="1">
        <f>P175/Q175</f>
        <v>-19.245795514105321</v>
      </c>
    </row>
    <row r="176" spans="1:18" x14ac:dyDescent="0.35">
      <c r="A176" s="14">
        <v>2370</v>
      </c>
      <c r="B176" s="6">
        <v>0.5</v>
      </c>
      <c r="C176" s="6">
        <v>6000000</v>
      </c>
      <c r="D176" s="6">
        <v>30</v>
      </c>
      <c r="E176" s="6">
        <v>0.375</v>
      </c>
      <c r="F176" s="6">
        <v>0.15</v>
      </c>
      <c r="G176" s="11">
        <f>(C176*$V$4)/($V$5*$V$3)</f>
        <v>88.16326530612244</v>
      </c>
      <c r="H176" s="11">
        <f>G176*COS(RADIANS(D176))</f>
        <v>76.351627435689281</v>
      </c>
      <c r="I176" s="11">
        <f>G176*SIN(RADIANS(D176))</f>
        <v>44.081632653061213</v>
      </c>
      <c r="J176" s="19">
        <v>0.24809999999999999</v>
      </c>
      <c r="K176" s="20">
        <v>67</v>
      </c>
      <c r="L176" s="11">
        <f>-(F176*G176*$V$3)/J176</f>
        <v>-53.303062458356983</v>
      </c>
      <c r="M176" s="11">
        <f>ABS(L176/$V$6)</f>
        <v>0.15540251445585126</v>
      </c>
      <c r="N176" s="11">
        <f>L176*SIN(RADIANS(K176))</f>
        <v>-49.065727696796174</v>
      </c>
      <c r="O176" s="11">
        <f>L176*COS(RADIANS(K176))</f>
        <v>-20.827165746288063</v>
      </c>
      <c r="P176" s="1">
        <v>5.4762547771752565</v>
      </c>
      <c r="Q176" s="1">
        <v>1.291793072713024</v>
      </c>
      <c r="R176" s="1">
        <f>P176/Q176</f>
        <v>4.2392662515785329</v>
      </c>
    </row>
    <row r="177" spans="1:18" x14ac:dyDescent="0.35">
      <c r="A177" s="14">
        <v>2481</v>
      </c>
      <c r="B177" s="6">
        <v>0.25</v>
      </c>
      <c r="C177" s="6">
        <v>4000000</v>
      </c>
      <c r="D177" s="6">
        <v>5</v>
      </c>
      <c r="E177" s="6">
        <v>0</v>
      </c>
      <c r="F177" s="6">
        <v>0.05</v>
      </c>
      <c r="G177" s="11">
        <f>(C177*$V$4)/($V$5*$V$3)</f>
        <v>58.775510204081627</v>
      </c>
      <c r="H177" s="11">
        <f>G177*COS(RADIANS(D177))</f>
        <v>58.551851642943404</v>
      </c>
      <c r="I177" s="11">
        <f>G177*SIN(RADIANS(D177))</f>
        <v>5.1226232472092956</v>
      </c>
      <c r="J177" s="12">
        <v>0.18990000000000001</v>
      </c>
      <c r="K177" s="11">
        <v>0</v>
      </c>
      <c r="L177" s="11">
        <f>-(F177*G177*$V$3)/J177</f>
        <v>-15.47538446658284</v>
      </c>
      <c r="M177" s="11">
        <f>ABS(L177/$V$6)</f>
        <v>4.511773896962927E-2</v>
      </c>
      <c r="N177" s="11">
        <f>L177*SIN(RADIANS(K177))</f>
        <v>0</v>
      </c>
      <c r="O177" s="11">
        <f>L177*COS(RADIANS(K177))</f>
        <v>-15.47538446658284</v>
      </c>
      <c r="P177" s="1">
        <v>2.1732718984247814</v>
      </c>
      <c r="Q177" s="1">
        <v>0.28348842740467162</v>
      </c>
      <c r="R177" s="1">
        <f>P177/Q177</f>
        <v>7.6661750122254482</v>
      </c>
    </row>
    <row r="178" spans="1:18" x14ac:dyDescent="0.35">
      <c r="A178" s="14">
        <v>2482</v>
      </c>
      <c r="B178" s="6">
        <v>0.75</v>
      </c>
      <c r="C178" s="6">
        <v>4000000</v>
      </c>
      <c r="D178" s="6">
        <v>10</v>
      </c>
      <c r="E178" s="6">
        <v>0.375</v>
      </c>
      <c r="F178" s="6">
        <v>0.1</v>
      </c>
      <c r="G178" s="11">
        <f>(C178*$V$4)/($V$5*$V$3)</f>
        <v>58.775510204081627</v>
      </c>
      <c r="H178" s="11">
        <f>G178*COS(RADIANS(D178))</f>
        <v>57.882578136227728</v>
      </c>
      <c r="I178" s="11">
        <f>G178*SIN(RADIANS(D178))</f>
        <v>10.206260238382843</v>
      </c>
      <c r="J178" s="11">
        <v>0.29299999999999998</v>
      </c>
      <c r="K178" s="12">
        <v>57</v>
      </c>
      <c r="L178" s="11">
        <f>-(F178*G178*$V$3)/J178</f>
        <v>-20.059901093543218</v>
      </c>
      <c r="M178" s="11">
        <f>ABS(L178/$V$6)</f>
        <v>5.84836766575604E-2</v>
      </c>
      <c r="N178" s="11">
        <f>L178*SIN(RADIANS(K178))</f>
        <v>-16.823648643050923</v>
      </c>
      <c r="O178" s="11">
        <f>L178*COS(RADIANS(K178))</f>
        <v>-10.925405174084265</v>
      </c>
      <c r="P178" s="1">
        <v>5.5381755771690644</v>
      </c>
      <c r="Q178" s="1">
        <v>-7.1858318856750966E-2</v>
      </c>
      <c r="R178" s="1">
        <f>P178/Q178</f>
        <v>-77.070764600120654</v>
      </c>
    </row>
    <row r="179" spans="1:18" x14ac:dyDescent="0.35">
      <c r="A179" s="14">
        <v>2483</v>
      </c>
      <c r="B179" s="6">
        <v>0.75</v>
      </c>
      <c r="C179" s="6">
        <v>2000000</v>
      </c>
      <c r="D179" s="6">
        <v>15</v>
      </c>
      <c r="E179" s="6">
        <v>0.125</v>
      </c>
      <c r="F179" s="6">
        <v>0</v>
      </c>
      <c r="G179" s="11">
        <f>(C179*$V$4)/($V$5*$V$3)</f>
        <v>29.387755102040813</v>
      </c>
      <c r="H179" s="11">
        <f>G179*COS(RADIANS(D179))</f>
        <v>28.386391629719554</v>
      </c>
      <c r="I179" s="11">
        <f>G179*SIN(RADIANS(D179))</f>
        <v>7.6061107132169354</v>
      </c>
      <c r="J179" s="12">
        <v>0.2802</v>
      </c>
      <c r="K179" s="11">
        <v>19</v>
      </c>
      <c r="L179" s="11">
        <f>-(F179*G179*$V$3)/J179</f>
        <v>0</v>
      </c>
      <c r="M179" s="11">
        <f>ABS(L179/$V$6)</f>
        <v>0</v>
      </c>
      <c r="N179" s="11">
        <f>L179*SIN(RADIANS(K179))</f>
        <v>0</v>
      </c>
      <c r="O179" s="11">
        <f>L179*COS(RADIANS(K179))</f>
        <v>0</v>
      </c>
      <c r="P179" s="1">
        <v>5.0890283364978792</v>
      </c>
      <c r="Q179" s="1">
        <v>1.6758084497763119</v>
      </c>
      <c r="R179" s="1">
        <f>P179/Q179</f>
        <v>3.036760160254095</v>
      </c>
    </row>
    <row r="180" spans="1:18" x14ac:dyDescent="0.35">
      <c r="A180" s="14">
        <v>2484</v>
      </c>
      <c r="B180" s="6">
        <v>0.25</v>
      </c>
      <c r="C180" s="6">
        <v>6000000</v>
      </c>
      <c r="D180" s="6">
        <v>20</v>
      </c>
      <c r="E180" s="6">
        <v>0.375</v>
      </c>
      <c r="F180" s="6">
        <v>0.05</v>
      </c>
      <c r="G180" s="11">
        <f>(C180*$V$4)/($V$5*$V$3)</f>
        <v>88.16326530612244</v>
      </c>
      <c r="H180" s="11">
        <f>G180*COS(RADIANS(D180))</f>
        <v>82.846369832553549</v>
      </c>
      <c r="I180" s="11">
        <f>G180*SIN(RADIANS(D180))</f>
        <v>30.153612636058952</v>
      </c>
      <c r="J180" s="11">
        <v>0.1976</v>
      </c>
      <c r="K180" s="12">
        <v>78</v>
      </c>
      <c r="L180" s="11">
        <f>-(F180*G180*$V$3)/J180</f>
        <v>-22.308518549120052</v>
      </c>
      <c r="M180" s="11">
        <f>ABS(L180/$V$6)</f>
        <v>6.5039412679650299E-2</v>
      </c>
      <c r="N180" s="11">
        <f>L180*SIN(RADIANS(K180))</f>
        <v>-21.821023894747377</v>
      </c>
      <c r="O180" s="11">
        <f>L180*COS(RADIANS(K180))</f>
        <v>-4.6382018111869003</v>
      </c>
      <c r="P180" s="1">
        <v>2.5679383657287977</v>
      </c>
      <c r="Q180" s="1">
        <v>0.67376005935461225</v>
      </c>
      <c r="R180" s="1">
        <f>P180/Q180</f>
        <v>3.8113543984613738</v>
      </c>
    </row>
    <row r="181" spans="1:18" x14ac:dyDescent="0.35">
      <c r="A181" s="14">
        <v>2485</v>
      </c>
      <c r="B181" s="6">
        <v>1</v>
      </c>
      <c r="C181" s="6">
        <v>6000000</v>
      </c>
      <c r="D181" s="6">
        <v>10</v>
      </c>
      <c r="E181" s="6">
        <v>0.375</v>
      </c>
      <c r="F181" s="6">
        <v>2.5000000000000001E-2</v>
      </c>
      <c r="G181" s="11">
        <f>(C181*$V$4)/($V$5*$V$3)</f>
        <v>88.16326530612244</v>
      </c>
      <c r="H181" s="11">
        <f>G181*COS(RADIANS(D181))</f>
        <v>86.823867204341596</v>
      </c>
      <c r="I181" s="11">
        <f>G181*SIN(RADIANS(D181))</f>
        <v>15.309390357574264</v>
      </c>
      <c r="J181" s="12">
        <v>0.33379999999999999</v>
      </c>
      <c r="K181" s="11">
        <v>49</v>
      </c>
      <c r="L181" s="11">
        <f>-(F181*G181*$V$3)/J181</f>
        <v>-6.6030006969834067</v>
      </c>
      <c r="M181" s="11">
        <f>ABS(L181/$V$6)</f>
        <v>1.9250730894995356E-2</v>
      </c>
      <c r="N181" s="11">
        <f>L181*SIN(RADIANS(K181))</f>
        <v>-4.9833478842310184</v>
      </c>
      <c r="O181" s="11">
        <f>L181*COS(RADIANS(K181))</f>
        <v>-4.3319582256865763</v>
      </c>
      <c r="P181" s="1">
        <v>5.1485350692851917</v>
      </c>
      <c r="Q181" s="1">
        <v>0.20840256026766088</v>
      </c>
      <c r="R181" s="1">
        <f>P181/Q181</f>
        <v>24.704759205801953</v>
      </c>
    </row>
    <row r="182" spans="1:18" x14ac:dyDescent="0.35">
      <c r="A182" s="14">
        <v>2677</v>
      </c>
      <c r="B182" s="6">
        <v>0.5</v>
      </c>
      <c r="C182" s="6">
        <v>6000000</v>
      </c>
      <c r="D182" s="6">
        <v>20</v>
      </c>
      <c r="E182" s="6">
        <v>0.375</v>
      </c>
      <c r="F182" s="6">
        <v>0.15</v>
      </c>
      <c r="G182" s="11">
        <f>(C182*$V$4)/($V$5*$V$3)</f>
        <v>88.16326530612244</v>
      </c>
      <c r="H182" s="11">
        <f>G182*COS(RADIANS(D182))</f>
        <v>82.846369832553549</v>
      </c>
      <c r="I182" s="11">
        <f>G182*SIN(RADIANS(D182))</f>
        <v>30.153612636058952</v>
      </c>
      <c r="J182" s="19">
        <v>0.24809999999999999</v>
      </c>
      <c r="K182" s="20">
        <v>67</v>
      </c>
      <c r="L182" s="11">
        <f>-(F182*G182*$V$3)/J182</f>
        <v>-53.303062458356983</v>
      </c>
      <c r="M182" s="11">
        <f>ABS(L182/$V$6)</f>
        <v>0.15540251445585126</v>
      </c>
      <c r="N182" s="11">
        <f>L182*SIN(RADIANS(K182))</f>
        <v>-49.065727696796174</v>
      </c>
      <c r="O182" s="11">
        <f>L182*COS(RADIANS(K182))</f>
        <v>-20.827165746288063</v>
      </c>
      <c r="P182" s="1">
        <v>5.1270049202571197</v>
      </c>
      <c r="Q182" s="1">
        <v>0.60357316741658318</v>
      </c>
      <c r="R182" s="1">
        <f>P182/Q182</f>
        <v>8.4944215499203697</v>
      </c>
    </row>
    <row r="183" spans="1:18" x14ac:dyDescent="0.35">
      <c r="A183" s="14">
        <v>2689</v>
      </c>
      <c r="B183" s="6">
        <v>0.5</v>
      </c>
      <c r="C183" s="6">
        <v>6000000</v>
      </c>
      <c r="D183" s="6">
        <v>0</v>
      </c>
      <c r="E183" s="6">
        <v>0.375</v>
      </c>
      <c r="F183" s="6">
        <v>0.15</v>
      </c>
      <c r="G183" s="11">
        <f>(C183*$V$4)/($V$5*$V$3)</f>
        <v>88.16326530612244</v>
      </c>
      <c r="H183" s="11">
        <f>G183*COS(RADIANS(D183))</f>
        <v>88.16326530612244</v>
      </c>
      <c r="I183" s="11">
        <f>G183*SIN(RADIANS(D183))</f>
        <v>0</v>
      </c>
      <c r="J183" s="19">
        <v>0.24809999999999999</v>
      </c>
      <c r="K183" s="20">
        <v>67</v>
      </c>
      <c r="L183" s="11">
        <f>-(F183*G183*$V$3)/J183</f>
        <v>-53.303062458356983</v>
      </c>
      <c r="M183" s="11">
        <f>ABS(L183/$V$6)</f>
        <v>0.15540251445585126</v>
      </c>
      <c r="N183" s="11">
        <f>L183*SIN(RADIANS(K183))</f>
        <v>-49.065727696796174</v>
      </c>
      <c r="O183" s="11">
        <f>L183*COS(RADIANS(K183))</f>
        <v>-20.827165746288063</v>
      </c>
      <c r="P183" s="1">
        <v>4.4800698499761893</v>
      </c>
      <c r="Q183" s="1">
        <v>-0.59710698851337474</v>
      </c>
      <c r="R183" s="1">
        <f>P183/Q183</f>
        <v>-7.5029599990619422</v>
      </c>
    </row>
    <row r="184" spans="1:18" x14ac:dyDescent="0.35">
      <c r="A184" s="14">
        <v>2488</v>
      </c>
      <c r="B184" s="6">
        <v>1</v>
      </c>
      <c r="C184" s="6">
        <v>4000000</v>
      </c>
      <c r="D184" s="6">
        <v>30</v>
      </c>
      <c r="E184" s="6">
        <v>0.25</v>
      </c>
      <c r="F184" s="6">
        <v>0</v>
      </c>
      <c r="G184" s="11">
        <f>(C184*$V$4)/($V$5*$V$3)</f>
        <v>58.775510204081627</v>
      </c>
      <c r="H184" s="11">
        <f>G184*COS(RADIANS(D184))</f>
        <v>50.901084957126187</v>
      </c>
      <c r="I184" s="11">
        <f>G184*SIN(RADIANS(D184))</f>
        <v>29.38775510204081</v>
      </c>
      <c r="J184" s="13">
        <v>0.33379999999999999</v>
      </c>
      <c r="K184" s="12">
        <v>30</v>
      </c>
      <c r="L184" s="11">
        <f>-(F184*G184*$V$3)/J184</f>
        <v>0</v>
      </c>
      <c r="M184" s="11">
        <f>ABS(L184/$V$6)</f>
        <v>0</v>
      </c>
      <c r="N184" s="11">
        <f>L184*SIN(RADIANS(K184))</f>
        <v>0</v>
      </c>
      <c r="O184" s="11">
        <f>L184*COS(RADIANS(K184))</f>
        <v>0</v>
      </c>
      <c r="P184" s="1">
        <v>5.9955487186342875</v>
      </c>
      <c r="Q184" s="1">
        <v>3.140461644565395</v>
      </c>
      <c r="R184" s="1">
        <f>P184/Q184</f>
        <v>1.9091297386196877</v>
      </c>
    </row>
    <row r="185" spans="1:18" x14ac:dyDescent="0.35">
      <c r="A185" s="14">
        <v>2489</v>
      </c>
      <c r="B185" s="6">
        <v>1</v>
      </c>
      <c r="C185" s="6">
        <v>4000000</v>
      </c>
      <c r="D185" s="6">
        <v>0</v>
      </c>
      <c r="E185" s="6">
        <v>0.125</v>
      </c>
      <c r="F185" s="6">
        <v>3.5000000000000003E-2</v>
      </c>
      <c r="G185" s="11">
        <f>(C185*$V$4)/($V$5*$V$3)</f>
        <v>58.775510204081627</v>
      </c>
      <c r="H185" s="11">
        <f>G185*COS(RADIANS(D185))</f>
        <v>58.775510204081627</v>
      </c>
      <c r="I185" s="11">
        <f>G185*SIN(RADIANS(D185))</f>
        <v>0</v>
      </c>
      <c r="J185" s="11">
        <v>0.33379999999999999</v>
      </c>
      <c r="K185" s="12">
        <v>14</v>
      </c>
      <c r="L185" s="11">
        <f>-(F185*G185*$V$3)/J185</f>
        <v>-6.1628006505178465</v>
      </c>
      <c r="M185" s="11">
        <f>ABS(L185/$V$6)</f>
        <v>1.7967348835328998E-2</v>
      </c>
      <c r="N185" s="11">
        <f>L185*SIN(RADIANS(K185))</f>
        <v>-1.4909164155761427</v>
      </c>
      <c r="O185" s="11">
        <f>L185*COS(RADIANS(K185))</f>
        <v>-5.9797391330883976</v>
      </c>
      <c r="P185" s="1">
        <v>4.537238890923418</v>
      </c>
      <c r="Q185" s="1">
        <v>5.1624000998454579E-2</v>
      </c>
      <c r="R185" s="1">
        <f>P185/Q185</f>
        <v>87.89010543873276</v>
      </c>
    </row>
    <row r="186" spans="1:18" x14ac:dyDescent="0.35">
      <c r="A186" s="14">
        <v>2490</v>
      </c>
      <c r="B186" s="6">
        <v>0.75</v>
      </c>
      <c r="C186" s="6">
        <v>2000000</v>
      </c>
      <c r="D186" s="6">
        <v>0</v>
      </c>
      <c r="E186" s="6">
        <v>0.25</v>
      </c>
      <c r="F186" s="6">
        <v>7.4999999999999997E-2</v>
      </c>
      <c r="G186" s="11">
        <f>(C186*$V$4)/($V$5*$V$3)</f>
        <v>29.387755102040813</v>
      </c>
      <c r="H186" s="11">
        <f>G186*COS(RADIANS(D186))</f>
        <v>29.387755102040813</v>
      </c>
      <c r="I186" s="11">
        <f>G186*SIN(RADIANS(D186))</f>
        <v>0</v>
      </c>
      <c r="J186" s="12">
        <v>0.28370000000000001</v>
      </c>
      <c r="K186" s="11">
        <v>38</v>
      </c>
      <c r="L186" s="11">
        <f>-(F186*G186*$V$3)/J186</f>
        <v>-7.769057570155308</v>
      </c>
      <c r="M186" s="11">
        <f>ABS(L186/$V$6)</f>
        <v>2.2650313615613142E-2</v>
      </c>
      <c r="N186" s="11">
        <f>L186*SIN(RADIANS(K186))</f>
        <v>-4.7831094455317906</v>
      </c>
      <c r="O186" s="11">
        <f>L186*COS(RADIANS(K186))</f>
        <v>-6.1221009106720921</v>
      </c>
      <c r="P186" s="1">
        <v>3.6144938384136927</v>
      </c>
      <c r="Q186" s="1">
        <v>-0.13707935921942641</v>
      </c>
      <c r="R186" s="1">
        <f>P186/Q186</f>
        <v>-26.367892722841525</v>
      </c>
    </row>
    <row r="187" spans="1:18" x14ac:dyDescent="0.35">
      <c r="A187" s="14">
        <v>2491</v>
      </c>
      <c r="B187" s="6">
        <v>0.5</v>
      </c>
      <c r="C187" s="6">
        <v>4000000</v>
      </c>
      <c r="D187" s="6">
        <v>10</v>
      </c>
      <c r="E187" s="6">
        <v>0.375</v>
      </c>
      <c r="F187" s="6">
        <v>0.1</v>
      </c>
      <c r="G187" s="11">
        <f>(C187*$V$4)/($V$5*$V$3)</f>
        <v>58.775510204081627</v>
      </c>
      <c r="H187" s="11">
        <f>G187*COS(RADIANS(D187))</f>
        <v>57.882578136227728</v>
      </c>
      <c r="I187" s="11">
        <f>G187*SIN(RADIANS(D187))</f>
        <v>10.206260238382843</v>
      </c>
      <c r="J187" s="12">
        <v>0.24809999999999999</v>
      </c>
      <c r="K187" s="11">
        <v>67</v>
      </c>
      <c r="L187" s="11">
        <f>-(F187*G187*$V$3)/J187</f>
        <v>-23.690249981491991</v>
      </c>
      <c r="M187" s="11">
        <f>ABS(L187/$V$6)</f>
        <v>6.9067784202600555E-2</v>
      </c>
      <c r="N187" s="11">
        <f>L187*SIN(RADIANS(K187))</f>
        <v>-21.806990087464964</v>
      </c>
      <c r="O187" s="11">
        <f>L187*COS(RADIANS(K187))</f>
        <v>-9.2565181094613607</v>
      </c>
      <c r="P187" s="1">
        <v>4.19037856818065</v>
      </c>
      <c r="Q187" s="1">
        <v>8.3146194892648587E-2</v>
      </c>
      <c r="R187" s="1">
        <f>P187/Q187</f>
        <v>50.397719024796217</v>
      </c>
    </row>
    <row r="188" spans="1:18" x14ac:dyDescent="0.35">
      <c r="A188" s="14">
        <v>2492</v>
      </c>
      <c r="B188" s="6">
        <v>0.1</v>
      </c>
      <c r="C188" s="6">
        <v>6000000</v>
      </c>
      <c r="D188" s="6">
        <v>20</v>
      </c>
      <c r="E188" s="6">
        <v>0.375</v>
      </c>
      <c r="F188" s="6">
        <v>0</v>
      </c>
      <c r="G188" s="11">
        <f>(C188*$V$4)/($V$5*$V$3)</f>
        <v>88.16326530612244</v>
      </c>
      <c r="H188" s="11">
        <f>G188*COS(RADIANS(D188))</f>
        <v>82.846369832553549</v>
      </c>
      <c r="I188" s="11">
        <f>G188*SIN(RADIANS(D188))</f>
        <v>30.153612636058952</v>
      </c>
      <c r="J188" s="12">
        <v>0.16789999999999999</v>
      </c>
      <c r="K188" s="11">
        <v>85</v>
      </c>
      <c r="L188" s="11">
        <f>-(F188*G188*$V$3)/J188</f>
        <v>0</v>
      </c>
      <c r="M188" s="11">
        <f>ABS(L188/$V$6)</f>
        <v>0</v>
      </c>
      <c r="N188" s="11">
        <f>L188*SIN(RADIANS(K188))</f>
        <v>0</v>
      </c>
      <c r="O188" s="11">
        <f>L188*COS(RADIANS(K188))</f>
        <v>0</v>
      </c>
      <c r="P188" s="1">
        <v>1.7339990730846775</v>
      </c>
      <c r="Q188" s="1">
        <v>0.88161189806566376</v>
      </c>
      <c r="R188" s="1">
        <f>P188/Q188</f>
        <v>1.9668508069017991</v>
      </c>
    </row>
    <row r="189" spans="1:18" x14ac:dyDescent="0.35">
      <c r="A189" s="14">
        <v>2780</v>
      </c>
      <c r="B189" s="6">
        <v>0.5</v>
      </c>
      <c r="C189" s="6">
        <v>6000000</v>
      </c>
      <c r="D189" s="6">
        <v>15</v>
      </c>
      <c r="E189" s="6">
        <v>0.375</v>
      </c>
      <c r="F189" s="6">
        <v>0.15</v>
      </c>
      <c r="G189" s="11">
        <f>(C189*$V$4)/($V$5*$V$3)</f>
        <v>88.16326530612244</v>
      </c>
      <c r="H189" s="11">
        <f>G189*COS(RADIANS(D189))</f>
        <v>85.159174889158663</v>
      </c>
      <c r="I189" s="11">
        <f>G189*SIN(RADIANS(D189))</f>
        <v>22.818332139650806</v>
      </c>
      <c r="J189" s="12">
        <v>0.24809999999999999</v>
      </c>
      <c r="K189" s="11">
        <v>67</v>
      </c>
      <c r="L189" s="11">
        <f>-(F189*G189*$V$3)/J189</f>
        <v>-53.303062458356983</v>
      </c>
      <c r="M189" s="11">
        <f>ABS(L189/$V$6)</f>
        <v>0.15540251445585126</v>
      </c>
      <c r="N189" s="11">
        <f>L189*SIN(RADIANS(K189))</f>
        <v>-49.065727696796174</v>
      </c>
      <c r="O189" s="11">
        <f>L189*COS(RADIANS(K189))</f>
        <v>-20.827165746288063</v>
      </c>
      <c r="P189" s="1">
        <v>5.0014526424318246</v>
      </c>
      <c r="Q189" s="1">
        <v>0.28544964892270996</v>
      </c>
      <c r="R189" s="1">
        <f>P189/Q189</f>
        <v>17.521312992702427</v>
      </c>
    </row>
    <row r="190" spans="1:18" x14ac:dyDescent="0.35">
      <c r="A190" s="14">
        <v>2494</v>
      </c>
      <c r="B190" s="6">
        <v>1</v>
      </c>
      <c r="C190" s="6">
        <v>6000000</v>
      </c>
      <c r="D190" s="6">
        <v>15</v>
      </c>
      <c r="E190" s="6">
        <v>0.125</v>
      </c>
      <c r="F190" s="6">
        <v>7.4999999999999997E-2</v>
      </c>
      <c r="G190" s="11">
        <f>(C190*$V$4)/($V$5*$V$3)</f>
        <v>88.16326530612244</v>
      </c>
      <c r="H190" s="11">
        <f>G190*COS(RADIANS(D190))</f>
        <v>85.159174889158663</v>
      </c>
      <c r="I190" s="11">
        <f>G190*SIN(RADIANS(D190))</f>
        <v>22.818332139650806</v>
      </c>
      <c r="J190" s="11">
        <v>0.33379999999999999</v>
      </c>
      <c r="K190" s="12">
        <v>14</v>
      </c>
      <c r="L190" s="11">
        <f>-(F190*G190*$V$3)/J190</f>
        <v>-19.809002090950219</v>
      </c>
      <c r="M190" s="11">
        <f>ABS(L190/$V$6)</f>
        <v>5.7752192684986062E-2</v>
      </c>
      <c r="N190" s="11">
        <f>L190*SIN(RADIANS(K190))</f>
        <v>-4.7922313357804587</v>
      </c>
      <c r="O190" s="11">
        <f>L190*COS(RADIANS(K190))</f>
        <v>-19.220590070641276</v>
      </c>
      <c r="P190" s="1">
        <v>3.0389610188337177</v>
      </c>
      <c r="Q190" s="1">
        <v>0.96837944356468564</v>
      </c>
      <c r="R190" s="1">
        <f>P190/Q190</f>
        <v>3.1381924090076181</v>
      </c>
    </row>
    <row r="191" spans="1:18" x14ac:dyDescent="0.35">
      <c r="A191" s="14">
        <v>2495</v>
      </c>
      <c r="B191" s="6">
        <v>0.5</v>
      </c>
      <c r="C191" s="6">
        <v>4000000</v>
      </c>
      <c r="D191" s="6">
        <v>30</v>
      </c>
      <c r="E191" s="6">
        <v>0.375</v>
      </c>
      <c r="F191" s="6">
        <v>0.05</v>
      </c>
      <c r="G191" s="11">
        <f>(C191*$V$4)/($V$5*$V$3)</f>
        <v>58.775510204081627</v>
      </c>
      <c r="H191" s="11">
        <f>G191*COS(RADIANS(D191))</f>
        <v>50.901084957126187</v>
      </c>
      <c r="I191" s="11">
        <f>G191*SIN(RADIANS(D191))</f>
        <v>29.38775510204081</v>
      </c>
      <c r="J191" s="12">
        <v>0.24809999999999999</v>
      </c>
      <c r="K191" s="11">
        <v>67</v>
      </c>
      <c r="L191" s="11">
        <f>-(F191*G191*$V$3)/J191</f>
        <v>-11.845124990745996</v>
      </c>
      <c r="M191" s="11">
        <f>ABS(L191/$V$6)</f>
        <v>3.4533892101300277E-2</v>
      </c>
      <c r="N191" s="11">
        <f>L191*SIN(RADIANS(K191))</f>
        <v>-10.903495043732482</v>
      </c>
      <c r="O191" s="11">
        <f>L191*COS(RADIANS(K191))</f>
        <v>-4.6282590547306803</v>
      </c>
      <c r="P191" s="1">
        <v>3.9251718680931846</v>
      </c>
      <c r="Q191" s="1">
        <v>1.142985207575361</v>
      </c>
      <c r="R191" s="1">
        <f>P191/Q191</f>
        <v>3.4341405663680771</v>
      </c>
    </row>
    <row r="192" spans="1:18" x14ac:dyDescent="0.35">
      <c r="A192" s="14">
        <v>2804</v>
      </c>
      <c r="B192" s="6">
        <v>0.5</v>
      </c>
      <c r="C192" s="6">
        <v>6000000</v>
      </c>
      <c r="D192" s="6">
        <v>5</v>
      </c>
      <c r="E192" s="6">
        <v>0.375</v>
      </c>
      <c r="F192" s="6">
        <v>0.15</v>
      </c>
      <c r="G192" s="11">
        <f>(C192*$V$4)/($V$5*$V$3)</f>
        <v>88.16326530612244</v>
      </c>
      <c r="H192" s="11">
        <f>G192*COS(RADIANS(D192))</f>
        <v>87.827777464415107</v>
      </c>
      <c r="I192" s="11">
        <f>G192*SIN(RADIANS(D192))</f>
        <v>7.6839348708139434</v>
      </c>
      <c r="J192" s="19">
        <v>0.24809999999999999</v>
      </c>
      <c r="K192" s="20">
        <v>67</v>
      </c>
      <c r="L192" s="11">
        <f>-(F192*G192*$V$3)/J192</f>
        <v>-53.303062458356983</v>
      </c>
      <c r="M192" s="11">
        <f>ABS(L192/$V$6)</f>
        <v>0.15540251445585126</v>
      </c>
      <c r="N192" s="11">
        <f>L192*SIN(RADIANS(K192))</f>
        <v>-49.065727696796174</v>
      </c>
      <c r="O192" s="11">
        <f>L192*COS(RADIANS(K192))</f>
        <v>-20.827165746288063</v>
      </c>
      <c r="P192" s="1">
        <v>4.6946449260727894</v>
      </c>
      <c r="Q192" s="1">
        <v>-0.32366157667271445</v>
      </c>
      <c r="R192" s="1">
        <f>P192/Q192</f>
        <v>-14.5047953307723</v>
      </c>
    </row>
    <row r="193" spans="1:18" x14ac:dyDescent="0.35">
      <c r="A193" s="14">
        <v>2497</v>
      </c>
      <c r="B193" s="6">
        <v>0.25</v>
      </c>
      <c r="C193" s="6">
        <v>4000000</v>
      </c>
      <c r="D193" s="6">
        <v>5</v>
      </c>
      <c r="E193" s="6">
        <v>0.125</v>
      </c>
      <c r="F193" s="6">
        <v>0.05</v>
      </c>
      <c r="G193" s="11">
        <f>(C193*$V$4)/($V$5*$V$3)</f>
        <v>58.775510204081627</v>
      </c>
      <c r="H193" s="11">
        <f>G193*COS(RADIANS(D193))</f>
        <v>58.551851642943404</v>
      </c>
      <c r="I193" s="11">
        <f>G193*SIN(RADIANS(D193))</f>
        <v>5.1226232472092956</v>
      </c>
      <c r="J193" s="11">
        <v>0.19020000000000001</v>
      </c>
      <c r="K193" s="11">
        <v>46</v>
      </c>
      <c r="L193" s="11">
        <f>-(F193*G193*$V$3)/J193</f>
        <v>-15.450975342818513</v>
      </c>
      <c r="M193" s="11">
        <f>ABS(L193/$V$6)</f>
        <v>4.5046575343494204E-2</v>
      </c>
      <c r="N193" s="11">
        <f>L193*SIN(RADIANS(K193))</f>
        <v>-11.114501518140489</v>
      </c>
      <c r="O193" s="11">
        <f>L193*COS(RADIANS(K193))</f>
        <v>-10.733149353644455</v>
      </c>
      <c r="P193" s="1">
        <v>2.220605072653246</v>
      </c>
      <c r="Q193" s="1">
        <v>0.30478947042784027</v>
      </c>
      <c r="R193" s="1">
        <f>P193/Q193</f>
        <v>7.285701404107332</v>
      </c>
    </row>
    <row r="194" spans="1:18" x14ac:dyDescent="0.35">
      <c r="A194" s="14">
        <v>2498</v>
      </c>
      <c r="B194" s="6">
        <v>0.75</v>
      </c>
      <c r="C194" s="6">
        <v>4000000</v>
      </c>
      <c r="D194" s="6">
        <v>20</v>
      </c>
      <c r="E194" s="6">
        <v>0.375</v>
      </c>
      <c r="F194" s="6">
        <v>0.15</v>
      </c>
      <c r="G194" s="11">
        <f>(C194*$V$4)/($V$5*$V$3)</f>
        <v>58.775510204081627</v>
      </c>
      <c r="H194" s="11">
        <f>G194*COS(RADIANS(D194))</f>
        <v>55.230913221702366</v>
      </c>
      <c r="I194" s="11">
        <f>G194*SIN(RADIANS(D194))</f>
        <v>20.102408424039304</v>
      </c>
      <c r="J194" s="11">
        <v>0.29299999999999998</v>
      </c>
      <c r="K194" s="12">
        <v>57</v>
      </c>
      <c r="L194" s="11">
        <f>-(F194*G194*$V$3)/J194</f>
        <v>-30.089851640314826</v>
      </c>
      <c r="M194" s="11">
        <f>ABS(L194/$V$6)</f>
        <v>8.7725514986340597E-2</v>
      </c>
      <c r="N194" s="11">
        <f>L194*SIN(RADIANS(K194))</f>
        <v>-25.235472964576385</v>
      </c>
      <c r="O194" s="11">
        <f>L194*COS(RADIANS(K194))</f>
        <v>-16.388107761126395</v>
      </c>
      <c r="P194" s="1">
        <v>6.4161287453027258</v>
      </c>
      <c r="Q194" s="1">
        <v>0.62284295036675053</v>
      </c>
      <c r="R194" s="1">
        <f>P194/Q194</f>
        <v>10.301358860246708</v>
      </c>
    </row>
    <row r="195" spans="1:18" x14ac:dyDescent="0.35">
      <c r="A195" s="14">
        <v>2499</v>
      </c>
      <c r="B195" s="6">
        <v>0.25</v>
      </c>
      <c r="C195" s="6">
        <v>4000000</v>
      </c>
      <c r="D195" s="6">
        <v>5</v>
      </c>
      <c r="E195" s="6">
        <v>0.375</v>
      </c>
      <c r="F195" s="6">
        <v>0.1</v>
      </c>
      <c r="G195" s="11">
        <f>(C195*$V$4)/($V$5*$V$3)</f>
        <v>58.775510204081627</v>
      </c>
      <c r="H195" s="11">
        <f>G195*COS(RADIANS(D195))</f>
        <v>58.551851642943404</v>
      </c>
      <c r="I195" s="11">
        <f>G195*SIN(RADIANS(D195))</f>
        <v>5.1226232472092956</v>
      </c>
      <c r="J195" s="11">
        <v>0.1976</v>
      </c>
      <c r="K195" s="12">
        <v>78</v>
      </c>
      <c r="L195" s="11">
        <f>-(F195*G195*$V$3)/J195</f>
        <v>-29.744691398826735</v>
      </c>
      <c r="M195" s="11">
        <f>ABS(L195/$V$6)</f>
        <v>8.6719216906200394E-2</v>
      </c>
      <c r="N195" s="11">
        <f>L195*SIN(RADIANS(K195))</f>
        <v>-29.094698526329832</v>
      </c>
      <c r="O195" s="11">
        <f>L195*COS(RADIANS(K195))</f>
        <v>-6.1842690815825332</v>
      </c>
      <c r="P195" s="1">
        <v>2.5446386025491958</v>
      </c>
      <c r="Q195" s="1">
        <v>0.10394607616966793</v>
      </c>
      <c r="R195" s="1">
        <f>P195/Q195</f>
        <v>24.480371903559512</v>
      </c>
    </row>
    <row r="196" spans="1:18" x14ac:dyDescent="0.35">
      <c r="A196" s="14">
        <v>2500</v>
      </c>
      <c r="B196" s="6">
        <v>0.25</v>
      </c>
      <c r="C196" s="6">
        <v>2000000</v>
      </c>
      <c r="D196" s="6">
        <v>10</v>
      </c>
      <c r="E196" s="6">
        <v>0.125</v>
      </c>
      <c r="F196" s="6">
        <v>7.4999999999999997E-2</v>
      </c>
      <c r="G196" s="11">
        <f>(C196*$V$4)/($V$5*$V$3)</f>
        <v>29.387755102040813</v>
      </c>
      <c r="H196" s="11">
        <f>G196*COS(RADIANS(D196))</f>
        <v>28.941289068113864</v>
      </c>
      <c r="I196" s="11">
        <f>G196*SIN(RADIANS(D196))</f>
        <v>5.1031301191914213</v>
      </c>
      <c r="J196" s="11">
        <v>0.19020000000000001</v>
      </c>
      <c r="K196" s="11">
        <v>46</v>
      </c>
      <c r="L196" s="11">
        <f>-(F196*G196*$V$3)/J196</f>
        <v>-11.588231507113885</v>
      </c>
      <c r="M196" s="11">
        <f>ABS(L196/$V$6)</f>
        <v>3.3784931507620658E-2</v>
      </c>
      <c r="N196" s="11">
        <f>L196*SIN(RADIANS(K196))</f>
        <v>-8.3358761386053679</v>
      </c>
      <c r="O196" s="11">
        <f>L196*COS(RADIANS(K196))</f>
        <v>-8.0498620152333409</v>
      </c>
      <c r="P196" s="1">
        <v>2.4928884093420529</v>
      </c>
      <c r="Q196" s="1">
        <v>0.41786426622024625</v>
      </c>
      <c r="R196" s="1">
        <f>P196/Q196</f>
        <v>5.9657850906737044</v>
      </c>
    </row>
    <row r="197" spans="1:18" x14ac:dyDescent="0.35">
      <c r="A197" s="14">
        <v>2501</v>
      </c>
      <c r="B197" s="6">
        <v>1</v>
      </c>
      <c r="C197" s="6">
        <v>4000000</v>
      </c>
      <c r="D197" s="6">
        <v>0</v>
      </c>
      <c r="E197" s="6">
        <v>0.125</v>
      </c>
      <c r="F197" s="6">
        <v>0.05</v>
      </c>
      <c r="G197" s="11">
        <f>(C197*$V$4)/($V$5*$V$3)</f>
        <v>58.775510204081627</v>
      </c>
      <c r="H197" s="11">
        <f>G197*COS(RADIANS(D197))</f>
        <v>58.775510204081627</v>
      </c>
      <c r="I197" s="11">
        <f>G197*SIN(RADIANS(D197))</f>
        <v>0</v>
      </c>
      <c r="J197" s="11">
        <v>0.33379999999999999</v>
      </c>
      <c r="K197" s="12">
        <v>14</v>
      </c>
      <c r="L197" s="11">
        <f>-(F197*G197*$V$3)/J197</f>
        <v>-8.8040009293112096</v>
      </c>
      <c r="M197" s="11">
        <f>ABS(L197/$V$6)</f>
        <v>2.566764119332714E-2</v>
      </c>
      <c r="N197" s="11">
        <f>L197*SIN(RADIANS(K197))</f>
        <v>-2.1298805936802041</v>
      </c>
      <c r="O197" s="11">
        <f>L197*COS(RADIANS(K197))</f>
        <v>-8.5424844758405687</v>
      </c>
      <c r="P197" s="1">
        <v>5.0453657187601699</v>
      </c>
      <c r="Q197" s="1">
        <v>-0.18878805787207142</v>
      </c>
      <c r="R197" s="1">
        <f>P197/Q197</f>
        <v>-26.725025807400723</v>
      </c>
    </row>
    <row r="198" spans="1:18" x14ac:dyDescent="0.35">
      <c r="A198" s="14">
        <v>2344</v>
      </c>
      <c r="B198" s="6">
        <v>0.1</v>
      </c>
      <c r="C198" s="6">
        <v>4000000</v>
      </c>
      <c r="D198" s="6">
        <v>20</v>
      </c>
      <c r="E198" s="6">
        <v>0</v>
      </c>
      <c r="F198" s="6">
        <v>0.15</v>
      </c>
      <c r="G198" s="11">
        <f>(C198*$V$4)/($V$5*$V$3)</f>
        <v>58.775510204081627</v>
      </c>
      <c r="H198" s="11">
        <f>G198*COS(RADIANS(D198))</f>
        <v>55.230913221702366</v>
      </c>
      <c r="I198" s="11">
        <f>G198*SIN(RADIANS(D198))</f>
        <v>20.102408424039304</v>
      </c>
      <c r="J198" s="11">
        <v>0.16569999999999999</v>
      </c>
      <c r="K198" s="19">
        <v>0</v>
      </c>
      <c r="L198" s="11">
        <f>-(F198*G198*$V$3)/J198</f>
        <v>-53.206557215523503</v>
      </c>
      <c r="M198" s="11">
        <f>ABS(L198/$V$6)</f>
        <v>0.15512115806275073</v>
      </c>
      <c r="N198" s="11">
        <f>L198*SIN(RADIANS(K198))</f>
        <v>0</v>
      </c>
      <c r="O198" s="11">
        <f>L198*COS(RADIANS(K198))</f>
        <v>-53.206557215523503</v>
      </c>
      <c r="P198" s="1">
        <v>1.9079975220273766</v>
      </c>
      <c r="Q198" s="1">
        <v>0.71641058921967948</v>
      </c>
      <c r="R198" s="1">
        <f>P198/Q198</f>
        <v>2.6632737577282097</v>
      </c>
    </row>
    <row r="199" spans="1:18" x14ac:dyDescent="0.35">
      <c r="A199" s="14">
        <v>2503</v>
      </c>
      <c r="B199" s="6">
        <v>0.5</v>
      </c>
      <c r="C199" s="6">
        <v>4000000</v>
      </c>
      <c r="D199" s="6">
        <v>30</v>
      </c>
      <c r="E199" s="6">
        <v>0.25</v>
      </c>
      <c r="F199" s="6">
        <v>2.5000000000000001E-2</v>
      </c>
      <c r="G199" s="11">
        <f>(C199*$V$4)/($V$5*$V$3)</f>
        <v>58.775510204081627</v>
      </c>
      <c r="H199" s="11">
        <f>G199*COS(RADIANS(D199))</f>
        <v>50.901084957126187</v>
      </c>
      <c r="I199" s="11">
        <f>G199*SIN(RADIANS(D199))</f>
        <v>29.38775510204081</v>
      </c>
      <c r="J199" s="11">
        <v>0.23580000000000001</v>
      </c>
      <c r="K199" s="11">
        <v>49</v>
      </c>
      <c r="L199" s="11">
        <f>-(F199*G199*$V$3)/J199</f>
        <v>-6.2315002336812579</v>
      </c>
      <c r="M199" s="11">
        <f>ABS(L199/$V$6)</f>
        <v>1.8167639165251482E-2</v>
      </c>
      <c r="N199" s="11">
        <f>L199*SIN(RADIANS(K199))</f>
        <v>-4.7029729255196875</v>
      </c>
      <c r="O199" s="11">
        <f>L199*COS(RADIANS(K199))</f>
        <v>-4.0882319924630455</v>
      </c>
      <c r="P199" s="1">
        <v>2.8156237060324334</v>
      </c>
      <c r="Q199" s="1">
        <v>1.127690080482284</v>
      </c>
      <c r="R199" s="1">
        <f>P199/Q199</f>
        <v>2.4968063076588058</v>
      </c>
    </row>
    <row r="200" spans="1:18" x14ac:dyDescent="0.35">
      <c r="A200" s="14">
        <v>2504</v>
      </c>
      <c r="B200" s="6">
        <v>0.1</v>
      </c>
      <c r="C200" s="6">
        <v>6000000</v>
      </c>
      <c r="D200" s="6">
        <v>20</v>
      </c>
      <c r="E200" s="6">
        <v>0</v>
      </c>
      <c r="F200" s="6">
        <v>0.1</v>
      </c>
      <c r="G200" s="11">
        <f>(C200*$V$4)/($V$5*$V$3)</f>
        <v>88.16326530612244</v>
      </c>
      <c r="H200" s="11">
        <f>G200*COS(RADIANS(D200))</f>
        <v>82.846369832553549</v>
      </c>
      <c r="I200" s="11">
        <f>G200*SIN(RADIANS(D200))</f>
        <v>30.153612636058952</v>
      </c>
      <c r="J200" s="11">
        <v>0.16569999999999999</v>
      </c>
      <c r="K200" s="12">
        <v>0</v>
      </c>
      <c r="L200" s="11">
        <f>-(F200*G200*$V$3)/J200</f>
        <v>-53.206557215523503</v>
      </c>
      <c r="M200" s="11">
        <f>ABS(L200/$V$6)</f>
        <v>0.15512115806275073</v>
      </c>
      <c r="N200" s="11">
        <f>L200*SIN(RADIANS(K200))</f>
        <v>0</v>
      </c>
      <c r="O200" s="11">
        <f>L200*COS(RADIANS(K200))</f>
        <v>-53.206557215523503</v>
      </c>
      <c r="P200" s="1">
        <v>1.7682652868203623</v>
      </c>
      <c r="Q200" s="1">
        <v>0.70969859291232607</v>
      </c>
      <c r="R200" s="1">
        <f>P200/Q200</f>
        <v>2.4915722032984338</v>
      </c>
    </row>
    <row r="201" spans="1:18" x14ac:dyDescent="0.35">
      <c r="A201" s="14">
        <v>2505</v>
      </c>
      <c r="B201" s="6">
        <v>1</v>
      </c>
      <c r="C201" s="6">
        <v>2000000</v>
      </c>
      <c r="D201" s="6">
        <v>20</v>
      </c>
      <c r="E201" s="6">
        <v>0.375</v>
      </c>
      <c r="F201" s="6">
        <v>2.5000000000000001E-2</v>
      </c>
      <c r="G201" s="11">
        <f>(C201*$V$4)/($V$5*$V$3)</f>
        <v>29.387755102040813</v>
      </c>
      <c r="H201" s="11">
        <f>G201*COS(RADIANS(D201))</f>
        <v>27.615456610851183</v>
      </c>
      <c r="I201" s="11">
        <f>G201*SIN(RADIANS(D201))</f>
        <v>10.051204212019652</v>
      </c>
      <c r="J201" s="12">
        <v>0.33379999999999999</v>
      </c>
      <c r="K201" s="11">
        <v>49</v>
      </c>
      <c r="L201" s="11">
        <f>-(F201*G201*$V$3)/J201</f>
        <v>-2.2010002323278024</v>
      </c>
      <c r="M201" s="11">
        <f>ABS(L201/$V$6)</f>
        <v>6.4169102983317851E-3</v>
      </c>
      <c r="N201" s="11">
        <f>L201*SIN(RADIANS(K201))</f>
        <v>-1.6611159614103395</v>
      </c>
      <c r="O201" s="11">
        <f>L201*COS(RADIANS(K201))</f>
        <v>-1.4439860752288589</v>
      </c>
      <c r="P201" s="1">
        <v>5.2295917728307604</v>
      </c>
      <c r="Q201" s="1">
        <v>0.73923115759644076</v>
      </c>
      <c r="R201" s="1">
        <f>P201/Q201</f>
        <v>7.0743660072911672</v>
      </c>
    </row>
    <row r="202" spans="1:18" x14ac:dyDescent="0.35">
      <c r="A202" s="14">
        <v>2506</v>
      </c>
      <c r="B202" s="6">
        <v>0.25</v>
      </c>
      <c r="C202" s="6">
        <v>2000000</v>
      </c>
      <c r="D202" s="6">
        <v>5</v>
      </c>
      <c r="E202" s="6">
        <v>0.125</v>
      </c>
      <c r="F202" s="6">
        <v>3.5000000000000003E-2</v>
      </c>
      <c r="G202" s="11">
        <f>(C202*$V$4)/($V$5*$V$3)</f>
        <v>29.387755102040813</v>
      </c>
      <c r="H202" s="11">
        <f>G202*COS(RADIANS(D202))</f>
        <v>29.275925821471702</v>
      </c>
      <c r="I202" s="11">
        <f>G202*SIN(RADIANS(D202))</f>
        <v>2.5613116236046478</v>
      </c>
      <c r="J202" s="11">
        <v>0.19020000000000001</v>
      </c>
      <c r="K202" s="11">
        <v>46</v>
      </c>
      <c r="L202" s="11">
        <f>-(F202*G202*$V$3)/J202</f>
        <v>-5.40784136998648</v>
      </c>
      <c r="M202" s="11">
        <f>ABS(L202/$V$6)</f>
        <v>1.5766301370222974E-2</v>
      </c>
      <c r="N202" s="11">
        <f>L202*SIN(RADIANS(K202))</f>
        <v>-3.8900755313491717</v>
      </c>
      <c r="O202" s="11">
        <f>L202*COS(RADIANS(K202))</f>
        <v>-3.7566022737755596</v>
      </c>
      <c r="P202" s="1">
        <v>2.105053148539838</v>
      </c>
      <c r="Q202" s="1">
        <v>0.31610738783547443</v>
      </c>
      <c r="R202" s="1">
        <f>P202/Q202</f>
        <v>6.6592975347841685</v>
      </c>
    </row>
    <row r="203" spans="1:18" x14ac:dyDescent="0.35">
      <c r="A203" s="14">
        <v>2507</v>
      </c>
      <c r="B203" s="6">
        <v>0.5</v>
      </c>
      <c r="C203" s="6">
        <v>6000000</v>
      </c>
      <c r="D203" s="6">
        <v>15</v>
      </c>
      <c r="E203" s="6">
        <v>0.375</v>
      </c>
      <c r="F203" s="6">
        <v>7.4999999999999997E-2</v>
      </c>
      <c r="G203" s="11">
        <f>(C203*$V$4)/($V$5*$V$3)</f>
        <v>88.16326530612244</v>
      </c>
      <c r="H203" s="11">
        <f>G203*COS(RADIANS(D203))</f>
        <v>85.159174889158663</v>
      </c>
      <c r="I203" s="11">
        <f>G203*SIN(RADIANS(D203))</f>
        <v>22.818332139650806</v>
      </c>
      <c r="J203" s="12">
        <v>0.24809999999999999</v>
      </c>
      <c r="K203" s="11">
        <v>67</v>
      </c>
      <c r="L203" s="11">
        <f>-(F203*G203*$V$3)/J203</f>
        <v>-26.651531229178492</v>
      </c>
      <c r="M203" s="11">
        <f>ABS(L203/$V$6)</f>
        <v>7.7701257227925632E-2</v>
      </c>
      <c r="N203" s="11">
        <f>L203*SIN(RADIANS(K203))</f>
        <v>-24.532863848398087</v>
      </c>
      <c r="O203" s="11">
        <f>L203*COS(RADIANS(K203))</f>
        <v>-10.413582873144032</v>
      </c>
      <c r="P203" s="1">
        <v>3.9735980585220108</v>
      </c>
      <c r="Q203" s="1">
        <v>0.37384892161822231</v>
      </c>
      <c r="R203" s="1">
        <f>P203/Q203</f>
        <v>10.628887309135756</v>
      </c>
    </row>
    <row r="204" spans="1:18" x14ac:dyDescent="0.35">
      <c r="A204" s="14">
        <v>2508</v>
      </c>
      <c r="B204" s="6">
        <v>0.75</v>
      </c>
      <c r="C204" s="6">
        <v>2000000</v>
      </c>
      <c r="D204" s="6">
        <v>30</v>
      </c>
      <c r="E204" s="6">
        <v>0.375</v>
      </c>
      <c r="F204" s="6">
        <v>2.5000000000000001E-2</v>
      </c>
      <c r="G204" s="11">
        <f>(C204*$V$4)/($V$5*$V$3)</f>
        <v>29.387755102040813</v>
      </c>
      <c r="H204" s="11">
        <f>G204*COS(RADIANS(D204))</f>
        <v>25.450542478563094</v>
      </c>
      <c r="I204" s="11">
        <f>G204*SIN(RADIANS(D204))</f>
        <v>14.693877551020405</v>
      </c>
      <c r="J204" s="11">
        <v>0.29299999999999998</v>
      </c>
      <c r="K204" s="12">
        <v>57</v>
      </c>
      <c r="L204" s="11">
        <f>-(F204*G204*$V$3)/J204</f>
        <v>-2.5074876366929022</v>
      </c>
      <c r="M204" s="11">
        <f>ABS(L204/$V$6)</f>
        <v>7.31045958219505E-3</v>
      </c>
      <c r="N204" s="11">
        <f>L204*SIN(RADIANS(K204))</f>
        <v>-2.1029560803813654</v>
      </c>
      <c r="O204" s="11">
        <f>L204*COS(RADIANS(K204))</f>
        <v>-1.3656756467605331</v>
      </c>
      <c r="P204" s="1">
        <v>4.5191613516944527</v>
      </c>
      <c r="Q204" s="1">
        <v>1.2874921110440543</v>
      </c>
      <c r="R204" s="1">
        <f>P204/Q204</f>
        <v>3.5100497416095005</v>
      </c>
    </row>
    <row r="205" spans="1:18" x14ac:dyDescent="0.35">
      <c r="A205" s="14">
        <v>2509</v>
      </c>
      <c r="B205" s="6">
        <v>0.5</v>
      </c>
      <c r="C205" s="6">
        <v>4000000</v>
      </c>
      <c r="D205" s="6">
        <v>20</v>
      </c>
      <c r="E205" s="6">
        <v>0.375</v>
      </c>
      <c r="F205" s="6">
        <v>0</v>
      </c>
      <c r="G205" s="11">
        <f>(C205*$V$4)/($V$5*$V$3)</f>
        <v>58.775510204081627</v>
      </c>
      <c r="H205" s="11">
        <f>G205*COS(RADIANS(D205))</f>
        <v>55.230913221702366</v>
      </c>
      <c r="I205" s="11">
        <f>G205*SIN(RADIANS(D205))</f>
        <v>20.102408424039304</v>
      </c>
      <c r="J205" s="12">
        <v>0.24809999999999999</v>
      </c>
      <c r="K205" s="11">
        <v>67</v>
      </c>
      <c r="L205" s="11">
        <f>-(F205*G205*$V$3)/J205</f>
        <v>0</v>
      </c>
      <c r="M205" s="11">
        <f>ABS(L205/$V$6)</f>
        <v>0</v>
      </c>
      <c r="N205" s="11">
        <f>L205*SIN(RADIANS(K205))</f>
        <v>0</v>
      </c>
      <c r="O205" s="11">
        <f>L205*COS(RADIANS(K205))</f>
        <v>0</v>
      </c>
      <c r="P205" s="1">
        <v>4.1709850394469878</v>
      </c>
      <c r="Q205" s="1">
        <v>1.3624705260964607</v>
      </c>
      <c r="R205" s="1">
        <f>P205/Q205</f>
        <v>3.0613396470285839</v>
      </c>
    </row>
    <row r="206" spans="1:18" x14ac:dyDescent="0.35">
      <c r="A206" s="14">
        <v>2510</v>
      </c>
      <c r="B206" s="6">
        <v>0.25</v>
      </c>
      <c r="C206" s="6">
        <v>4000000</v>
      </c>
      <c r="D206" s="6">
        <v>10</v>
      </c>
      <c r="E206" s="6">
        <v>0.375</v>
      </c>
      <c r="F206" s="6">
        <v>2.5000000000000001E-2</v>
      </c>
      <c r="G206" s="11">
        <f>(C206*$V$4)/($V$5*$V$3)</f>
        <v>58.775510204081627</v>
      </c>
      <c r="H206" s="11">
        <f>G206*COS(RADIANS(D206))</f>
        <v>57.882578136227728</v>
      </c>
      <c r="I206" s="11">
        <f>G206*SIN(RADIANS(D206))</f>
        <v>10.206260238382843</v>
      </c>
      <c r="J206" s="11">
        <v>0.1976</v>
      </c>
      <c r="K206" s="12">
        <v>78</v>
      </c>
      <c r="L206" s="11">
        <f>-(F206*G206*$V$3)/J206</f>
        <v>-7.4361728497066837</v>
      </c>
      <c r="M206" s="11">
        <f>ABS(L206/$V$6)</f>
        <v>2.1679804226550099E-2</v>
      </c>
      <c r="N206" s="11">
        <f>L206*SIN(RADIANS(K206))</f>
        <v>-7.2736746315824581</v>
      </c>
      <c r="O206" s="11">
        <f>L206*COS(RADIANS(K206))</f>
        <v>-1.5460672703956333</v>
      </c>
      <c r="P206" s="1">
        <v>2.2339283996115467</v>
      </c>
      <c r="Q206" s="1">
        <v>0.47434912497646775</v>
      </c>
      <c r="R206" s="1">
        <f>P206/Q206</f>
        <v>4.7094603573314719</v>
      </c>
    </row>
    <row r="207" spans="1:18" x14ac:dyDescent="0.35">
      <c r="A207" s="14">
        <v>2511</v>
      </c>
      <c r="B207" s="6">
        <v>0.75</v>
      </c>
      <c r="C207" s="6">
        <v>4000000</v>
      </c>
      <c r="D207" s="6">
        <v>10</v>
      </c>
      <c r="E207" s="6">
        <v>0.25</v>
      </c>
      <c r="F207" s="6">
        <v>7.4999999999999997E-2</v>
      </c>
      <c r="G207" s="11">
        <f>(C207*$V$4)/($V$5*$V$3)</f>
        <v>58.775510204081627</v>
      </c>
      <c r="H207" s="11">
        <f>G207*COS(RADIANS(D207))</f>
        <v>57.882578136227728</v>
      </c>
      <c r="I207" s="11">
        <f>G207*SIN(RADIANS(D207))</f>
        <v>10.206260238382843</v>
      </c>
      <c r="J207" s="12">
        <v>0.28370000000000001</v>
      </c>
      <c r="K207" s="11">
        <v>38</v>
      </c>
      <c r="L207" s="11">
        <f>-(F207*G207*$V$3)/J207</f>
        <v>-15.538115140310616</v>
      </c>
      <c r="M207" s="11">
        <f>ABS(L207/$V$6)</f>
        <v>4.5300627231226284E-2</v>
      </c>
      <c r="N207" s="11">
        <f>L207*SIN(RADIANS(K207))</f>
        <v>-9.5662188910635813</v>
      </c>
      <c r="O207" s="11">
        <f>L207*COS(RADIANS(K207))</f>
        <v>-12.244201821344184</v>
      </c>
      <c r="P207" s="1">
        <v>3.8227879469254744</v>
      </c>
      <c r="Q207" s="1">
        <v>0.33342427300208288</v>
      </c>
      <c r="R207" s="1">
        <f>P207/Q207</f>
        <v>11.465235906510003</v>
      </c>
    </row>
    <row r="208" spans="1:18" x14ac:dyDescent="0.35">
      <c r="A208" s="14">
        <v>2512</v>
      </c>
      <c r="B208" s="6">
        <v>1</v>
      </c>
      <c r="C208" s="6">
        <v>6000000</v>
      </c>
      <c r="D208" s="6">
        <v>20</v>
      </c>
      <c r="E208" s="6">
        <v>0.125</v>
      </c>
      <c r="F208" s="6">
        <v>3.5000000000000003E-2</v>
      </c>
      <c r="G208" s="11">
        <f>(C208*$V$4)/($V$5*$V$3)</f>
        <v>88.16326530612244</v>
      </c>
      <c r="H208" s="11">
        <f>G208*COS(RADIANS(D208))</f>
        <v>82.846369832553549</v>
      </c>
      <c r="I208" s="11">
        <f>G208*SIN(RADIANS(D208))</f>
        <v>30.153612636058952</v>
      </c>
      <c r="J208" s="11">
        <v>0.33379999999999999</v>
      </c>
      <c r="K208" s="12">
        <v>14</v>
      </c>
      <c r="L208" s="11">
        <f>-(F208*G208*$V$3)/J208</f>
        <v>-9.2442009757767707</v>
      </c>
      <c r="M208" s="11">
        <f>ABS(L208/$V$6)</f>
        <v>2.6951023252993502E-2</v>
      </c>
      <c r="N208" s="11">
        <f>L208*SIN(RADIANS(K208))</f>
        <v>-2.2363746233642146</v>
      </c>
      <c r="O208" s="11">
        <f>L208*COS(RADIANS(K208))</f>
        <v>-8.9696086996325963</v>
      </c>
      <c r="P208" s="1">
        <v>4.5207876641667895</v>
      </c>
      <c r="Q208" s="1">
        <v>0.80119266410067091</v>
      </c>
      <c r="R208" s="1">
        <f>P208/Q208</f>
        <v>5.6425724631931313</v>
      </c>
    </row>
    <row r="209" spans="1:18" x14ac:dyDescent="0.35">
      <c r="A209" s="14">
        <v>2513</v>
      </c>
      <c r="B209" s="6">
        <v>0.75</v>
      </c>
      <c r="C209" s="6">
        <v>4000000</v>
      </c>
      <c r="D209" s="6">
        <v>10</v>
      </c>
      <c r="E209" s="6">
        <v>0.25</v>
      </c>
      <c r="F209" s="6">
        <v>0.15</v>
      </c>
      <c r="G209" s="11">
        <f>(C209*$V$4)/($V$5*$V$3)</f>
        <v>58.775510204081627</v>
      </c>
      <c r="H209" s="11">
        <f>G209*COS(RADIANS(D209))</f>
        <v>57.882578136227728</v>
      </c>
      <c r="I209" s="11">
        <f>G209*SIN(RADIANS(D209))</f>
        <v>10.206260238382843</v>
      </c>
      <c r="J209" s="12">
        <v>0.28370000000000001</v>
      </c>
      <c r="K209" s="11">
        <v>38</v>
      </c>
      <c r="L209" s="11">
        <f>-(F209*G209*$V$3)/J209</f>
        <v>-31.076230280621232</v>
      </c>
      <c r="M209" s="11">
        <f>ABS(L209/$V$6)</f>
        <v>9.0601254462452568E-2</v>
      </c>
      <c r="N209" s="11">
        <f>L209*SIN(RADIANS(K209))</f>
        <v>-19.132437782127163</v>
      </c>
      <c r="O209" s="11">
        <f>L209*COS(RADIANS(K209))</f>
        <v>-24.488403642688368</v>
      </c>
      <c r="P209" s="1">
        <v>4.7496567322973435</v>
      </c>
      <c r="Q209" s="1">
        <v>0.12714747831125817</v>
      </c>
      <c r="R209" s="1">
        <f>P209/Q209</f>
        <v>37.355492970691415</v>
      </c>
    </row>
    <row r="210" spans="1:18" x14ac:dyDescent="0.35">
      <c r="A210" s="14">
        <v>2514</v>
      </c>
      <c r="B210" s="6">
        <v>0.25</v>
      </c>
      <c r="C210" s="6">
        <v>2000000</v>
      </c>
      <c r="D210" s="6">
        <v>5</v>
      </c>
      <c r="E210" s="6">
        <v>0</v>
      </c>
      <c r="F210" s="6">
        <v>0.05</v>
      </c>
      <c r="G210" s="11">
        <f>(C210*$V$4)/($V$5*$V$3)</f>
        <v>29.387755102040813</v>
      </c>
      <c r="H210" s="11">
        <f>G210*COS(RADIANS(D210))</f>
        <v>29.275925821471702</v>
      </c>
      <c r="I210" s="11">
        <f>G210*SIN(RADIANS(D210))</f>
        <v>2.5613116236046478</v>
      </c>
      <c r="J210" s="12">
        <v>0.18990000000000001</v>
      </c>
      <c r="K210" s="11">
        <v>0</v>
      </c>
      <c r="L210" s="11">
        <f>-(F210*G210*$V$3)/J210</f>
        <v>-7.73769223329142</v>
      </c>
      <c r="M210" s="11">
        <f>ABS(L210/$V$6)</f>
        <v>2.2558869484814635E-2</v>
      </c>
      <c r="N210" s="11">
        <f>L210*SIN(RADIANS(K210))</f>
        <v>0</v>
      </c>
      <c r="O210" s="11">
        <f>L210*COS(RADIANS(K210))</f>
        <v>-7.73769223329142</v>
      </c>
      <c r="P210" s="1">
        <v>2.1644808159762792</v>
      </c>
      <c r="Q210" s="1">
        <v>0.28319919489482837</v>
      </c>
      <c r="R210" s="1">
        <f>P210/Q210</f>
        <v>7.6429624624466257</v>
      </c>
    </row>
    <row r="211" spans="1:18" x14ac:dyDescent="0.35">
      <c r="A211" s="14">
        <v>2515</v>
      </c>
      <c r="B211" s="6">
        <v>0.75</v>
      </c>
      <c r="C211" s="6">
        <v>6000000</v>
      </c>
      <c r="D211" s="6">
        <v>30</v>
      </c>
      <c r="E211" s="6">
        <v>0.25</v>
      </c>
      <c r="F211" s="6">
        <v>2.5000000000000001E-2</v>
      </c>
      <c r="G211" s="11">
        <f>(C211*$V$4)/($V$5*$V$3)</f>
        <v>88.16326530612244</v>
      </c>
      <c r="H211" s="11">
        <f>G211*COS(RADIANS(D211))</f>
        <v>76.351627435689281</v>
      </c>
      <c r="I211" s="11">
        <f>G211*SIN(RADIANS(D211))</f>
        <v>44.081632653061213</v>
      </c>
      <c r="J211" s="12">
        <v>0.28370000000000001</v>
      </c>
      <c r="K211" s="11">
        <v>38</v>
      </c>
      <c r="L211" s="11">
        <f>-(F211*G211*$V$3)/J211</f>
        <v>-7.769057570155308</v>
      </c>
      <c r="M211" s="11">
        <f>ABS(L211/$V$6)</f>
        <v>2.2650313615613142E-2</v>
      </c>
      <c r="N211" s="11">
        <f>L211*SIN(RADIANS(K211))</f>
        <v>-4.7831094455317906</v>
      </c>
      <c r="O211" s="11">
        <f>L211*COS(RADIANS(K211))</f>
        <v>-6.1221009106720921</v>
      </c>
      <c r="P211" s="1">
        <v>3.5590992981677791</v>
      </c>
      <c r="Q211" s="1">
        <v>1.2684371117664628</v>
      </c>
      <c r="R211" s="1">
        <f>P211/Q211</f>
        <v>2.8058933826141943</v>
      </c>
    </row>
    <row r="212" spans="1:18" x14ac:dyDescent="0.35">
      <c r="A212" s="14">
        <v>2516</v>
      </c>
      <c r="B212" s="6">
        <v>0.75</v>
      </c>
      <c r="C212" s="6">
        <v>4000000</v>
      </c>
      <c r="D212" s="6">
        <v>30</v>
      </c>
      <c r="E212" s="6">
        <v>0.125</v>
      </c>
      <c r="F212" s="6">
        <v>0.15</v>
      </c>
      <c r="G212" s="11">
        <f>(C212*$V$4)/($V$5*$V$3)</f>
        <v>58.775510204081627</v>
      </c>
      <c r="H212" s="11">
        <f>G212*COS(RADIANS(D212))</f>
        <v>50.901084957126187</v>
      </c>
      <c r="I212" s="11">
        <f>G212*SIN(RADIANS(D212))</f>
        <v>29.38775510204081</v>
      </c>
      <c r="J212" s="12">
        <v>0.2802</v>
      </c>
      <c r="K212" s="11">
        <v>19</v>
      </c>
      <c r="L212" s="11">
        <f>-(F212*G212*$V$3)/J212</f>
        <v>-31.464405890835987</v>
      </c>
      <c r="M212" s="11">
        <f>ABS(L212/$V$6)</f>
        <v>9.1732961780862932E-2</v>
      </c>
      <c r="N212" s="11">
        <f>L212*SIN(RADIANS(K212))</f>
        <v>-10.243808556970363</v>
      </c>
      <c r="O212" s="11">
        <f>L212*COS(RADIANS(K212))</f>
        <v>-29.750180239981997</v>
      </c>
      <c r="P212" s="1">
        <v>4.9081193616850598</v>
      </c>
      <c r="Q212" s="1">
        <v>1.1999786533436656</v>
      </c>
      <c r="R212" s="1">
        <f>P212/Q212</f>
        <v>4.0901722276549597</v>
      </c>
    </row>
    <row r="213" spans="1:18" x14ac:dyDescent="0.35">
      <c r="A213" s="14">
        <v>2517</v>
      </c>
      <c r="B213" s="6">
        <v>0.5</v>
      </c>
      <c r="C213" s="6">
        <v>2000000</v>
      </c>
      <c r="D213" s="6">
        <v>15</v>
      </c>
      <c r="E213" s="6">
        <v>0</v>
      </c>
      <c r="F213" s="6">
        <v>7.4999999999999997E-2</v>
      </c>
      <c r="G213" s="11">
        <f>(C213*$V$4)/($V$5*$V$3)</f>
        <v>29.387755102040813</v>
      </c>
      <c r="H213" s="11">
        <f>G213*COS(RADIANS(D213))</f>
        <v>28.386391629719554</v>
      </c>
      <c r="I213" s="11">
        <f>G213*SIN(RADIANS(D213))</f>
        <v>7.6061107132169354</v>
      </c>
      <c r="J213" s="12">
        <v>0.23230000000000001</v>
      </c>
      <c r="K213" s="11">
        <v>0</v>
      </c>
      <c r="L213" s="11">
        <f>-(F213*G213*$V$3)/J213</f>
        <v>-9.4880827923076243</v>
      </c>
      <c r="M213" s="11">
        <f>ABS(L213/$V$6)</f>
        <v>2.7662048957165085E-2</v>
      </c>
      <c r="N213" s="11">
        <f>L213*SIN(RADIANS(K213))</f>
        <v>0</v>
      </c>
      <c r="O213" s="11">
        <f>L213*COS(RADIANS(K213))</f>
        <v>-9.4880827923076243</v>
      </c>
      <c r="P213" s="1">
        <v>4.5762358368888281</v>
      </c>
      <c r="Q213" s="1">
        <v>0.85927029335451066</v>
      </c>
      <c r="R213" s="1">
        <f>P213/Q213</f>
        <v>5.3257233169595946</v>
      </c>
    </row>
    <row r="214" spans="1:18" x14ac:dyDescent="0.35">
      <c r="A214" s="14">
        <v>2518</v>
      </c>
      <c r="B214" s="6">
        <v>1</v>
      </c>
      <c r="C214" s="6">
        <v>6000000</v>
      </c>
      <c r="D214" s="6">
        <v>0</v>
      </c>
      <c r="E214" s="6">
        <v>0.25</v>
      </c>
      <c r="F214" s="6">
        <v>2.5000000000000001E-2</v>
      </c>
      <c r="G214" s="11">
        <f>(C214*$V$4)/($V$5*$V$3)</f>
        <v>88.16326530612244</v>
      </c>
      <c r="H214" s="11">
        <f>G214*COS(RADIANS(D214))</f>
        <v>88.16326530612244</v>
      </c>
      <c r="I214" s="11">
        <f>G214*SIN(RADIANS(D214))</f>
        <v>0</v>
      </c>
      <c r="J214" s="13">
        <v>0.33379999999999999</v>
      </c>
      <c r="K214" s="12">
        <v>30</v>
      </c>
      <c r="L214" s="11">
        <f>-(F214*G214*$V$3)/J214</f>
        <v>-6.6030006969834067</v>
      </c>
      <c r="M214" s="11">
        <f>ABS(L214/$V$6)</f>
        <v>1.9250730894995356E-2</v>
      </c>
      <c r="N214" s="11">
        <f>L214*SIN(RADIANS(K214))</f>
        <v>-3.3015003484917029</v>
      </c>
      <c r="O214" s="11">
        <f>L214*COS(RADIANS(K214))</f>
        <v>-5.718366344793985</v>
      </c>
      <c r="P214" s="1">
        <v>4.6297128544651329</v>
      </c>
      <c r="Q214" s="1">
        <v>-0.2868333890437833</v>
      </c>
      <c r="R214" s="1">
        <f>P214/Q214</f>
        <v>-16.140773812627639</v>
      </c>
    </row>
    <row r="215" spans="1:18" x14ac:dyDescent="0.35">
      <c r="A215" s="14">
        <v>2519</v>
      </c>
      <c r="B215" s="6">
        <v>0.25</v>
      </c>
      <c r="C215" s="6">
        <v>2000000</v>
      </c>
      <c r="D215" s="6">
        <v>10</v>
      </c>
      <c r="E215" s="6">
        <v>0.375</v>
      </c>
      <c r="F215" s="6">
        <v>0</v>
      </c>
      <c r="G215" s="11">
        <f>(C215*$V$4)/($V$5*$V$3)</f>
        <v>29.387755102040813</v>
      </c>
      <c r="H215" s="11">
        <f>G215*COS(RADIANS(D215))</f>
        <v>28.941289068113864</v>
      </c>
      <c r="I215" s="11">
        <f>G215*SIN(RADIANS(D215))</f>
        <v>5.1031301191914213</v>
      </c>
      <c r="J215" s="11">
        <v>0.1976</v>
      </c>
      <c r="K215" s="12">
        <v>78</v>
      </c>
      <c r="L215" s="11">
        <f>-(F215*G215*$V$3)/J215</f>
        <v>0</v>
      </c>
      <c r="M215" s="11">
        <f>ABS(L215/$V$6)</f>
        <v>0</v>
      </c>
      <c r="N215" s="11">
        <f>L215*SIN(RADIANS(K215))</f>
        <v>0</v>
      </c>
      <c r="O215" s="11">
        <f>L215*COS(RADIANS(K215))</f>
        <v>0</v>
      </c>
      <c r="P215" s="1">
        <v>2.800754642998962</v>
      </c>
      <c r="Q215" s="1">
        <v>0.65600391500287047</v>
      </c>
      <c r="R215" s="1">
        <f>P215/Q215</f>
        <v>4.2694175735013822</v>
      </c>
    </row>
    <row r="216" spans="1:18" x14ac:dyDescent="0.35">
      <c r="A216" s="14">
        <v>2520</v>
      </c>
      <c r="B216" s="6">
        <v>0.1</v>
      </c>
      <c r="C216" s="6">
        <v>6000000</v>
      </c>
      <c r="D216" s="6">
        <v>5</v>
      </c>
      <c r="E216" s="6">
        <v>0.125</v>
      </c>
      <c r="F216" s="6">
        <v>2.5000000000000001E-2</v>
      </c>
      <c r="G216" s="11">
        <f>(C216*$V$4)/($V$5*$V$3)</f>
        <v>88.16326530612244</v>
      </c>
      <c r="H216" s="11">
        <f>G216*COS(RADIANS(D216))</f>
        <v>87.827777464415107</v>
      </c>
      <c r="I216" s="11">
        <f>G216*SIN(RADIANS(D216))</f>
        <v>7.6839348708139434</v>
      </c>
      <c r="J216" s="12">
        <v>0.1658</v>
      </c>
      <c r="K216" s="11">
        <v>69</v>
      </c>
      <c r="L216" s="11">
        <f>-(F216*G216*$V$3)/J216</f>
        <v>-13.293616602250067</v>
      </c>
      <c r="M216" s="11">
        <f>ABS(L216/$V$6)</f>
        <v>3.8756899715014774E-2</v>
      </c>
      <c r="N216" s="11">
        <f>L216*SIN(RADIANS(K216))</f>
        <v>-12.410660257218899</v>
      </c>
      <c r="O216" s="11">
        <f>L216*COS(RADIANS(K216))</f>
        <v>-4.7640061237897191</v>
      </c>
      <c r="P216" s="1">
        <v>1.3355718027407262</v>
      </c>
      <c r="Q216" s="1">
        <v>0.33305386551719601</v>
      </c>
      <c r="R216" s="1">
        <f>P216/Q216</f>
        <v>4.0100774710022655</v>
      </c>
    </row>
    <row r="217" spans="1:18" x14ac:dyDescent="0.35">
      <c r="A217" s="14">
        <v>2521</v>
      </c>
      <c r="B217" s="6">
        <v>0.25</v>
      </c>
      <c r="C217" s="6">
        <v>4000000</v>
      </c>
      <c r="D217" s="6">
        <v>5</v>
      </c>
      <c r="E217" s="6">
        <v>0.25</v>
      </c>
      <c r="F217" s="6">
        <v>7.4999999999999997E-2</v>
      </c>
      <c r="G217" s="11">
        <f>(C217*$V$4)/($V$5*$V$3)</f>
        <v>58.775510204081627</v>
      </c>
      <c r="H217" s="11">
        <f>G217*COS(RADIANS(D217))</f>
        <v>58.551851642943404</v>
      </c>
      <c r="I217" s="11">
        <f>G217*SIN(RADIANS(D217))</f>
        <v>5.1226232472092956</v>
      </c>
      <c r="J217" s="12">
        <v>0.1913</v>
      </c>
      <c r="K217" s="11">
        <v>67</v>
      </c>
      <c r="L217" s="11">
        <f>-(F217*G217*$V$3)/J217</f>
        <v>-23.043195323084799</v>
      </c>
      <c r="M217" s="11">
        <f>ABS(L217/$V$6)</f>
        <v>6.7181327472550428E-2</v>
      </c>
      <c r="N217" s="11">
        <f>L217*SIN(RADIANS(K217))</f>
        <v>-21.211373133952133</v>
      </c>
      <c r="O217" s="11">
        <f>L217*COS(RADIANS(K217))</f>
        <v>-9.0036937125876779</v>
      </c>
      <c r="P217" s="1">
        <v>2.1918559961533992</v>
      </c>
      <c r="Q217" s="1">
        <v>0.25223245626664176</v>
      </c>
      <c r="R217" s="1">
        <f>P217/Q217</f>
        <v>8.6898253642518117</v>
      </c>
    </row>
    <row r="218" spans="1:18" x14ac:dyDescent="0.35">
      <c r="A218" s="14">
        <v>2522</v>
      </c>
      <c r="B218" s="6">
        <v>1</v>
      </c>
      <c r="C218" s="6">
        <v>6000000</v>
      </c>
      <c r="D218" s="6">
        <v>20</v>
      </c>
      <c r="E218" s="6">
        <v>0.375</v>
      </c>
      <c r="F218" s="6">
        <v>0.05</v>
      </c>
      <c r="G218" s="11">
        <f>(C218*$V$4)/($V$5*$V$3)</f>
        <v>88.16326530612244</v>
      </c>
      <c r="H218" s="11">
        <f>G218*COS(RADIANS(D218))</f>
        <v>82.846369832553549</v>
      </c>
      <c r="I218" s="11">
        <f>G218*SIN(RADIANS(D218))</f>
        <v>30.153612636058952</v>
      </c>
      <c r="J218" s="12">
        <v>0.33379999999999999</v>
      </c>
      <c r="K218" s="11">
        <v>49</v>
      </c>
      <c r="L218" s="11">
        <f>-(F218*G218*$V$3)/J218</f>
        <v>-13.206001393966813</v>
      </c>
      <c r="M218" s="11">
        <f>ABS(L218/$V$6)</f>
        <v>3.8501461789990712E-2</v>
      </c>
      <c r="N218" s="11">
        <f>L218*SIN(RADIANS(K218))</f>
        <v>-9.9666957684620368</v>
      </c>
      <c r="O218" s="11">
        <f>L218*COS(RADIANS(K218))</f>
        <v>-8.6639164513731526</v>
      </c>
      <c r="P218" s="1">
        <v>5.3891087218010396</v>
      </c>
      <c r="Q218" s="1">
        <v>0.77034753141963175</v>
      </c>
      <c r="R218" s="1">
        <f>P218/Q218</f>
        <v>6.9956850668032171</v>
      </c>
    </row>
    <row r="219" spans="1:18" x14ac:dyDescent="0.35">
      <c r="A219" s="14">
        <v>2643</v>
      </c>
      <c r="B219" s="6">
        <v>0.1</v>
      </c>
      <c r="C219" s="6">
        <v>4000000</v>
      </c>
      <c r="D219" s="6">
        <v>0</v>
      </c>
      <c r="E219" s="6">
        <v>0</v>
      </c>
      <c r="F219" s="6">
        <v>0.15</v>
      </c>
      <c r="G219" s="11">
        <f>(C219*$V$4)/($V$5*$V$3)</f>
        <v>58.775510204081627</v>
      </c>
      <c r="H219" s="11">
        <f>G219*COS(RADIANS(D219))</f>
        <v>58.775510204081627</v>
      </c>
      <c r="I219" s="11">
        <f>G219*SIN(RADIANS(D219))</f>
        <v>0</v>
      </c>
      <c r="J219" s="20">
        <v>0.16569999999999999</v>
      </c>
      <c r="K219" s="19">
        <v>0</v>
      </c>
      <c r="L219" s="11">
        <f>-(F219*G219*$V$3)/J219</f>
        <v>-53.206557215523503</v>
      </c>
      <c r="M219" s="11">
        <f>ABS(L219/$V$6)</f>
        <v>0.15512115806275073</v>
      </c>
      <c r="N219" s="11">
        <f>L219*SIN(RADIANS(K219))</f>
        <v>0</v>
      </c>
      <c r="O219" s="11">
        <f>L219*COS(RADIANS(K219))</f>
        <v>-53.206557215523503</v>
      </c>
      <c r="P219" s="1">
        <v>1.4415783292604283</v>
      </c>
      <c r="Q219" s="1">
        <v>0.14945406458085683</v>
      </c>
      <c r="R219" s="1">
        <f>P219/Q219</f>
        <v>9.6456281286382364</v>
      </c>
    </row>
    <row r="220" spans="1:18" x14ac:dyDescent="0.35">
      <c r="A220" s="14">
        <v>2524</v>
      </c>
      <c r="B220" s="6">
        <v>1</v>
      </c>
      <c r="C220" s="6">
        <v>4000000</v>
      </c>
      <c r="D220" s="6">
        <v>5</v>
      </c>
      <c r="E220" s="6">
        <v>0</v>
      </c>
      <c r="F220" s="6">
        <v>0</v>
      </c>
      <c r="G220" s="11">
        <f>(C220*$V$4)/($V$5*$V$3)</f>
        <v>58.775510204081627</v>
      </c>
      <c r="H220" s="11">
        <f>G220*COS(RADIANS(D220))</f>
        <v>58.551851642943404</v>
      </c>
      <c r="I220" s="11">
        <f>G220*SIN(RADIANS(D220))</f>
        <v>5.1226232472092956</v>
      </c>
      <c r="J220" s="11">
        <v>0.33379999999999999</v>
      </c>
      <c r="K220" s="12">
        <v>0</v>
      </c>
      <c r="L220" s="11">
        <f>-(F220*G220*$V$3)/J220</f>
        <v>0</v>
      </c>
      <c r="M220" s="11">
        <f>ABS(L220/$V$6)</f>
        <v>0</v>
      </c>
      <c r="N220" s="11">
        <f>L220*SIN(RADIANS(K220))</f>
        <v>0</v>
      </c>
      <c r="O220" s="11">
        <f>L220*COS(RADIANS(K220))</f>
        <v>0</v>
      </c>
      <c r="P220" s="1">
        <v>6.1704569181924187</v>
      </c>
      <c r="Q220" s="1">
        <v>1.5706934066360099</v>
      </c>
      <c r="R220" s="1">
        <f>P220/Q220</f>
        <v>3.9284922774380444</v>
      </c>
    </row>
    <row r="221" spans="1:18" x14ac:dyDescent="0.35">
      <c r="A221" s="14">
        <v>2525</v>
      </c>
      <c r="B221" s="6">
        <v>0.75</v>
      </c>
      <c r="C221" s="6">
        <v>6000000</v>
      </c>
      <c r="D221" s="6">
        <v>20</v>
      </c>
      <c r="E221" s="6">
        <v>0.25</v>
      </c>
      <c r="F221" s="6">
        <v>2.5000000000000001E-2</v>
      </c>
      <c r="G221" s="11">
        <f>(C221*$V$4)/($V$5*$V$3)</f>
        <v>88.16326530612244</v>
      </c>
      <c r="H221" s="11">
        <f>G221*COS(RADIANS(D221))</f>
        <v>82.846369832553549</v>
      </c>
      <c r="I221" s="11">
        <f>G221*SIN(RADIANS(D221))</f>
        <v>30.153612636058952</v>
      </c>
      <c r="J221" s="12">
        <v>0.28370000000000001</v>
      </c>
      <c r="K221" s="11">
        <v>38</v>
      </c>
      <c r="L221" s="11">
        <f>-(F221*G221*$V$3)/J221</f>
        <v>-7.769057570155308</v>
      </c>
      <c r="M221" s="11">
        <f>ABS(L221/$V$6)</f>
        <v>2.2650313615613142E-2</v>
      </c>
      <c r="N221" s="11">
        <f>L221*SIN(RADIANS(K221))</f>
        <v>-4.7831094455317906</v>
      </c>
      <c r="O221" s="11">
        <f>L221*COS(RADIANS(K221))</f>
        <v>-6.1221009106720921</v>
      </c>
      <c r="P221" s="1">
        <v>4.3072707669648249</v>
      </c>
      <c r="Q221" s="1">
        <v>0.78460578060747543</v>
      </c>
      <c r="R221" s="1">
        <f>P221/Q221</f>
        <v>5.4897260170960651</v>
      </c>
    </row>
    <row r="222" spans="1:18" x14ac:dyDescent="0.35">
      <c r="A222" s="14">
        <v>2615</v>
      </c>
      <c r="B222" s="6">
        <v>0.1</v>
      </c>
      <c r="C222" s="6">
        <v>6000000</v>
      </c>
      <c r="D222" s="6">
        <v>30</v>
      </c>
      <c r="E222" s="6">
        <v>0.125</v>
      </c>
      <c r="F222" s="6">
        <v>0.1</v>
      </c>
      <c r="G222" s="11">
        <f>(C222*$V$4)/($V$5*$V$3)</f>
        <v>88.16326530612244</v>
      </c>
      <c r="H222" s="11">
        <f>G222*COS(RADIANS(D222))</f>
        <v>76.351627435689281</v>
      </c>
      <c r="I222" s="11">
        <f>G222*SIN(RADIANS(D222))</f>
        <v>44.081632653061213</v>
      </c>
      <c r="J222" s="12">
        <v>0.1658</v>
      </c>
      <c r="K222" s="11">
        <v>69</v>
      </c>
      <c r="L222" s="11">
        <f>-(F222*G222*$V$3)/J222</f>
        <v>-53.174466409000267</v>
      </c>
      <c r="M222" s="11">
        <f>ABS(L222/$V$6)</f>
        <v>0.1550275988600591</v>
      </c>
      <c r="N222" s="11">
        <f>L222*SIN(RADIANS(K222))</f>
        <v>-49.642641028875595</v>
      </c>
      <c r="O222" s="11">
        <f>L222*COS(RADIANS(K222))</f>
        <v>-19.056024495158876</v>
      </c>
      <c r="P222" s="1">
        <v>1.3722272888671232</v>
      </c>
      <c r="Q222" s="1">
        <v>0.98780745354232524</v>
      </c>
      <c r="R222" s="1">
        <f>P222/Q222</f>
        <v>1.3891647445524427</v>
      </c>
    </row>
    <row r="223" spans="1:18" x14ac:dyDescent="0.35">
      <c r="A223" s="14">
        <v>2527</v>
      </c>
      <c r="B223" s="6">
        <v>1</v>
      </c>
      <c r="C223" s="6">
        <v>4000000</v>
      </c>
      <c r="D223" s="6">
        <v>30</v>
      </c>
      <c r="E223" s="6">
        <v>0.375</v>
      </c>
      <c r="F223" s="6">
        <v>1.4999999999999999E-2</v>
      </c>
      <c r="G223" s="11">
        <f>(C223*$V$4)/($V$5*$V$3)</f>
        <v>58.775510204081627</v>
      </c>
      <c r="H223" s="11">
        <f>G223*COS(RADIANS(D223))</f>
        <v>50.901084957126187</v>
      </c>
      <c r="I223" s="11">
        <f>G223*SIN(RADIANS(D223))</f>
        <v>29.38775510204081</v>
      </c>
      <c r="J223" s="12">
        <v>0.33379999999999999</v>
      </c>
      <c r="K223" s="11">
        <v>49</v>
      </c>
      <c r="L223" s="11">
        <f>-(F223*G223*$V$3)/J223</f>
        <v>-2.6412002787933626</v>
      </c>
      <c r="M223" s="11">
        <f>ABS(L223/$V$6)</f>
        <v>7.7002923579981416E-3</v>
      </c>
      <c r="N223" s="11">
        <f>L223*SIN(RADIANS(K223))</f>
        <v>-1.9933391536924072</v>
      </c>
      <c r="O223" s="11">
        <f>L223*COS(RADIANS(K223))</f>
        <v>-1.7327832902746305</v>
      </c>
      <c r="P223" s="1">
        <v>5.3209614579628424</v>
      </c>
      <c r="Q223" s="1">
        <v>1.5142701303236512</v>
      </c>
      <c r="R223" s="1">
        <f>P223/Q223</f>
        <v>3.5138786346037025</v>
      </c>
    </row>
    <row r="224" spans="1:18" x14ac:dyDescent="0.35">
      <c r="A224" s="14">
        <v>2528</v>
      </c>
      <c r="B224" s="6">
        <v>0.75</v>
      </c>
      <c r="C224" s="6">
        <v>6000000</v>
      </c>
      <c r="D224" s="6">
        <v>20</v>
      </c>
      <c r="E224" s="6">
        <v>0.125</v>
      </c>
      <c r="F224" s="6">
        <v>7.4999999999999997E-2</v>
      </c>
      <c r="G224" s="11">
        <f>(C224*$V$4)/($V$5*$V$3)</f>
        <v>88.16326530612244</v>
      </c>
      <c r="H224" s="11">
        <f>G224*COS(RADIANS(D224))</f>
        <v>82.846369832553549</v>
      </c>
      <c r="I224" s="11">
        <f>G224*SIN(RADIANS(D224))</f>
        <v>30.153612636058952</v>
      </c>
      <c r="J224" s="12">
        <v>0.2802</v>
      </c>
      <c r="K224" s="11">
        <v>19</v>
      </c>
      <c r="L224" s="11">
        <f>-(F224*G224*$V$3)/J224</f>
        <v>-23.59830441812699</v>
      </c>
      <c r="M224" s="11">
        <f>ABS(L224/$V$6)</f>
        <v>6.8799721335647199E-2</v>
      </c>
      <c r="N224" s="11">
        <f>L224*SIN(RADIANS(K224))</f>
        <v>-7.6828564177277707</v>
      </c>
      <c r="O224" s="11">
        <f>L224*COS(RADIANS(K224))</f>
        <v>-22.312635179986497</v>
      </c>
      <c r="P224" s="1">
        <v>6.0966782101914818</v>
      </c>
      <c r="Q224" s="1">
        <v>1.010168778579327</v>
      </c>
      <c r="R224" s="1">
        <f>P224/Q224</f>
        <v>6.0353065145862841</v>
      </c>
    </row>
    <row r="225" spans="1:18" x14ac:dyDescent="0.35">
      <c r="A225" s="14">
        <v>2529</v>
      </c>
      <c r="B225" s="6">
        <v>1</v>
      </c>
      <c r="C225" s="6">
        <v>6000000</v>
      </c>
      <c r="D225" s="6">
        <v>10</v>
      </c>
      <c r="E225" s="6">
        <v>0.125</v>
      </c>
      <c r="F225" s="6">
        <v>0.1</v>
      </c>
      <c r="G225" s="11">
        <f>(C225*$V$4)/($V$5*$V$3)</f>
        <v>88.16326530612244</v>
      </c>
      <c r="H225" s="11">
        <f>G225*COS(RADIANS(D225))</f>
        <v>86.823867204341596</v>
      </c>
      <c r="I225" s="11">
        <f>G225*SIN(RADIANS(D225))</f>
        <v>15.309390357574264</v>
      </c>
      <c r="J225" s="11">
        <v>0.33379999999999999</v>
      </c>
      <c r="K225" s="12">
        <v>14</v>
      </c>
      <c r="L225" s="11">
        <f>-(F225*G225*$V$3)/J225</f>
        <v>-26.412002787933627</v>
      </c>
      <c r="M225" s="11">
        <f>ABS(L225/$V$6)</f>
        <v>7.7002923579981425E-2</v>
      </c>
      <c r="N225" s="11">
        <f>L225*SIN(RADIANS(K225))</f>
        <v>-6.3896417810406119</v>
      </c>
      <c r="O225" s="11">
        <f>L225*COS(RADIANS(K225))</f>
        <v>-25.627453427521701</v>
      </c>
      <c r="P225" s="1">
        <v>3.0056272184676187</v>
      </c>
      <c r="Q225" s="1">
        <v>0.91531572321903554</v>
      </c>
      <c r="R225" s="1">
        <f>P225/Q225</f>
        <v>3.2837054387061704</v>
      </c>
    </row>
    <row r="226" spans="1:18" x14ac:dyDescent="0.35">
      <c r="A226" s="14">
        <v>2530</v>
      </c>
      <c r="B226" s="6">
        <v>0.75</v>
      </c>
      <c r="C226" s="6">
        <v>6000000</v>
      </c>
      <c r="D226" s="6">
        <v>0</v>
      </c>
      <c r="E226" s="6">
        <v>0</v>
      </c>
      <c r="F226" s="6">
        <v>0</v>
      </c>
      <c r="G226" s="11">
        <f>(C226*$V$4)/($V$5*$V$3)</f>
        <v>88.16326530612244</v>
      </c>
      <c r="H226" s="11">
        <f>G226*COS(RADIANS(D226))</f>
        <v>88.16326530612244</v>
      </c>
      <c r="I226" s="11">
        <f>G226*SIN(RADIANS(D226))</f>
        <v>0</v>
      </c>
      <c r="J226" s="11">
        <v>0.27929999999999999</v>
      </c>
      <c r="K226" s="11">
        <v>0</v>
      </c>
      <c r="L226" s="11">
        <f>-(F226*G226*$V$3)/J226</f>
        <v>0</v>
      </c>
      <c r="M226" s="11">
        <f>ABS(L226/$V$6)</f>
        <v>0</v>
      </c>
      <c r="N226" s="11">
        <f>L226*SIN(RADIANS(K226))</f>
        <v>0</v>
      </c>
      <c r="O226" s="11">
        <f>L226*COS(RADIANS(K226))</f>
        <v>0</v>
      </c>
      <c r="P226" s="1">
        <v>4.381526705610594</v>
      </c>
      <c r="Q226" s="1">
        <v>0.95138065225560942</v>
      </c>
      <c r="R226" s="1">
        <f>P226/Q226</f>
        <v>4.6054402044255571</v>
      </c>
    </row>
    <row r="227" spans="1:18" x14ac:dyDescent="0.35">
      <c r="A227" s="14">
        <v>2531</v>
      </c>
      <c r="B227" s="6">
        <v>1</v>
      </c>
      <c r="C227" s="6">
        <v>6000000</v>
      </c>
      <c r="D227" s="6">
        <v>5</v>
      </c>
      <c r="E227" s="6">
        <v>0</v>
      </c>
      <c r="F227" s="6">
        <v>0</v>
      </c>
      <c r="G227" s="11">
        <f>(C227*$V$4)/($V$5*$V$3)</f>
        <v>88.16326530612244</v>
      </c>
      <c r="H227" s="11">
        <f>G227*COS(RADIANS(D227))</f>
        <v>87.827777464415107</v>
      </c>
      <c r="I227" s="11">
        <f>G227*SIN(RADIANS(D227))</f>
        <v>7.6839348708139434</v>
      </c>
      <c r="J227" s="11">
        <v>0.33379999999999999</v>
      </c>
      <c r="K227" s="12">
        <v>0</v>
      </c>
      <c r="L227" s="11">
        <f>-(F227*G227*$V$3)/J227</f>
        <v>0</v>
      </c>
      <c r="M227" s="11">
        <f>ABS(L227/$V$6)</f>
        <v>0</v>
      </c>
      <c r="N227" s="11">
        <f>L227*SIN(RADIANS(K227))</f>
        <v>0</v>
      </c>
      <c r="O227" s="11">
        <f>L227*COS(RADIANS(K227))</f>
        <v>0</v>
      </c>
      <c r="P227" s="1">
        <v>6.1250043351688106</v>
      </c>
      <c r="Q227" s="1">
        <v>1.6145526162577499</v>
      </c>
      <c r="R227" s="1">
        <f>P227/Q227</f>
        <v>3.7936232449119545</v>
      </c>
    </row>
    <row r="228" spans="1:18" x14ac:dyDescent="0.35">
      <c r="A228" s="14">
        <v>2532</v>
      </c>
      <c r="B228" s="6">
        <v>0.5</v>
      </c>
      <c r="C228" s="6">
        <v>4000000</v>
      </c>
      <c r="D228" s="6">
        <v>5</v>
      </c>
      <c r="E228" s="6">
        <v>0.125</v>
      </c>
      <c r="F228" s="6">
        <v>3.5000000000000003E-2</v>
      </c>
      <c r="G228" s="11">
        <f>(C228*$V$4)/($V$5*$V$3)</f>
        <v>58.775510204081627</v>
      </c>
      <c r="H228" s="11">
        <f>G228*COS(RADIANS(D228))</f>
        <v>58.551851642943404</v>
      </c>
      <c r="I228" s="11">
        <f>G228*SIN(RADIANS(D228))</f>
        <v>5.1226232472092956</v>
      </c>
      <c r="J228" s="12">
        <v>0.23300000000000001</v>
      </c>
      <c r="K228" s="11">
        <v>27</v>
      </c>
      <c r="L228" s="11">
        <f>-(F228*G228*$V$3)/J228</f>
        <v>-8.8289393010423041</v>
      </c>
      <c r="M228" s="11">
        <f>ABS(L228/$V$6)</f>
        <v>2.5740347816449866E-2</v>
      </c>
      <c r="N228" s="11">
        <f>L228*SIN(RADIANS(K228))</f>
        <v>-4.0082545654503203</v>
      </c>
      <c r="O228" s="11">
        <f>L228*COS(RADIANS(K228))</f>
        <v>-7.8666425188917817</v>
      </c>
      <c r="P228" s="1">
        <v>4.1456472791881991</v>
      </c>
      <c r="Q228" s="1">
        <v>0.33024509660798079</v>
      </c>
      <c r="R228" s="1">
        <f>P228/Q228</f>
        <v>12.553244005040632</v>
      </c>
    </row>
    <row r="229" spans="1:18" x14ac:dyDescent="0.35">
      <c r="A229" s="14">
        <v>2661</v>
      </c>
      <c r="B229" s="6">
        <v>0.1</v>
      </c>
      <c r="C229" s="6">
        <v>6000000</v>
      </c>
      <c r="D229" s="6">
        <v>0</v>
      </c>
      <c r="E229" s="6">
        <v>0.125</v>
      </c>
      <c r="F229" s="6">
        <v>0.1</v>
      </c>
      <c r="G229" s="11">
        <f>(C229*$V$4)/($V$5*$V$3)</f>
        <v>88.16326530612244</v>
      </c>
      <c r="H229" s="11">
        <f>G229*COS(RADIANS(D229))</f>
        <v>88.16326530612244</v>
      </c>
      <c r="I229" s="11">
        <f>G229*SIN(RADIANS(D229))</f>
        <v>0</v>
      </c>
      <c r="J229" s="12">
        <v>0.1658</v>
      </c>
      <c r="K229" s="11">
        <v>69</v>
      </c>
      <c r="L229" s="11">
        <f>-(F229*G229*$V$3)/J229</f>
        <v>-53.174466409000267</v>
      </c>
      <c r="M229" s="11">
        <f>ABS(L229/$V$6)</f>
        <v>0.1550275988600591</v>
      </c>
      <c r="N229" s="11">
        <f>L229*SIN(RADIANS(K229))</f>
        <v>-49.642641028875595</v>
      </c>
      <c r="O229" s="11">
        <f>L229*COS(RADIANS(K229))</f>
        <v>-19.056024495158876</v>
      </c>
      <c r="P229" s="1">
        <v>1.3871083808824425</v>
      </c>
      <c r="Q229" s="1">
        <v>0.22656945019929564</v>
      </c>
      <c r="R229" s="1">
        <f>P229/Q229</f>
        <v>6.1222215954635999</v>
      </c>
    </row>
    <row r="230" spans="1:18" x14ac:dyDescent="0.35">
      <c r="A230" s="14">
        <v>2534</v>
      </c>
      <c r="B230" s="6">
        <v>0.25</v>
      </c>
      <c r="C230" s="6">
        <v>4000000</v>
      </c>
      <c r="D230" s="6">
        <v>20</v>
      </c>
      <c r="E230" s="6">
        <v>0.125</v>
      </c>
      <c r="F230" s="6">
        <v>0.05</v>
      </c>
      <c r="G230" s="11">
        <f>(C230*$V$4)/($V$5*$V$3)</f>
        <v>58.775510204081627</v>
      </c>
      <c r="H230" s="11">
        <f>G230*COS(RADIANS(D230))</f>
        <v>55.230913221702366</v>
      </c>
      <c r="I230" s="11">
        <f>G230*SIN(RADIANS(D230))</f>
        <v>20.102408424039304</v>
      </c>
      <c r="J230" s="11">
        <v>0.19020000000000001</v>
      </c>
      <c r="K230" s="11">
        <v>46</v>
      </c>
      <c r="L230" s="11">
        <f>-(F230*G230*$V$3)/J230</f>
        <v>-15.450975342818513</v>
      </c>
      <c r="M230" s="11">
        <f>ABS(L230/$V$6)</f>
        <v>4.5046575343494204E-2</v>
      </c>
      <c r="N230" s="11">
        <f>L230*SIN(RADIANS(K230))</f>
        <v>-11.114501518140489</v>
      </c>
      <c r="O230" s="11">
        <f>L230*COS(RADIANS(K230))</f>
        <v>-10.733149353644455</v>
      </c>
      <c r="P230" s="1">
        <v>2.3001446815925877</v>
      </c>
      <c r="Q230" s="1">
        <v>0.68559625362991061</v>
      </c>
      <c r="R230" s="1">
        <f>P230/Q230</f>
        <v>3.3549551494985574</v>
      </c>
    </row>
    <row r="231" spans="1:18" x14ac:dyDescent="0.35">
      <c r="A231" s="14">
        <v>2535</v>
      </c>
      <c r="B231" s="6">
        <v>0.5</v>
      </c>
      <c r="C231" s="6">
        <v>2000000</v>
      </c>
      <c r="D231" s="6">
        <v>15</v>
      </c>
      <c r="E231" s="6">
        <v>0.25</v>
      </c>
      <c r="F231" s="6">
        <v>0</v>
      </c>
      <c r="G231" s="11">
        <f>(C231*$V$4)/($V$5*$V$3)</f>
        <v>29.387755102040813</v>
      </c>
      <c r="H231" s="11">
        <f>G231*COS(RADIANS(D231))</f>
        <v>28.386391629719554</v>
      </c>
      <c r="I231" s="11">
        <f>G231*SIN(RADIANS(D231))</f>
        <v>7.6061107132169354</v>
      </c>
      <c r="J231" s="11">
        <v>0.23580000000000001</v>
      </c>
      <c r="K231" s="11">
        <v>49</v>
      </c>
      <c r="L231" s="11">
        <f>-(F231*G231*$V$3)/J231</f>
        <v>0</v>
      </c>
      <c r="M231" s="11">
        <f>ABS(L231/$V$6)</f>
        <v>0</v>
      </c>
      <c r="N231" s="11">
        <f>L231*SIN(RADIANS(K231))</f>
        <v>0</v>
      </c>
      <c r="O231" s="11">
        <f>L231*COS(RADIANS(K231))</f>
        <v>0</v>
      </c>
      <c r="P231" s="1">
        <v>4.1534201024281927</v>
      </c>
      <c r="Q231" s="1">
        <v>1.1521637990700246</v>
      </c>
      <c r="R231" s="1">
        <f>P231/Q231</f>
        <v>3.6048868275332455</v>
      </c>
    </row>
    <row r="232" spans="1:18" x14ac:dyDescent="0.35">
      <c r="A232" s="14">
        <v>2536</v>
      </c>
      <c r="B232" s="6">
        <v>0.75</v>
      </c>
      <c r="C232" s="6">
        <v>4000000</v>
      </c>
      <c r="D232" s="6">
        <v>20</v>
      </c>
      <c r="E232" s="6">
        <v>0.25</v>
      </c>
      <c r="F232" s="6">
        <v>0.05</v>
      </c>
      <c r="G232" s="11">
        <f>(C232*$V$4)/($V$5*$V$3)</f>
        <v>58.775510204081627</v>
      </c>
      <c r="H232" s="11">
        <f>G232*COS(RADIANS(D232))</f>
        <v>55.230913221702366</v>
      </c>
      <c r="I232" s="11">
        <f>G232*SIN(RADIANS(D232))</f>
        <v>20.102408424039304</v>
      </c>
      <c r="J232" s="12">
        <v>0.28370000000000001</v>
      </c>
      <c r="K232" s="11">
        <v>38</v>
      </c>
      <c r="L232" s="11">
        <f>-(F232*G232*$V$3)/J232</f>
        <v>-10.358743426873744</v>
      </c>
      <c r="M232" s="11">
        <f>ABS(L232/$V$6)</f>
        <v>3.0200418154150858E-2</v>
      </c>
      <c r="N232" s="11">
        <f>L232*SIN(RADIANS(K232))</f>
        <v>-6.3774792607090545</v>
      </c>
      <c r="O232" s="11">
        <f>L232*COS(RADIANS(K232))</f>
        <v>-8.1628012142294555</v>
      </c>
      <c r="P232" s="1">
        <v>3.3496859545778688</v>
      </c>
      <c r="Q232" s="1">
        <v>0.92878001133932286</v>
      </c>
      <c r="R232" s="1">
        <f>P232/Q232</f>
        <v>3.6065439756262001</v>
      </c>
    </row>
    <row r="233" spans="1:18" x14ac:dyDescent="0.35">
      <c r="A233" s="14">
        <v>2537</v>
      </c>
      <c r="B233" s="6">
        <v>0.5</v>
      </c>
      <c r="C233" s="6">
        <v>2000000</v>
      </c>
      <c r="D233" s="6">
        <v>0</v>
      </c>
      <c r="E233" s="6">
        <v>0</v>
      </c>
      <c r="F233" s="6">
        <v>0.15</v>
      </c>
      <c r="G233" s="11">
        <f>(C233*$V$4)/($V$5*$V$3)</f>
        <v>29.387755102040813</v>
      </c>
      <c r="H233" s="11">
        <f>G233*COS(RADIANS(D233))</f>
        <v>29.387755102040813</v>
      </c>
      <c r="I233" s="11">
        <f>G233*SIN(RADIANS(D233))</f>
        <v>0</v>
      </c>
      <c r="J233" s="12">
        <v>0.23230000000000001</v>
      </c>
      <c r="K233" s="11">
        <v>0</v>
      </c>
      <c r="L233" s="11">
        <f>-(F233*G233*$V$3)/J233</f>
        <v>-18.976165584615249</v>
      </c>
      <c r="M233" s="11">
        <f>ABS(L233/$V$6)</f>
        <v>5.532409791433017E-2</v>
      </c>
      <c r="N233" s="11">
        <f>L233*SIN(RADIANS(K233))</f>
        <v>0</v>
      </c>
      <c r="O233" s="11">
        <f>L233*COS(RADIANS(K233))</f>
        <v>-18.976165584615249</v>
      </c>
      <c r="P233" s="1">
        <v>4.7989784790348029</v>
      </c>
      <c r="Q233" s="1">
        <v>-0.1131513298529309</v>
      </c>
      <c r="R233" s="1">
        <f>P233/Q233</f>
        <v>-42.412037801697096</v>
      </c>
    </row>
    <row r="234" spans="1:18" x14ac:dyDescent="0.35">
      <c r="A234" s="14">
        <v>2538</v>
      </c>
      <c r="B234" s="6">
        <v>1</v>
      </c>
      <c r="C234" s="6">
        <v>6000000</v>
      </c>
      <c r="D234" s="6">
        <v>5</v>
      </c>
      <c r="E234" s="6">
        <v>0</v>
      </c>
      <c r="F234" s="6">
        <v>3.5000000000000003E-2</v>
      </c>
      <c r="G234" s="11">
        <f>(C234*$V$4)/($V$5*$V$3)</f>
        <v>88.16326530612244</v>
      </c>
      <c r="H234" s="11">
        <f>G234*COS(RADIANS(D234))</f>
        <v>87.827777464415107</v>
      </c>
      <c r="I234" s="11">
        <f>G234*SIN(RADIANS(D234))</f>
        <v>7.6839348708139434</v>
      </c>
      <c r="J234" s="11">
        <v>0.33379999999999999</v>
      </c>
      <c r="K234" s="12">
        <v>0</v>
      </c>
      <c r="L234" s="11">
        <f>-(F234*G234*$V$3)/J234</f>
        <v>-9.2442009757767707</v>
      </c>
      <c r="M234" s="11">
        <f>ABS(L234/$V$6)</f>
        <v>2.6951023252993502E-2</v>
      </c>
      <c r="N234" s="11">
        <f>L234*SIN(RADIANS(K234))</f>
        <v>0</v>
      </c>
      <c r="O234" s="11">
        <f>L234*COS(RADIANS(K234))</f>
        <v>-9.2442009757767707</v>
      </c>
      <c r="P234" s="1">
        <v>3.0099992411481193</v>
      </c>
      <c r="Q234" s="1">
        <v>1.4081712639459791</v>
      </c>
      <c r="R234" s="1">
        <f>P234/Q234</f>
        <v>2.1375235514418156</v>
      </c>
    </row>
    <row r="235" spans="1:18" x14ac:dyDescent="0.35">
      <c r="A235" s="14">
        <v>2539</v>
      </c>
      <c r="B235" s="6">
        <v>0.1</v>
      </c>
      <c r="C235" s="6">
        <v>4000000</v>
      </c>
      <c r="D235" s="6">
        <v>0</v>
      </c>
      <c r="E235" s="6">
        <v>0</v>
      </c>
      <c r="F235" s="6">
        <v>0.05</v>
      </c>
      <c r="G235" s="11">
        <f>(C235*$V$4)/($V$5*$V$3)</f>
        <v>58.775510204081627</v>
      </c>
      <c r="H235" s="11">
        <f>G235*COS(RADIANS(D235))</f>
        <v>58.775510204081627</v>
      </c>
      <c r="I235" s="11">
        <f>G235*SIN(RADIANS(D235))</f>
        <v>0</v>
      </c>
      <c r="J235" s="11">
        <v>0.16569999999999999</v>
      </c>
      <c r="K235" s="12">
        <v>0</v>
      </c>
      <c r="L235" s="11">
        <f>-(F235*G235*$V$3)/J235</f>
        <v>-17.735519071841168</v>
      </c>
      <c r="M235" s="11">
        <f>ABS(L235/$V$6)</f>
        <v>5.1707052687583577E-2</v>
      </c>
      <c r="N235" s="11">
        <f>L235*SIN(RADIANS(K235))</f>
        <v>0</v>
      </c>
      <c r="O235" s="11">
        <f>L235*COS(RADIANS(K235))</f>
        <v>-17.735519071841168</v>
      </c>
      <c r="P235" s="1">
        <v>1.2211172356416244</v>
      </c>
      <c r="Q235" s="1">
        <v>0.21409755071854153</v>
      </c>
      <c r="R235" s="1">
        <f>P235/Q235</f>
        <v>5.7035553725083874</v>
      </c>
    </row>
    <row r="236" spans="1:18" x14ac:dyDescent="0.35">
      <c r="A236" s="14">
        <v>2540</v>
      </c>
      <c r="B236" s="6">
        <v>0.1</v>
      </c>
      <c r="C236" s="6">
        <v>6000000</v>
      </c>
      <c r="D236" s="6">
        <v>0</v>
      </c>
      <c r="E236" s="6">
        <v>0.375</v>
      </c>
      <c r="F236" s="6">
        <v>0</v>
      </c>
      <c r="G236" s="11">
        <f>(C236*$V$4)/($V$5*$V$3)</f>
        <v>88.16326530612244</v>
      </c>
      <c r="H236" s="11">
        <f>G236*COS(RADIANS(D236))</f>
        <v>88.16326530612244</v>
      </c>
      <c r="I236" s="11">
        <f>G236*SIN(RADIANS(D236))</f>
        <v>0</v>
      </c>
      <c r="J236" s="12">
        <v>0.16789999999999999</v>
      </c>
      <c r="K236" s="11">
        <v>85</v>
      </c>
      <c r="L236" s="11">
        <f>-(F236*G236*$V$3)/J236</f>
        <v>0</v>
      </c>
      <c r="M236" s="11">
        <f>ABS(L236/$V$6)</f>
        <v>0</v>
      </c>
      <c r="N236" s="11">
        <f>L236*SIN(RADIANS(K236))</f>
        <v>0</v>
      </c>
      <c r="O236" s="11">
        <f>L236*COS(RADIANS(K236))</f>
        <v>0</v>
      </c>
      <c r="P236" s="1">
        <v>1.568642146090157</v>
      </c>
      <c r="Q236" s="1">
        <v>0.22992186094844169</v>
      </c>
      <c r="R236" s="1">
        <f>P236/Q236</f>
        <v>6.822501086323034</v>
      </c>
    </row>
    <row r="237" spans="1:18" x14ac:dyDescent="0.35">
      <c r="A237" s="14">
        <v>2880</v>
      </c>
      <c r="B237" s="6">
        <v>0.1</v>
      </c>
      <c r="C237" s="6">
        <v>4000000</v>
      </c>
      <c r="D237" s="6">
        <v>10</v>
      </c>
      <c r="E237" s="6">
        <v>0.125</v>
      </c>
      <c r="F237" s="6">
        <v>0.15</v>
      </c>
      <c r="G237" s="11">
        <f>(C237*$V$4)/($V$5*$V$3)</f>
        <v>58.775510204081627</v>
      </c>
      <c r="H237" s="11">
        <f>G237*COS(RADIANS(D237))</f>
        <v>57.882578136227728</v>
      </c>
      <c r="I237" s="11">
        <f>G237*SIN(RADIANS(D237))</f>
        <v>10.206260238382843</v>
      </c>
      <c r="J237" s="12">
        <v>0.1658</v>
      </c>
      <c r="K237" s="11">
        <v>69</v>
      </c>
      <c r="L237" s="11">
        <f>-(F237*G237*$V$3)/J237</f>
        <v>-53.174466409000267</v>
      </c>
      <c r="M237" s="11">
        <f>ABS(L237/$V$6)</f>
        <v>0.1550275988600591</v>
      </c>
      <c r="N237" s="11">
        <f>L237*SIN(RADIANS(K237))</f>
        <v>-49.642641028875595</v>
      </c>
      <c r="O237" s="11">
        <f>L237*COS(RADIANS(K237))</f>
        <v>-19.056024495158876</v>
      </c>
      <c r="P237" s="1">
        <v>1.7566391947825681</v>
      </c>
      <c r="Q237" s="1">
        <v>0.47597078953745803</v>
      </c>
      <c r="R237" s="1">
        <f>P237/Q237</f>
        <v>3.6906449584640399</v>
      </c>
    </row>
    <row r="238" spans="1:18" x14ac:dyDescent="0.35">
      <c r="A238" s="14">
        <v>2542</v>
      </c>
      <c r="B238" s="6">
        <v>1</v>
      </c>
      <c r="C238" s="6">
        <v>4000000</v>
      </c>
      <c r="D238" s="6">
        <v>0</v>
      </c>
      <c r="E238" s="6">
        <v>0.25</v>
      </c>
      <c r="F238" s="6">
        <v>3.5000000000000003E-2</v>
      </c>
      <c r="G238" s="11">
        <f>(C238*$V$4)/($V$5*$V$3)</f>
        <v>58.775510204081627</v>
      </c>
      <c r="H238" s="11">
        <f>G238*COS(RADIANS(D238))</f>
        <v>58.775510204081627</v>
      </c>
      <c r="I238" s="11">
        <f>G238*SIN(RADIANS(D238))</f>
        <v>0</v>
      </c>
      <c r="J238" s="13">
        <v>0.33379999999999999</v>
      </c>
      <c r="K238" s="12">
        <v>30</v>
      </c>
      <c r="L238" s="11">
        <f>-(F238*G238*$V$3)/J238</f>
        <v>-6.1628006505178465</v>
      </c>
      <c r="M238" s="11">
        <f>ABS(L238/$V$6)</f>
        <v>1.7967348835328998E-2</v>
      </c>
      <c r="N238" s="11">
        <f>L238*SIN(RADIANS(K238))</f>
        <v>-3.0814003252589228</v>
      </c>
      <c r="O238" s="11">
        <f>L238*COS(RADIANS(K238))</f>
        <v>-5.3371419218077198</v>
      </c>
      <c r="P238" s="1">
        <v>3.4993283695710904</v>
      </c>
      <c r="Q238" s="1">
        <v>0.3894227134140294</v>
      </c>
      <c r="R238" s="1">
        <f>P238/Q238</f>
        <v>8.985938028351848</v>
      </c>
    </row>
    <row r="239" spans="1:18" x14ac:dyDescent="0.35">
      <c r="A239" s="14">
        <v>2323</v>
      </c>
      <c r="B239" s="6">
        <v>0.1</v>
      </c>
      <c r="C239" s="6">
        <v>6000000</v>
      </c>
      <c r="D239" s="6">
        <v>30</v>
      </c>
      <c r="E239" s="6">
        <v>0.25</v>
      </c>
      <c r="F239" s="6">
        <v>0.1</v>
      </c>
      <c r="G239" s="11">
        <f>(C239*$V$4)/($V$5*$V$3)</f>
        <v>88.16326530612244</v>
      </c>
      <c r="H239" s="11">
        <f>G239*COS(RADIANS(D239))</f>
        <v>76.351627435689281</v>
      </c>
      <c r="I239" s="11">
        <f>G239*SIN(RADIANS(D239))</f>
        <v>44.081632653061213</v>
      </c>
      <c r="J239" s="20">
        <v>0.1661</v>
      </c>
      <c r="K239" s="19">
        <v>80</v>
      </c>
      <c r="L239" s="11">
        <f>-(F239*G239*$V$3)/J239</f>
        <v>-53.078425831500567</v>
      </c>
      <c r="M239" s="11">
        <f>ABS(L239/$V$6)</f>
        <v>0.1547475971763865</v>
      </c>
      <c r="N239" s="11">
        <f>L239*SIN(RADIANS(K239))</f>
        <v>-52.272045276545214</v>
      </c>
      <c r="O239" s="11">
        <f>L239*COS(RADIANS(K239))</f>
        <v>-9.2169719190693993</v>
      </c>
      <c r="P239" s="1">
        <v>1.4499434750670435</v>
      </c>
      <c r="Q239" s="1">
        <v>1.0845653456991002</v>
      </c>
      <c r="R239" s="1">
        <f>P239/Q239</f>
        <v>1.3368889950401504</v>
      </c>
    </row>
    <row r="240" spans="1:18" x14ac:dyDescent="0.35">
      <c r="A240" s="14">
        <v>2544</v>
      </c>
      <c r="B240" s="6">
        <v>1</v>
      </c>
      <c r="C240" s="6">
        <v>4000000</v>
      </c>
      <c r="D240" s="6">
        <v>30</v>
      </c>
      <c r="E240" s="6">
        <v>0.375</v>
      </c>
      <c r="F240" s="6">
        <v>2.5000000000000001E-2</v>
      </c>
      <c r="G240" s="11">
        <f>(C240*$V$4)/($V$5*$V$3)</f>
        <v>58.775510204081627</v>
      </c>
      <c r="H240" s="11">
        <f>G240*COS(RADIANS(D240))</f>
        <v>50.901084957126187</v>
      </c>
      <c r="I240" s="11">
        <f>G240*SIN(RADIANS(D240))</f>
        <v>29.38775510204081</v>
      </c>
      <c r="J240" s="12">
        <v>0.33379999999999999</v>
      </c>
      <c r="K240" s="11">
        <v>49</v>
      </c>
      <c r="L240" s="11">
        <f>-(F240*G240*$V$3)/J240</f>
        <v>-4.4020004646556048</v>
      </c>
      <c r="M240" s="11">
        <f>ABS(L240/$V$6)</f>
        <v>1.283382059666357E-2</v>
      </c>
      <c r="N240" s="11">
        <f>L240*SIN(RADIANS(K240))</f>
        <v>-3.3222319228206789</v>
      </c>
      <c r="O240" s="11">
        <f>L240*COS(RADIANS(K240))</f>
        <v>-2.8879721504577178</v>
      </c>
      <c r="P240" s="1">
        <v>5.4787617697854403</v>
      </c>
      <c r="Q240" s="1">
        <v>1.4908619880152481</v>
      </c>
      <c r="R240" s="1">
        <f>P240/Q240</f>
        <v>3.674895338286273</v>
      </c>
    </row>
    <row r="241" spans="1:18" x14ac:dyDescent="0.35">
      <c r="A241" s="14">
        <v>2645</v>
      </c>
      <c r="B241" s="6">
        <v>0.1</v>
      </c>
      <c r="C241" s="6">
        <v>4000000</v>
      </c>
      <c r="D241" s="6">
        <v>20</v>
      </c>
      <c r="E241" s="6">
        <v>0.25</v>
      </c>
      <c r="F241" s="6">
        <v>0.15</v>
      </c>
      <c r="G241" s="11">
        <f>(C241*$V$4)/($V$5*$V$3)</f>
        <v>58.775510204081627</v>
      </c>
      <c r="H241" s="11">
        <f>G241*COS(RADIANS(D241))</f>
        <v>55.230913221702366</v>
      </c>
      <c r="I241" s="11">
        <f>G241*SIN(RADIANS(D241))</f>
        <v>20.102408424039304</v>
      </c>
      <c r="J241" s="20">
        <v>0.1661</v>
      </c>
      <c r="K241" s="19">
        <v>80</v>
      </c>
      <c r="L241" s="11">
        <f>-(F241*G241*$V$3)/J241</f>
        <v>-53.078425831500567</v>
      </c>
      <c r="M241" s="11">
        <f>ABS(L241/$V$6)</f>
        <v>0.1547475971763865</v>
      </c>
      <c r="N241" s="11">
        <f>L241*SIN(RADIANS(K241))</f>
        <v>-52.272045276545214</v>
      </c>
      <c r="O241" s="11">
        <f>L241*COS(RADIANS(K241))</f>
        <v>-9.2169719190693993</v>
      </c>
      <c r="P241" s="1">
        <v>2.0397651307744131</v>
      </c>
      <c r="Q241" s="1">
        <v>0.87783772102829638</v>
      </c>
      <c r="R241" s="1">
        <f>P241/Q241</f>
        <v>2.3236243805803181</v>
      </c>
    </row>
    <row r="242" spans="1:18" x14ac:dyDescent="0.35">
      <c r="A242" s="14">
        <v>2691</v>
      </c>
      <c r="B242" s="6">
        <v>0.1</v>
      </c>
      <c r="C242" s="6">
        <v>4000000</v>
      </c>
      <c r="D242" s="6">
        <v>10</v>
      </c>
      <c r="E242" s="6">
        <v>0.375</v>
      </c>
      <c r="F242" s="6">
        <v>0.15</v>
      </c>
      <c r="G242" s="11">
        <f>(C242*$V$4)/($V$5*$V$3)</f>
        <v>58.775510204081627</v>
      </c>
      <c r="H242" s="11">
        <f>G242*COS(RADIANS(D242))</f>
        <v>57.882578136227728</v>
      </c>
      <c r="I242" s="11">
        <f>G242*SIN(RADIANS(D242))</f>
        <v>10.206260238382843</v>
      </c>
      <c r="J242" s="12">
        <v>0.16789999999999999</v>
      </c>
      <c r="K242" s="20">
        <v>85</v>
      </c>
      <c r="L242" s="11">
        <f>-(F242*G242*$V$3)/J242</f>
        <v>-52.50938969989425</v>
      </c>
      <c r="M242" s="11">
        <f>ABS(L242/$V$6)</f>
        <v>0.15308859970814651</v>
      </c>
      <c r="N242" s="11">
        <f>L242*SIN(RADIANS(K242))</f>
        <v>-52.309575619067964</v>
      </c>
      <c r="O242" s="11">
        <f>L242*COS(RADIANS(K242))</f>
        <v>-4.5764948605205129</v>
      </c>
      <c r="P242" s="1">
        <v>2.3746794942966853</v>
      </c>
      <c r="Q242" s="1">
        <v>0.53351667625413601</v>
      </c>
      <c r="R242" s="1">
        <f>P242/Q242</f>
        <v>4.4509939426251925</v>
      </c>
    </row>
    <row r="243" spans="1:18" x14ac:dyDescent="0.35">
      <c r="A243" s="14">
        <v>2547</v>
      </c>
      <c r="B243" s="6">
        <v>0.5</v>
      </c>
      <c r="C243" s="6">
        <v>4000000</v>
      </c>
      <c r="D243" s="6">
        <v>20</v>
      </c>
      <c r="E243" s="6">
        <v>0.375</v>
      </c>
      <c r="F243" s="6">
        <v>1.4999999999999999E-2</v>
      </c>
      <c r="G243" s="11">
        <f>(C243*$V$4)/($V$5*$V$3)</f>
        <v>58.775510204081627</v>
      </c>
      <c r="H243" s="11">
        <f>G243*COS(RADIANS(D243))</f>
        <v>55.230913221702366</v>
      </c>
      <c r="I243" s="11">
        <f>G243*SIN(RADIANS(D243))</f>
        <v>20.102408424039304</v>
      </c>
      <c r="J243" s="12">
        <v>0.24809999999999999</v>
      </c>
      <c r="K243" s="11">
        <v>67</v>
      </c>
      <c r="L243" s="11">
        <f>-(F243*G243*$V$3)/J243</f>
        <v>-3.5535374972237985</v>
      </c>
      <c r="M243" s="11">
        <f>ABS(L243/$V$6)</f>
        <v>1.0360167630390084E-2</v>
      </c>
      <c r="N243" s="11">
        <f>L243*SIN(RADIANS(K243))</f>
        <v>-3.2710485131197444</v>
      </c>
      <c r="O243" s="11">
        <f>L243*COS(RADIANS(K243))</f>
        <v>-1.3884777164192041</v>
      </c>
      <c r="P243" s="1">
        <v>3.3975075076519694</v>
      </c>
      <c r="Q243" s="1">
        <v>0.68463293780320578</v>
      </c>
      <c r="R243" s="1">
        <f>P243/Q243</f>
        <v>4.9625241790931263</v>
      </c>
    </row>
    <row r="244" spans="1:18" x14ac:dyDescent="0.35">
      <c r="A244" s="14">
        <v>2548</v>
      </c>
      <c r="B244" s="6">
        <v>0.1</v>
      </c>
      <c r="C244" s="6">
        <v>4000000</v>
      </c>
      <c r="D244" s="6">
        <v>30</v>
      </c>
      <c r="E244" s="6">
        <v>0</v>
      </c>
      <c r="F244" s="6">
        <v>0</v>
      </c>
      <c r="G244" s="11">
        <f>(C244*$V$4)/($V$5*$V$3)</f>
        <v>58.775510204081627</v>
      </c>
      <c r="H244" s="11">
        <f>G244*COS(RADIANS(D244))</f>
        <v>50.901084957126187</v>
      </c>
      <c r="I244" s="11">
        <f>G244*SIN(RADIANS(D244))</f>
        <v>29.38775510204081</v>
      </c>
      <c r="J244" s="11">
        <v>0.16569999999999999</v>
      </c>
      <c r="K244" s="12">
        <v>0</v>
      </c>
      <c r="L244" s="11">
        <f>-(F244*G244*$V$3)/J244</f>
        <v>0</v>
      </c>
      <c r="M244" s="11">
        <f>ABS(L244/$V$6)</f>
        <v>0</v>
      </c>
      <c r="N244" s="11">
        <f>L244*SIN(RADIANS(K244))</f>
        <v>0</v>
      </c>
      <c r="O244" s="11">
        <f>L244*COS(RADIANS(K244))</f>
        <v>0</v>
      </c>
      <c r="P244" s="1">
        <v>1.0235195204059568</v>
      </c>
      <c r="Q244" s="1">
        <v>0.87313842606169856</v>
      </c>
      <c r="R244" s="1">
        <f>P244/Q244</f>
        <v>1.1722305305271628</v>
      </c>
    </row>
    <row r="245" spans="1:18" x14ac:dyDescent="0.35">
      <c r="A245" s="14">
        <v>2549</v>
      </c>
      <c r="B245" s="6">
        <v>0.25</v>
      </c>
      <c r="C245" s="6">
        <v>2000000</v>
      </c>
      <c r="D245" s="6">
        <v>0</v>
      </c>
      <c r="E245" s="6">
        <v>0</v>
      </c>
      <c r="F245" s="6">
        <v>3.5000000000000003E-2</v>
      </c>
      <c r="G245" s="11">
        <f>(C245*$V$4)/($V$5*$V$3)</f>
        <v>29.387755102040813</v>
      </c>
      <c r="H245" s="11">
        <f>G245*COS(RADIANS(D245))</f>
        <v>29.387755102040813</v>
      </c>
      <c r="I245" s="11">
        <f>G245*SIN(RADIANS(D245))</f>
        <v>0</v>
      </c>
      <c r="J245" s="12">
        <v>0.18990000000000001</v>
      </c>
      <c r="K245" s="11">
        <v>0</v>
      </c>
      <c r="L245" s="11">
        <f>-(F245*G245*$V$3)/J245</f>
        <v>-5.4163845633039935</v>
      </c>
      <c r="M245" s="11">
        <f>ABS(L245/$V$6)</f>
        <v>1.5791208639370245E-2</v>
      </c>
      <c r="N245" s="11">
        <f>L245*SIN(RADIANS(K245))</f>
        <v>0</v>
      </c>
      <c r="O245" s="11">
        <f>L245*COS(RADIANS(K245))</f>
        <v>-5.4163845633039935</v>
      </c>
      <c r="P245" s="1">
        <v>2.0452731911495419</v>
      </c>
      <c r="Q245" s="1">
        <v>0.19051835401802628</v>
      </c>
      <c r="R245" s="1">
        <f>P245/Q245</f>
        <v>10.735307900865154</v>
      </c>
    </row>
    <row r="246" spans="1:18" x14ac:dyDescent="0.35">
      <c r="A246" s="14">
        <v>2550</v>
      </c>
      <c r="B246" s="6">
        <v>0.25</v>
      </c>
      <c r="C246" s="6">
        <v>2000000</v>
      </c>
      <c r="D246" s="6">
        <v>20</v>
      </c>
      <c r="E246" s="6">
        <v>0.125</v>
      </c>
      <c r="F246" s="6">
        <v>0.1</v>
      </c>
      <c r="G246" s="11">
        <f>(C246*$V$4)/($V$5*$V$3)</f>
        <v>29.387755102040813</v>
      </c>
      <c r="H246" s="11">
        <f>G246*COS(RADIANS(D246))</f>
        <v>27.615456610851183</v>
      </c>
      <c r="I246" s="11">
        <f>G246*SIN(RADIANS(D246))</f>
        <v>10.051204212019652</v>
      </c>
      <c r="J246" s="11">
        <v>0.19020000000000001</v>
      </c>
      <c r="K246" s="11">
        <v>46</v>
      </c>
      <c r="L246" s="11">
        <f>-(F246*G246*$V$3)/J246</f>
        <v>-15.450975342818513</v>
      </c>
      <c r="M246" s="11">
        <f>ABS(L246/$V$6)</f>
        <v>4.5046575343494204E-2</v>
      </c>
      <c r="N246" s="11">
        <f>L246*SIN(RADIANS(K246))</f>
        <v>-11.114501518140489</v>
      </c>
      <c r="O246" s="11">
        <f>L246*COS(RADIANS(K246))</f>
        <v>-10.733149353644455</v>
      </c>
      <c r="P246" s="1">
        <v>2.5910595106581655</v>
      </c>
      <c r="Q246" s="1">
        <v>0.68366218206805429</v>
      </c>
      <c r="R246" s="1">
        <f>P246/Q246</f>
        <v>3.7899705126591918</v>
      </c>
    </row>
    <row r="247" spans="1:18" x14ac:dyDescent="0.35">
      <c r="A247" s="14">
        <v>2551</v>
      </c>
      <c r="B247" s="6">
        <v>1</v>
      </c>
      <c r="C247" s="6">
        <v>4000000</v>
      </c>
      <c r="D247" s="6">
        <v>10</v>
      </c>
      <c r="E247" s="6">
        <v>0.375</v>
      </c>
      <c r="F247" s="6">
        <v>3.5000000000000003E-2</v>
      </c>
      <c r="G247" s="11">
        <f>(C247*$V$4)/($V$5*$V$3)</f>
        <v>58.775510204081627</v>
      </c>
      <c r="H247" s="11">
        <f>G247*COS(RADIANS(D247))</f>
        <v>57.882578136227728</v>
      </c>
      <c r="I247" s="11">
        <f>G247*SIN(RADIANS(D247))</f>
        <v>10.206260238382843</v>
      </c>
      <c r="J247" s="12">
        <v>0.33379999999999999</v>
      </c>
      <c r="K247" s="11">
        <v>49</v>
      </c>
      <c r="L247" s="11">
        <f>-(F247*G247*$V$3)/J247</f>
        <v>-6.1628006505178465</v>
      </c>
      <c r="M247" s="11">
        <f>ABS(L247/$V$6)</f>
        <v>1.7967348835328998E-2</v>
      </c>
      <c r="N247" s="11">
        <f>L247*SIN(RADIANS(K247))</f>
        <v>-4.65112469194895</v>
      </c>
      <c r="O247" s="11">
        <f>L247*COS(RADIANS(K247))</f>
        <v>-4.0431610106408051</v>
      </c>
      <c r="P247" s="1">
        <v>4.804840601336398</v>
      </c>
      <c r="Q247" s="1">
        <v>0.15046800688091169</v>
      </c>
      <c r="R247" s="1">
        <f>P247/Q247</f>
        <v>31.932639375885412</v>
      </c>
    </row>
    <row r="248" spans="1:18" x14ac:dyDescent="0.35">
      <c r="A248" s="14">
        <v>2552</v>
      </c>
      <c r="B248" s="6">
        <v>0.1</v>
      </c>
      <c r="C248" s="6">
        <v>6000000</v>
      </c>
      <c r="D248" s="6">
        <v>30</v>
      </c>
      <c r="E248" s="6">
        <v>0.125</v>
      </c>
      <c r="F248" s="6">
        <v>3.5000000000000003E-2</v>
      </c>
      <c r="G248" s="11">
        <f>(C248*$V$4)/($V$5*$V$3)</f>
        <v>88.16326530612244</v>
      </c>
      <c r="H248" s="11">
        <f>G248*COS(RADIANS(D248))</f>
        <v>76.351627435689281</v>
      </c>
      <c r="I248" s="11">
        <f>G248*SIN(RADIANS(D248))</f>
        <v>44.081632653061213</v>
      </c>
      <c r="J248" s="12">
        <v>0.1658</v>
      </c>
      <c r="K248" s="11">
        <v>69</v>
      </c>
      <c r="L248" s="11">
        <f>-(F248*G248*$V$3)/J248</f>
        <v>-18.611063243150095</v>
      </c>
      <c r="M248" s="11">
        <f>ABS(L248/$V$6)</f>
        <v>5.4259659601020686E-2</v>
      </c>
      <c r="N248" s="11">
        <f>L248*SIN(RADIANS(K248))</f>
        <v>-17.374924360106462</v>
      </c>
      <c r="O248" s="11">
        <f>L248*COS(RADIANS(K248))</f>
        <v>-6.6696085733056076</v>
      </c>
      <c r="P248" s="1">
        <v>1.0878688120379594</v>
      </c>
      <c r="Q248" s="1">
        <v>0.89799640927854107</v>
      </c>
      <c r="R248" s="1">
        <f>P248/Q248</f>
        <v>1.2114400467502577</v>
      </c>
    </row>
    <row r="249" spans="1:18" x14ac:dyDescent="0.35">
      <c r="A249" s="14">
        <v>2553</v>
      </c>
      <c r="B249" s="6">
        <v>0.5</v>
      </c>
      <c r="C249" s="6">
        <v>4000000</v>
      </c>
      <c r="D249" s="6">
        <v>15</v>
      </c>
      <c r="E249" s="6">
        <v>0.125</v>
      </c>
      <c r="F249" s="6">
        <v>0.1</v>
      </c>
      <c r="G249" s="11">
        <f>(C249*$V$4)/($V$5*$V$3)</f>
        <v>58.775510204081627</v>
      </c>
      <c r="H249" s="11">
        <f>G249*COS(RADIANS(D249))</f>
        <v>56.772783259439109</v>
      </c>
      <c r="I249" s="11">
        <f>G249*SIN(RADIANS(D249))</f>
        <v>15.212221426433871</v>
      </c>
      <c r="J249" s="12">
        <v>0.23300000000000001</v>
      </c>
      <c r="K249" s="11">
        <v>27</v>
      </c>
      <c r="L249" s="11">
        <f>-(F249*G249*$V$3)/J249</f>
        <v>-25.225540860120869</v>
      </c>
      <c r="M249" s="11">
        <f>ABS(L249/$V$6)</f>
        <v>7.3543850904142477E-2</v>
      </c>
      <c r="N249" s="11">
        <f>L249*SIN(RADIANS(K249))</f>
        <v>-11.452155901286629</v>
      </c>
      <c r="O249" s="11">
        <f>L249*COS(RADIANS(K249))</f>
        <v>-22.476121482547949</v>
      </c>
      <c r="P249" s="1">
        <v>3.8246299184870862</v>
      </c>
      <c r="Q249" s="1">
        <v>0.62800398670901891</v>
      </c>
      <c r="R249" s="1">
        <f>P249/Q249</f>
        <v>6.0901363676520743</v>
      </c>
    </row>
    <row r="250" spans="1:18" x14ac:dyDescent="0.35">
      <c r="A250" s="14">
        <v>2554</v>
      </c>
      <c r="B250" s="6">
        <v>0.5</v>
      </c>
      <c r="C250" s="6">
        <v>6000000</v>
      </c>
      <c r="D250" s="6">
        <v>0</v>
      </c>
      <c r="E250" s="6">
        <v>0.125</v>
      </c>
      <c r="F250" s="6">
        <v>0</v>
      </c>
      <c r="G250" s="11">
        <f>(C250*$V$4)/($V$5*$V$3)</f>
        <v>88.16326530612244</v>
      </c>
      <c r="H250" s="11">
        <f>G250*COS(RADIANS(D250))</f>
        <v>88.16326530612244</v>
      </c>
      <c r="I250" s="11">
        <f>G250*SIN(RADIANS(D250))</f>
        <v>0</v>
      </c>
      <c r="J250" s="12">
        <v>0.23300000000000001</v>
      </c>
      <c r="K250" s="11">
        <v>27</v>
      </c>
      <c r="L250" s="11">
        <f>-(F250*G250*$V$3)/J250</f>
        <v>0</v>
      </c>
      <c r="M250" s="11">
        <f>ABS(L250/$V$6)</f>
        <v>0</v>
      </c>
      <c r="N250" s="11">
        <f>L250*SIN(RADIANS(K250))</f>
        <v>0</v>
      </c>
      <c r="O250" s="11">
        <f>L250*COS(RADIANS(K250))</f>
        <v>0</v>
      </c>
      <c r="P250" s="1">
        <v>4.104033509790578</v>
      </c>
      <c r="Q250" s="1">
        <v>0.41401836895889416</v>
      </c>
      <c r="R250" s="1">
        <f>P250/Q250</f>
        <v>9.9126845992624233</v>
      </c>
    </row>
    <row r="251" spans="1:18" x14ac:dyDescent="0.35">
      <c r="A251" s="14">
        <v>2555</v>
      </c>
      <c r="B251" s="6">
        <v>0.25</v>
      </c>
      <c r="C251" s="6">
        <v>6000000</v>
      </c>
      <c r="D251" s="6">
        <v>5</v>
      </c>
      <c r="E251" s="6">
        <v>0.25</v>
      </c>
      <c r="F251" s="6">
        <v>2.5000000000000001E-2</v>
      </c>
      <c r="G251" s="11">
        <f>(C251*$V$4)/($V$5*$V$3)</f>
        <v>88.16326530612244</v>
      </c>
      <c r="H251" s="11">
        <f>G251*COS(RADIANS(D251))</f>
        <v>87.827777464415107</v>
      </c>
      <c r="I251" s="11">
        <f>G251*SIN(RADIANS(D251))</f>
        <v>7.6839348708139434</v>
      </c>
      <c r="J251" s="12">
        <v>0.1913</v>
      </c>
      <c r="K251" s="11">
        <v>67</v>
      </c>
      <c r="L251" s="11">
        <f>-(F251*G251*$V$3)/J251</f>
        <v>-11.521597661542399</v>
      </c>
      <c r="M251" s="11">
        <f>ABS(L251/$V$6)</f>
        <v>3.3590663736275214E-2</v>
      </c>
      <c r="N251" s="11">
        <f>L251*SIN(RADIANS(K251))</f>
        <v>-10.605686566976066</v>
      </c>
      <c r="O251" s="11">
        <f>L251*COS(RADIANS(K251))</f>
        <v>-4.501846856293839</v>
      </c>
      <c r="P251" s="1">
        <v>2.0659034860162544</v>
      </c>
      <c r="Q251" s="1">
        <v>0.27027517478962687</v>
      </c>
      <c r="R251" s="1">
        <f>P251/Q251</f>
        <v>7.6437041900880622</v>
      </c>
    </row>
    <row r="252" spans="1:18" x14ac:dyDescent="0.35">
      <c r="A252" s="14">
        <v>2773</v>
      </c>
      <c r="B252" s="6">
        <v>0.1</v>
      </c>
      <c r="C252" s="6">
        <v>6000000</v>
      </c>
      <c r="D252" s="6">
        <v>20</v>
      </c>
      <c r="E252" s="6">
        <v>0.375</v>
      </c>
      <c r="F252" s="6">
        <v>0.1</v>
      </c>
      <c r="G252" s="11">
        <f>(C252*$V$4)/($V$5*$V$3)</f>
        <v>88.16326530612244</v>
      </c>
      <c r="H252" s="11">
        <f>G252*COS(RADIANS(D252))</f>
        <v>82.846369832553549</v>
      </c>
      <c r="I252" s="11">
        <f>G252*SIN(RADIANS(D252))</f>
        <v>30.153612636058952</v>
      </c>
      <c r="J252" s="19">
        <v>0.16789999999999999</v>
      </c>
      <c r="K252" s="20">
        <v>85</v>
      </c>
      <c r="L252" s="11">
        <f>-(F252*G252*$V$3)/J252</f>
        <v>-52.50938969989425</v>
      </c>
      <c r="M252" s="11">
        <f>ABS(L252/$V$6)</f>
        <v>0.15308859970814651</v>
      </c>
      <c r="N252" s="11">
        <f>L252*SIN(RADIANS(K252))</f>
        <v>-52.309575619067964</v>
      </c>
      <c r="O252" s="11">
        <f>L252*COS(RADIANS(K252))</f>
        <v>-4.5764948605205129</v>
      </c>
      <c r="P252" s="1">
        <v>1.949094655696344</v>
      </c>
      <c r="Q252" s="1">
        <v>0.88977791687608376</v>
      </c>
      <c r="R252" s="1">
        <f>P252/Q252</f>
        <v>2.1905406042660727</v>
      </c>
    </row>
    <row r="253" spans="1:18" x14ac:dyDescent="0.35">
      <c r="A253" s="14">
        <v>2557</v>
      </c>
      <c r="B253" s="6">
        <v>0.5</v>
      </c>
      <c r="C253" s="6">
        <v>4000000</v>
      </c>
      <c r="D253" s="6">
        <v>0</v>
      </c>
      <c r="E253" s="6">
        <v>0.375</v>
      </c>
      <c r="F253" s="6">
        <v>0.1</v>
      </c>
      <c r="G253" s="11">
        <f>(C253*$V$4)/($V$5*$V$3)</f>
        <v>58.775510204081627</v>
      </c>
      <c r="H253" s="11">
        <f>G253*COS(RADIANS(D253))</f>
        <v>58.775510204081627</v>
      </c>
      <c r="I253" s="11">
        <f>G253*SIN(RADIANS(D253))</f>
        <v>0</v>
      </c>
      <c r="J253" s="12">
        <v>0.24809999999999999</v>
      </c>
      <c r="K253" s="11">
        <v>67</v>
      </c>
      <c r="L253" s="11">
        <f>-(F253*G253*$V$3)/J253</f>
        <v>-23.690249981491991</v>
      </c>
      <c r="M253" s="11">
        <f>ABS(L253/$V$6)</f>
        <v>6.9067784202600555E-2</v>
      </c>
      <c r="N253" s="11">
        <f>L253*SIN(RADIANS(K253))</f>
        <v>-21.806990087464964</v>
      </c>
      <c r="O253" s="11">
        <f>L253*COS(RADIANS(K253))</f>
        <v>-9.2565181094613607</v>
      </c>
      <c r="P253" s="1">
        <v>3.8616834817872574</v>
      </c>
      <c r="Q253" s="1">
        <v>-0.40870375043358431</v>
      </c>
      <c r="R253" s="1">
        <f>P253/Q253</f>
        <v>-9.4486127853989288</v>
      </c>
    </row>
    <row r="254" spans="1:18" x14ac:dyDescent="0.35">
      <c r="A254" s="14">
        <v>2558</v>
      </c>
      <c r="B254" s="6">
        <v>0.75</v>
      </c>
      <c r="C254" s="6">
        <v>2000000</v>
      </c>
      <c r="D254" s="6">
        <v>5</v>
      </c>
      <c r="E254" s="6">
        <v>0.375</v>
      </c>
      <c r="F254" s="6">
        <v>0.15</v>
      </c>
      <c r="G254" s="11">
        <f>(C254*$V$4)/($V$5*$V$3)</f>
        <v>29.387755102040813</v>
      </c>
      <c r="H254" s="11">
        <f>G254*COS(RADIANS(D254))</f>
        <v>29.275925821471702</v>
      </c>
      <c r="I254" s="11">
        <f>G254*SIN(RADIANS(D254))</f>
        <v>2.5613116236046478</v>
      </c>
      <c r="J254" s="11">
        <v>0.29299999999999998</v>
      </c>
      <c r="K254" s="12">
        <v>57</v>
      </c>
      <c r="L254" s="11">
        <f>-(F254*G254*$V$3)/J254</f>
        <v>-15.044925820157413</v>
      </c>
      <c r="M254" s="11">
        <f>ABS(L254/$V$6)</f>
        <v>4.3862757493170298E-2</v>
      </c>
      <c r="N254" s="11">
        <f>L254*SIN(RADIANS(K254))</f>
        <v>-12.617736482288192</v>
      </c>
      <c r="O254" s="11">
        <f>L254*COS(RADIANS(K254))</f>
        <v>-8.1940538805631977</v>
      </c>
      <c r="P254" s="1">
        <v>5.8533412876364803</v>
      </c>
      <c r="Q254" s="1">
        <v>-0.53786122853023699</v>
      </c>
      <c r="R254" s="1">
        <f>P254/Q254</f>
        <v>-10.882623578634508</v>
      </c>
    </row>
    <row r="255" spans="1:18" x14ac:dyDescent="0.35">
      <c r="A255" s="14">
        <v>2559</v>
      </c>
      <c r="B255" s="6">
        <v>1</v>
      </c>
      <c r="C255" s="6">
        <v>2000000</v>
      </c>
      <c r="D255" s="6">
        <v>15</v>
      </c>
      <c r="E255" s="6">
        <v>0.375</v>
      </c>
      <c r="F255" s="6">
        <v>3.5000000000000003E-2</v>
      </c>
      <c r="G255" s="11">
        <f>(C255*$V$4)/($V$5*$V$3)</f>
        <v>29.387755102040813</v>
      </c>
      <c r="H255" s="11">
        <f>G255*COS(RADIANS(D255))</f>
        <v>28.386391629719554</v>
      </c>
      <c r="I255" s="11">
        <f>G255*SIN(RADIANS(D255))</f>
        <v>7.6061107132169354</v>
      </c>
      <c r="J255" s="12">
        <v>0.33379999999999999</v>
      </c>
      <c r="K255" s="11">
        <v>49</v>
      </c>
      <c r="L255" s="11">
        <f>-(F255*G255*$V$3)/J255</f>
        <v>-3.0814003252589233</v>
      </c>
      <c r="M255" s="11">
        <f>ABS(L255/$V$6)</f>
        <v>8.983674417664499E-3</v>
      </c>
      <c r="N255" s="11">
        <f>L255*SIN(RADIANS(K255))</f>
        <v>-2.325562345974475</v>
      </c>
      <c r="O255" s="11">
        <f>L255*COS(RADIANS(K255))</f>
        <v>-2.0215805053204026</v>
      </c>
      <c r="P255" s="1">
        <v>4.9314900001068596</v>
      </c>
      <c r="Q255" s="1">
        <v>0.46107048617625634</v>
      </c>
      <c r="R255" s="1">
        <f>P255/Q255</f>
        <v>10.695739909541006</v>
      </c>
    </row>
    <row r="256" spans="1:18" x14ac:dyDescent="0.35">
      <c r="A256" s="14">
        <v>2560</v>
      </c>
      <c r="B256" s="6">
        <v>0.1</v>
      </c>
      <c r="C256" s="6">
        <v>4000000</v>
      </c>
      <c r="D256" s="6">
        <v>30</v>
      </c>
      <c r="E256" s="6">
        <v>0</v>
      </c>
      <c r="F256" s="6">
        <v>2.5000000000000001E-2</v>
      </c>
      <c r="G256" s="11">
        <f>(C256*$V$4)/($V$5*$V$3)</f>
        <v>58.775510204081627</v>
      </c>
      <c r="H256" s="11">
        <f>G256*COS(RADIANS(D256))</f>
        <v>50.901084957126187</v>
      </c>
      <c r="I256" s="11">
        <f>G256*SIN(RADIANS(D256))</f>
        <v>29.38775510204081</v>
      </c>
      <c r="J256" s="11">
        <v>0.16569999999999999</v>
      </c>
      <c r="K256" s="12">
        <v>0</v>
      </c>
      <c r="L256" s="11">
        <f>-(F256*G256*$V$3)/J256</f>
        <v>-8.8677595359205839</v>
      </c>
      <c r="M256" s="11">
        <f>ABS(L256/$V$6)</f>
        <v>2.5853526343791788E-2</v>
      </c>
      <c r="N256" s="11">
        <f>L256*SIN(RADIANS(K256))</f>
        <v>0</v>
      </c>
      <c r="O256" s="11">
        <f>L256*COS(RADIANS(K256))</f>
        <v>-8.8677595359205839</v>
      </c>
      <c r="P256" s="1">
        <v>1.0967066318323071</v>
      </c>
      <c r="Q256" s="1">
        <v>0.85177402643217781</v>
      </c>
      <c r="R256" s="1">
        <f>P256/Q256</f>
        <v>1.2875558514340681</v>
      </c>
    </row>
    <row r="257" spans="1:18" x14ac:dyDescent="0.35">
      <c r="A257" s="14">
        <v>2561</v>
      </c>
      <c r="B257" s="6">
        <v>1</v>
      </c>
      <c r="C257" s="6">
        <v>2000000</v>
      </c>
      <c r="D257" s="6">
        <v>30</v>
      </c>
      <c r="E257" s="6">
        <v>0</v>
      </c>
      <c r="F257" s="6">
        <v>0.05</v>
      </c>
      <c r="G257" s="11">
        <f>(C257*$V$4)/($V$5*$V$3)</f>
        <v>29.387755102040813</v>
      </c>
      <c r="H257" s="11">
        <f>G257*COS(RADIANS(D257))</f>
        <v>25.450542478563094</v>
      </c>
      <c r="I257" s="11">
        <f>G257*SIN(RADIANS(D257))</f>
        <v>14.693877551020405</v>
      </c>
      <c r="J257" s="11">
        <v>0.33379999999999999</v>
      </c>
      <c r="K257" s="12">
        <v>0</v>
      </c>
      <c r="L257" s="11">
        <f>-(F257*G257*$V$3)/J257</f>
        <v>-4.4020004646556048</v>
      </c>
      <c r="M257" s="11">
        <f>ABS(L257/$V$6)</f>
        <v>1.283382059666357E-2</v>
      </c>
      <c r="N257" s="11">
        <f>L257*SIN(RADIANS(K257))</f>
        <v>0</v>
      </c>
      <c r="O257" s="11">
        <f>L257*COS(RADIANS(K257))</f>
        <v>-4.4020004646556048</v>
      </c>
      <c r="P257" s="1">
        <v>0.78687274898859361</v>
      </c>
      <c r="Q257" s="1">
        <v>1.6733571519758803</v>
      </c>
      <c r="R257" s="1">
        <f>P257/Q257</f>
        <v>0.47023598522255911</v>
      </c>
    </row>
    <row r="258" spans="1:18" x14ac:dyDescent="0.35">
      <c r="A258" s="14">
        <v>2562</v>
      </c>
      <c r="B258" s="6">
        <v>0.75</v>
      </c>
      <c r="C258" s="6">
        <v>6000000</v>
      </c>
      <c r="D258" s="6">
        <v>30</v>
      </c>
      <c r="E258" s="6">
        <v>0.125</v>
      </c>
      <c r="F258" s="6">
        <v>2.5000000000000001E-2</v>
      </c>
      <c r="G258" s="11">
        <f>(C258*$V$4)/($V$5*$V$3)</f>
        <v>88.16326530612244</v>
      </c>
      <c r="H258" s="11">
        <f>G258*COS(RADIANS(D258))</f>
        <v>76.351627435689281</v>
      </c>
      <c r="I258" s="11">
        <f>G258*SIN(RADIANS(D258))</f>
        <v>44.081632653061213</v>
      </c>
      <c r="J258" s="12">
        <v>0.2802</v>
      </c>
      <c r="K258" s="11">
        <v>19</v>
      </c>
      <c r="L258" s="11">
        <f>-(F258*G258*$V$3)/J258</f>
        <v>-7.8661014727089968</v>
      </c>
      <c r="M258" s="11">
        <f>ABS(L258/$V$6)</f>
        <v>2.2933240445215733E-2</v>
      </c>
      <c r="N258" s="11">
        <f>L258*SIN(RADIANS(K258))</f>
        <v>-2.5609521392425907</v>
      </c>
      <c r="O258" s="11">
        <f>L258*COS(RADIANS(K258))</f>
        <v>-7.4375450599954993</v>
      </c>
      <c r="P258" s="1">
        <v>3.9486736572201799</v>
      </c>
      <c r="Q258" s="1">
        <v>1.3276436401433178</v>
      </c>
      <c r="R258" s="1">
        <f>P258/Q258</f>
        <v>2.9741969439886176</v>
      </c>
    </row>
    <row r="259" spans="1:18" x14ac:dyDescent="0.35">
      <c r="A259" s="14">
        <v>2563</v>
      </c>
      <c r="B259" s="6">
        <v>0.25</v>
      </c>
      <c r="C259" s="6">
        <v>4000000</v>
      </c>
      <c r="D259" s="6">
        <v>20</v>
      </c>
      <c r="E259" s="6">
        <v>0.125</v>
      </c>
      <c r="F259" s="6">
        <v>3.5000000000000003E-2</v>
      </c>
      <c r="G259" s="11">
        <f>(C259*$V$4)/($V$5*$V$3)</f>
        <v>58.775510204081627</v>
      </c>
      <c r="H259" s="11">
        <f>G259*COS(RADIANS(D259))</f>
        <v>55.230913221702366</v>
      </c>
      <c r="I259" s="11">
        <f>G259*SIN(RADIANS(D259))</f>
        <v>20.102408424039304</v>
      </c>
      <c r="J259" s="11">
        <v>0.19020000000000001</v>
      </c>
      <c r="K259" s="11">
        <v>46</v>
      </c>
      <c r="L259" s="11">
        <f>-(F259*G259*$V$3)/J259</f>
        <v>-10.81568273997296</v>
      </c>
      <c r="M259" s="11">
        <f>ABS(L259/$V$6)</f>
        <v>3.1532602740445947E-2</v>
      </c>
      <c r="N259" s="11">
        <f>L259*SIN(RADIANS(K259))</f>
        <v>-7.7801510626983434</v>
      </c>
      <c r="O259" s="11">
        <f>L259*COS(RADIANS(K259))</f>
        <v>-7.5132045475511191</v>
      </c>
      <c r="P259" s="1">
        <v>2.2163207352753647</v>
      </c>
      <c r="Q259" s="1">
        <v>0.69065393374243556</v>
      </c>
      <c r="R259" s="1">
        <f>P259/Q259</f>
        <v>3.2090177540375722</v>
      </c>
    </row>
    <row r="260" spans="1:18" x14ac:dyDescent="0.35">
      <c r="A260" s="14">
        <v>2564</v>
      </c>
      <c r="B260" s="6">
        <v>0.25</v>
      </c>
      <c r="C260" s="6">
        <v>6000000</v>
      </c>
      <c r="D260" s="6">
        <v>0</v>
      </c>
      <c r="E260" s="6">
        <v>0.375</v>
      </c>
      <c r="F260" s="6">
        <v>2.5000000000000001E-2</v>
      </c>
      <c r="G260" s="11">
        <f>(C260*$V$4)/($V$5*$V$3)</f>
        <v>88.16326530612244</v>
      </c>
      <c r="H260" s="11">
        <f>G260*COS(RADIANS(D260))</f>
        <v>88.16326530612244</v>
      </c>
      <c r="I260" s="11">
        <f>G260*SIN(RADIANS(D260))</f>
        <v>0</v>
      </c>
      <c r="J260" s="11">
        <v>0.1976</v>
      </c>
      <c r="K260" s="12">
        <v>78</v>
      </c>
      <c r="L260" s="11">
        <f>-(F260*G260*$V$3)/J260</f>
        <v>-11.154259274560026</v>
      </c>
      <c r="M260" s="11">
        <f>ABS(L260/$V$6)</f>
        <v>3.251970633982515E-2</v>
      </c>
      <c r="N260" s="11">
        <f>L260*SIN(RADIANS(K260))</f>
        <v>-10.910511947373688</v>
      </c>
      <c r="O260" s="11">
        <f>L260*COS(RADIANS(K260))</f>
        <v>-2.3191009055934502</v>
      </c>
      <c r="P260" s="1">
        <v>2.0677276818164816</v>
      </c>
      <c r="Q260" s="1">
        <v>0.21277768873037795</v>
      </c>
      <c r="R260" s="1">
        <f>P260/Q260</f>
        <v>9.7177842947462914</v>
      </c>
    </row>
    <row r="261" spans="1:18" x14ac:dyDescent="0.35">
      <c r="A261" s="14">
        <v>2533</v>
      </c>
      <c r="B261" s="6">
        <v>0.75</v>
      </c>
      <c r="C261" s="6">
        <v>6000000</v>
      </c>
      <c r="D261" s="6">
        <v>10</v>
      </c>
      <c r="E261" s="6">
        <v>0.125</v>
      </c>
      <c r="F261" s="6">
        <v>0.15</v>
      </c>
      <c r="G261" s="11">
        <f>(C261*$V$4)/($V$5*$V$3)</f>
        <v>88.16326530612244</v>
      </c>
      <c r="H261" s="11">
        <f>G261*COS(RADIANS(D261))</f>
        <v>86.823867204341596</v>
      </c>
      <c r="I261" s="11">
        <f>G261*SIN(RADIANS(D261))</f>
        <v>15.309390357574264</v>
      </c>
      <c r="J261" s="12">
        <v>0.2802</v>
      </c>
      <c r="K261" s="11">
        <v>19</v>
      </c>
      <c r="L261" s="11">
        <f>-(F261*G261*$V$3)/J261</f>
        <v>-47.196608836253979</v>
      </c>
      <c r="M261" s="11">
        <f>ABS(L261/$V$6)</f>
        <v>0.1375994426712944</v>
      </c>
      <c r="N261" s="11">
        <f>L261*SIN(RADIANS(K261))</f>
        <v>-15.365712835455541</v>
      </c>
      <c r="O261" s="11">
        <f>L261*COS(RADIANS(K261))</f>
        <v>-44.625270359972994</v>
      </c>
      <c r="P261" s="1">
        <v>4.54510219517661</v>
      </c>
      <c r="Q261" s="1">
        <v>0.24321239914251463</v>
      </c>
      <c r="R261" s="1">
        <f>P261/Q261</f>
        <v>18.687789813352921</v>
      </c>
    </row>
    <row r="262" spans="1:18" x14ac:dyDescent="0.35">
      <c r="A262" s="14">
        <v>2566</v>
      </c>
      <c r="B262" s="6">
        <v>1</v>
      </c>
      <c r="C262" s="6">
        <v>4000000</v>
      </c>
      <c r="D262" s="6">
        <v>30</v>
      </c>
      <c r="E262" s="6">
        <v>0.375</v>
      </c>
      <c r="F262" s="6">
        <v>3.5000000000000003E-2</v>
      </c>
      <c r="G262" s="11">
        <f>(C262*$V$4)/($V$5*$V$3)</f>
        <v>58.775510204081627</v>
      </c>
      <c r="H262" s="11">
        <f>G262*COS(RADIANS(D262))</f>
        <v>50.901084957126187</v>
      </c>
      <c r="I262" s="11">
        <f>G262*SIN(RADIANS(D262))</f>
        <v>29.38775510204081</v>
      </c>
      <c r="J262" s="12">
        <v>0.33379999999999999</v>
      </c>
      <c r="K262" s="11">
        <v>49</v>
      </c>
      <c r="L262" s="11">
        <f>-(F262*G262*$V$3)/J262</f>
        <v>-6.1628006505178465</v>
      </c>
      <c r="M262" s="11">
        <f>ABS(L262/$V$6)</f>
        <v>1.7967348835328998E-2</v>
      </c>
      <c r="N262" s="11">
        <f>L262*SIN(RADIANS(K262))</f>
        <v>-4.65112469194895</v>
      </c>
      <c r="O262" s="11">
        <f>L262*COS(RADIANS(K262))</f>
        <v>-4.0431610106408051</v>
      </c>
      <c r="P262" s="1">
        <v>5.2871233103769919</v>
      </c>
      <c r="Q262" s="1">
        <v>1.4895896231120218</v>
      </c>
      <c r="R262" s="1">
        <f>P262/Q262</f>
        <v>3.5493824798075835</v>
      </c>
    </row>
    <row r="263" spans="1:18" x14ac:dyDescent="0.35">
      <c r="A263" s="14">
        <v>2567</v>
      </c>
      <c r="B263" s="6">
        <v>0.5</v>
      </c>
      <c r="C263" s="6">
        <v>2000000</v>
      </c>
      <c r="D263" s="6">
        <v>0</v>
      </c>
      <c r="E263" s="6">
        <v>0</v>
      </c>
      <c r="F263" s="6">
        <v>0.05</v>
      </c>
      <c r="G263" s="11">
        <f>(C263*$V$4)/($V$5*$V$3)</f>
        <v>29.387755102040813</v>
      </c>
      <c r="H263" s="11">
        <f>G263*COS(RADIANS(D263))</f>
        <v>29.387755102040813</v>
      </c>
      <c r="I263" s="11">
        <f>G263*SIN(RADIANS(D263))</f>
        <v>0</v>
      </c>
      <c r="J263" s="12">
        <v>0.23230000000000001</v>
      </c>
      <c r="K263" s="11">
        <v>0</v>
      </c>
      <c r="L263" s="11">
        <f>-(F263*G263*$V$3)/J263</f>
        <v>-6.3253885282050826</v>
      </c>
      <c r="M263" s="11">
        <f>ABS(L263/$V$6)</f>
        <v>1.8441365971443389E-2</v>
      </c>
      <c r="N263" s="11">
        <f>L263*SIN(RADIANS(K263))</f>
        <v>0</v>
      </c>
      <c r="O263" s="11">
        <f>L263*COS(RADIANS(K263))</f>
        <v>-6.3253885282050826</v>
      </c>
      <c r="P263" s="1">
        <v>4.3393453554035579</v>
      </c>
      <c r="Q263" s="1">
        <v>0.14994296703401092</v>
      </c>
      <c r="R263" s="1">
        <f>P263/Q263</f>
        <v>28.939972585838476</v>
      </c>
    </row>
    <row r="264" spans="1:18" x14ac:dyDescent="0.35">
      <c r="A264" s="14">
        <v>2568</v>
      </c>
      <c r="B264" s="6">
        <v>0.1</v>
      </c>
      <c r="C264" s="6">
        <v>2000000</v>
      </c>
      <c r="D264" s="6">
        <v>10</v>
      </c>
      <c r="E264" s="6">
        <v>0.375</v>
      </c>
      <c r="F264" s="6">
        <v>0.15</v>
      </c>
      <c r="G264" s="11">
        <f>(C264*$V$4)/($V$5*$V$3)</f>
        <v>29.387755102040813</v>
      </c>
      <c r="H264" s="11">
        <f>G264*COS(RADIANS(D264))</f>
        <v>28.941289068113864</v>
      </c>
      <c r="I264" s="11">
        <f>G264*SIN(RADIANS(D264))</f>
        <v>5.1031301191914213</v>
      </c>
      <c r="J264" s="12">
        <v>0.16789999999999999</v>
      </c>
      <c r="K264" s="11">
        <v>85</v>
      </c>
      <c r="L264" s="11">
        <f>-(F264*G264*$V$3)/J264</f>
        <v>-26.254694849947125</v>
      </c>
      <c r="M264" s="11">
        <f>ABS(L264/$V$6)</f>
        <v>7.6544299854073253E-2</v>
      </c>
      <c r="N264" s="11">
        <f>L264*SIN(RADIANS(K264))</f>
        <v>-26.154787809533982</v>
      </c>
      <c r="O264" s="11">
        <f>L264*COS(RADIANS(K264))</f>
        <v>-2.2882474302602565</v>
      </c>
      <c r="P264" s="1">
        <v>2.3789076810268526</v>
      </c>
      <c r="Q264" s="1">
        <v>0.53314367858571898</v>
      </c>
      <c r="R264" s="1">
        <f>P264/Q264</f>
        <v>4.4620386146890629</v>
      </c>
    </row>
    <row r="265" spans="1:18" x14ac:dyDescent="0.35">
      <c r="A265" s="14">
        <v>2569</v>
      </c>
      <c r="B265" s="6">
        <v>0.5</v>
      </c>
      <c r="C265" s="6">
        <v>6000000</v>
      </c>
      <c r="D265" s="6">
        <v>5</v>
      </c>
      <c r="E265" s="6">
        <v>0.125</v>
      </c>
      <c r="F265" s="6">
        <v>1.4999999999999999E-2</v>
      </c>
      <c r="G265" s="11">
        <f>(C265*$V$4)/($V$5*$V$3)</f>
        <v>88.16326530612244</v>
      </c>
      <c r="H265" s="11">
        <f>G265*COS(RADIANS(D265))</f>
        <v>87.827777464415107</v>
      </c>
      <c r="I265" s="11">
        <f>G265*SIN(RADIANS(D265))</f>
        <v>7.6839348708139434</v>
      </c>
      <c r="J265" s="12">
        <v>0.23300000000000001</v>
      </c>
      <c r="K265" s="11">
        <v>27</v>
      </c>
      <c r="L265" s="11">
        <f>-(F265*G265*$V$3)/J265</f>
        <v>-5.6757466935271959</v>
      </c>
      <c r="M265" s="11">
        <f>ABS(L265/$V$6)</f>
        <v>1.6547366453432057E-2</v>
      </c>
      <c r="N265" s="11">
        <f>L265*SIN(RADIANS(K265))</f>
        <v>-2.5767350777894915</v>
      </c>
      <c r="O265" s="11">
        <f>L265*COS(RADIANS(K265))</f>
        <v>-5.0571273335732885</v>
      </c>
      <c r="P265" s="1">
        <v>3.5044876059936905</v>
      </c>
      <c r="Q265" s="1">
        <v>0.4173845800760283</v>
      </c>
      <c r="R265" s="1">
        <f>P265/Q265</f>
        <v>8.3963034891114905</v>
      </c>
    </row>
    <row r="266" spans="1:18" x14ac:dyDescent="0.35">
      <c r="A266" s="14">
        <v>2570</v>
      </c>
      <c r="B266" s="6">
        <v>0.5</v>
      </c>
      <c r="C266" s="6">
        <v>2000000</v>
      </c>
      <c r="D266" s="6">
        <v>30</v>
      </c>
      <c r="E266" s="6">
        <v>0.125</v>
      </c>
      <c r="F266" s="6">
        <v>0.05</v>
      </c>
      <c r="G266" s="11">
        <f>(C266*$V$4)/($V$5*$V$3)</f>
        <v>29.387755102040813</v>
      </c>
      <c r="H266" s="11">
        <f>G266*COS(RADIANS(D266))</f>
        <v>25.450542478563094</v>
      </c>
      <c r="I266" s="11">
        <f>G266*SIN(RADIANS(D266))</f>
        <v>14.693877551020405</v>
      </c>
      <c r="J266" s="12">
        <v>0.23300000000000001</v>
      </c>
      <c r="K266" s="11">
        <v>27</v>
      </c>
      <c r="L266" s="11">
        <f>-(F266*G266*$V$3)/J266</f>
        <v>-6.3063852150302173</v>
      </c>
      <c r="M266" s="11">
        <f>ABS(L266/$V$6)</f>
        <v>1.8385962726035619E-2</v>
      </c>
      <c r="N266" s="11">
        <f>L266*SIN(RADIANS(K266))</f>
        <v>-2.8630389753216572</v>
      </c>
      <c r="O266" s="11">
        <f>L266*COS(RADIANS(K266))</f>
        <v>-5.6190303706369873</v>
      </c>
      <c r="P266" s="1">
        <v>5.0511078077576688</v>
      </c>
      <c r="Q266" s="1">
        <v>1.6806661958985019</v>
      </c>
      <c r="R266" s="1">
        <f>P266/Q266</f>
        <v>3.0054200055218541</v>
      </c>
    </row>
    <row r="267" spans="1:18" x14ac:dyDescent="0.35">
      <c r="A267" s="14">
        <v>2571</v>
      </c>
      <c r="B267" s="6">
        <v>0.25</v>
      </c>
      <c r="C267" s="6">
        <v>2000000</v>
      </c>
      <c r="D267" s="6">
        <v>20</v>
      </c>
      <c r="E267" s="6">
        <v>0.25</v>
      </c>
      <c r="F267" s="6">
        <v>0</v>
      </c>
      <c r="G267" s="11">
        <f>(C267*$V$4)/($V$5*$V$3)</f>
        <v>29.387755102040813</v>
      </c>
      <c r="H267" s="11">
        <f>G267*COS(RADIANS(D267))</f>
        <v>27.615456610851183</v>
      </c>
      <c r="I267" s="11">
        <f>G267*SIN(RADIANS(D267))</f>
        <v>10.051204212019652</v>
      </c>
      <c r="J267" s="12">
        <v>0.1913</v>
      </c>
      <c r="K267" s="11">
        <v>67</v>
      </c>
      <c r="L267" s="11">
        <f>-(F267*G267*$V$3)/J267</f>
        <v>0</v>
      </c>
      <c r="M267" s="11">
        <f>ABS(L267/$V$6)</f>
        <v>0</v>
      </c>
      <c r="N267" s="11">
        <f>L267*SIN(RADIANS(K267))</f>
        <v>0</v>
      </c>
      <c r="O267" s="11">
        <f>L267*COS(RADIANS(K267))</f>
        <v>0</v>
      </c>
      <c r="P267" s="1">
        <v>2.5747949030358956</v>
      </c>
      <c r="Q267" s="1">
        <v>0.89764592364568074</v>
      </c>
      <c r="R267" s="1">
        <f>P267/Q267</f>
        <v>2.8683858915981886</v>
      </c>
    </row>
    <row r="268" spans="1:18" x14ac:dyDescent="0.35">
      <c r="A268" s="14">
        <v>2572</v>
      </c>
      <c r="B268" s="6">
        <v>1</v>
      </c>
      <c r="C268" s="6">
        <v>4000000</v>
      </c>
      <c r="D268" s="6">
        <v>15</v>
      </c>
      <c r="E268" s="6">
        <v>0.375</v>
      </c>
      <c r="F268" s="6">
        <v>0.15</v>
      </c>
      <c r="G268" s="11">
        <f>(C268*$V$4)/($V$5*$V$3)</f>
        <v>58.775510204081627</v>
      </c>
      <c r="H268" s="11">
        <f>G268*COS(RADIANS(D268))</f>
        <v>56.772783259439109</v>
      </c>
      <c r="I268" s="11">
        <f>G268*SIN(RADIANS(D268))</f>
        <v>15.212221426433871</v>
      </c>
      <c r="J268" s="12">
        <v>0.33379999999999999</v>
      </c>
      <c r="K268" s="11">
        <v>49</v>
      </c>
      <c r="L268" s="11">
        <f>-(F268*G268*$V$3)/J268</f>
        <v>-26.412002787933627</v>
      </c>
      <c r="M268" s="11">
        <f>ABS(L268/$V$6)</f>
        <v>7.7002923579981425E-2</v>
      </c>
      <c r="N268" s="11">
        <f>L268*SIN(RADIANS(K268))</f>
        <v>-19.933391536924074</v>
      </c>
      <c r="O268" s="11">
        <f>L268*COS(RADIANS(K268))</f>
        <v>-17.327832902746305</v>
      </c>
      <c r="P268" s="1">
        <v>8.550493781223846</v>
      </c>
      <c r="Q268" s="1">
        <v>0.14092924792785411</v>
      </c>
      <c r="R268" s="1">
        <f>P268/Q268</f>
        <v>60.67224445560867</v>
      </c>
    </row>
    <row r="269" spans="1:18" x14ac:dyDescent="0.35">
      <c r="A269" s="14">
        <v>2573</v>
      </c>
      <c r="B269" s="6">
        <v>1</v>
      </c>
      <c r="C269" s="6">
        <v>6000000</v>
      </c>
      <c r="D269" s="6">
        <v>0</v>
      </c>
      <c r="E269" s="6">
        <v>0.125</v>
      </c>
      <c r="F269" s="6">
        <v>3.5000000000000003E-2</v>
      </c>
      <c r="G269" s="11">
        <f>(C269*$V$4)/($V$5*$V$3)</f>
        <v>88.16326530612244</v>
      </c>
      <c r="H269" s="11">
        <f>G269*COS(RADIANS(D269))</f>
        <v>88.16326530612244</v>
      </c>
      <c r="I269" s="11">
        <f>G269*SIN(RADIANS(D269))</f>
        <v>0</v>
      </c>
      <c r="J269" s="11">
        <v>0.33379999999999999</v>
      </c>
      <c r="K269" s="12">
        <v>14</v>
      </c>
      <c r="L269" s="11">
        <f>-(F269*G269*$V$3)/J269</f>
        <v>-9.2442009757767707</v>
      </c>
      <c r="M269" s="11">
        <f>ABS(L269/$V$6)</f>
        <v>2.6951023252993502E-2</v>
      </c>
      <c r="N269" s="11">
        <f>L269*SIN(RADIANS(K269))</f>
        <v>-2.2363746233642146</v>
      </c>
      <c r="O269" s="11">
        <f>L269*COS(RADIANS(K269))</f>
        <v>-8.9696086996325963</v>
      </c>
      <c r="P269" s="1">
        <v>4.6436647458463307</v>
      </c>
      <c r="Q269" s="1">
        <v>1.4537218089856779E-2</v>
      </c>
      <c r="R269" s="1">
        <f>P269/Q269</f>
        <v>319.43283213769826</v>
      </c>
    </row>
    <row r="270" spans="1:18" x14ac:dyDescent="0.35">
      <c r="A270" s="14">
        <v>2574</v>
      </c>
      <c r="B270" s="6">
        <v>0.1</v>
      </c>
      <c r="C270" s="6">
        <v>6000000</v>
      </c>
      <c r="D270" s="6">
        <v>5</v>
      </c>
      <c r="E270" s="6">
        <v>0</v>
      </c>
      <c r="F270" s="6">
        <v>0</v>
      </c>
      <c r="G270" s="11">
        <f>(C270*$V$4)/($V$5*$V$3)</f>
        <v>88.16326530612244</v>
      </c>
      <c r="H270" s="11">
        <f>G270*COS(RADIANS(D270))</f>
        <v>87.827777464415107</v>
      </c>
      <c r="I270" s="11">
        <f>G270*SIN(RADIANS(D270))</f>
        <v>7.6839348708139434</v>
      </c>
      <c r="J270" s="11">
        <v>0.16569999999999999</v>
      </c>
      <c r="K270" s="12">
        <v>0</v>
      </c>
      <c r="L270" s="11">
        <f>-(F270*G270*$V$3)/J270</f>
        <v>0</v>
      </c>
      <c r="M270" s="11">
        <f>ABS(L270/$V$6)</f>
        <v>0</v>
      </c>
      <c r="N270" s="11">
        <f>L270*SIN(RADIANS(K270))</f>
        <v>0</v>
      </c>
      <c r="O270" s="11">
        <f>L270*COS(RADIANS(K270))</f>
        <v>0</v>
      </c>
      <c r="P270" s="1">
        <v>1.2128072945711295</v>
      </c>
      <c r="Q270" s="1">
        <v>0.32850837115874432</v>
      </c>
      <c r="R270" s="1">
        <f>P270/Q270</f>
        <v>3.6918611549934215</v>
      </c>
    </row>
    <row r="271" spans="1:18" x14ac:dyDescent="0.35">
      <c r="A271" s="14">
        <v>2575</v>
      </c>
      <c r="B271" s="6">
        <v>0.1</v>
      </c>
      <c r="C271" s="6">
        <v>6000000</v>
      </c>
      <c r="D271" s="6">
        <v>5</v>
      </c>
      <c r="E271" s="6">
        <v>0.25</v>
      </c>
      <c r="F271" s="6">
        <v>0.05</v>
      </c>
      <c r="G271" s="11">
        <f>(C271*$V$4)/($V$5*$V$3)</f>
        <v>88.16326530612244</v>
      </c>
      <c r="H271" s="11">
        <f>G271*COS(RADIANS(D271))</f>
        <v>87.827777464415107</v>
      </c>
      <c r="I271" s="11">
        <f>G271*SIN(RADIANS(D271))</f>
        <v>7.6839348708139434</v>
      </c>
      <c r="J271" s="11">
        <v>0.1661</v>
      </c>
      <c r="K271" s="12">
        <v>80</v>
      </c>
      <c r="L271" s="11">
        <f>-(F271*G271*$V$3)/J271</f>
        <v>-26.539212915750284</v>
      </c>
      <c r="M271" s="11">
        <f>ABS(L271/$V$6)</f>
        <v>7.7373798588193252E-2</v>
      </c>
      <c r="N271" s="11">
        <f>L271*SIN(RADIANS(K271))</f>
        <v>-26.136022638272607</v>
      </c>
      <c r="O271" s="11">
        <f>L271*COS(RADIANS(K271))</f>
        <v>-4.6084859595346996</v>
      </c>
      <c r="P271" s="1">
        <v>1.6448103180802067</v>
      </c>
      <c r="Q271" s="1">
        <v>0.34824902612379532</v>
      </c>
      <c r="R271" s="1">
        <f>P271/Q271</f>
        <v>4.7230866267965119</v>
      </c>
    </row>
    <row r="272" spans="1:18" x14ac:dyDescent="0.35">
      <c r="A272" s="14">
        <v>2576</v>
      </c>
      <c r="B272" s="6">
        <v>0.5</v>
      </c>
      <c r="C272" s="6">
        <v>4000000</v>
      </c>
      <c r="D272" s="6">
        <v>0</v>
      </c>
      <c r="E272" s="6">
        <v>0.25</v>
      </c>
      <c r="F272" s="6">
        <v>0.05</v>
      </c>
      <c r="G272" s="11">
        <f>(C272*$V$4)/($V$5*$V$3)</f>
        <v>58.775510204081627</v>
      </c>
      <c r="H272" s="11">
        <f>G272*COS(RADIANS(D272))</f>
        <v>58.775510204081627</v>
      </c>
      <c r="I272" s="11">
        <f>G272*SIN(RADIANS(D272))</f>
        <v>0</v>
      </c>
      <c r="J272" s="11">
        <v>0.23580000000000001</v>
      </c>
      <c r="K272" s="11">
        <v>49</v>
      </c>
      <c r="L272" s="11">
        <f>-(F272*G272*$V$3)/J272</f>
        <v>-12.463000467362516</v>
      </c>
      <c r="M272" s="11">
        <f>ABS(L272/$V$6)</f>
        <v>3.6335278330502964E-2</v>
      </c>
      <c r="N272" s="11">
        <f>L272*SIN(RADIANS(K272))</f>
        <v>-9.405945851039375</v>
      </c>
      <c r="O272" s="11">
        <f>L272*COS(RADIANS(K272))</f>
        <v>-8.1764639849260909</v>
      </c>
      <c r="P272" s="1">
        <v>3.0721776641698488</v>
      </c>
      <c r="Q272" s="1">
        <v>-1.4260709597597676E-2</v>
      </c>
      <c r="R272" s="1">
        <f>P272/Q272</f>
        <v>-215.42950882944706</v>
      </c>
    </row>
    <row r="273" spans="1:18" x14ac:dyDescent="0.35">
      <c r="A273" s="14">
        <v>2577</v>
      </c>
      <c r="B273" s="6">
        <v>0.1</v>
      </c>
      <c r="C273" s="6">
        <v>2000000</v>
      </c>
      <c r="D273" s="6">
        <v>20</v>
      </c>
      <c r="E273" s="6">
        <v>0</v>
      </c>
      <c r="F273" s="6">
        <v>0.1</v>
      </c>
      <c r="G273" s="11">
        <f>(C273*$V$4)/($V$5*$V$3)</f>
        <v>29.387755102040813</v>
      </c>
      <c r="H273" s="11">
        <f>G273*COS(RADIANS(D273))</f>
        <v>27.615456610851183</v>
      </c>
      <c r="I273" s="11">
        <f>G273*SIN(RADIANS(D273))</f>
        <v>10.051204212019652</v>
      </c>
      <c r="J273" s="11">
        <v>0.16569999999999999</v>
      </c>
      <c r="K273" s="12">
        <v>0</v>
      </c>
      <c r="L273" s="11">
        <f>-(F273*G273*$V$3)/J273</f>
        <v>-17.735519071841168</v>
      </c>
      <c r="M273" s="11">
        <f>ABS(L273/$V$6)</f>
        <v>5.1707052687583577E-2</v>
      </c>
      <c r="N273" s="11">
        <f>L273*SIN(RADIANS(K273))</f>
        <v>0</v>
      </c>
      <c r="O273" s="11">
        <f>L273*COS(RADIANS(K273))</f>
        <v>-17.735519071841168</v>
      </c>
      <c r="P273" s="1">
        <v>1.7647926990694787</v>
      </c>
      <c r="Q273" s="1">
        <v>0.708317739050078</v>
      </c>
      <c r="R273" s="1">
        <f>P273/Q273</f>
        <v>2.4915268978526992</v>
      </c>
    </row>
    <row r="274" spans="1:18" x14ac:dyDescent="0.35">
      <c r="A274" s="14">
        <v>2578</v>
      </c>
      <c r="B274" s="6">
        <v>0.25</v>
      </c>
      <c r="C274" s="6">
        <v>6000000</v>
      </c>
      <c r="D274" s="6">
        <v>20</v>
      </c>
      <c r="E274" s="6">
        <v>0.25</v>
      </c>
      <c r="F274" s="6">
        <v>2.5000000000000001E-2</v>
      </c>
      <c r="G274" s="11">
        <f>(C274*$V$4)/($V$5*$V$3)</f>
        <v>88.16326530612244</v>
      </c>
      <c r="H274" s="11">
        <f>G274*COS(RADIANS(D274))</f>
        <v>82.846369832553549</v>
      </c>
      <c r="I274" s="11">
        <f>G274*SIN(RADIANS(D274))</f>
        <v>30.153612636058952</v>
      </c>
      <c r="J274" s="12">
        <v>0.1913</v>
      </c>
      <c r="K274" s="11">
        <v>67</v>
      </c>
      <c r="L274" s="11">
        <f>-(F274*G274*$V$3)/J274</f>
        <v>-11.521597661542399</v>
      </c>
      <c r="M274" s="11">
        <f>ABS(L274/$V$6)</f>
        <v>3.3590663736275214E-2</v>
      </c>
      <c r="N274" s="11">
        <f>L274*SIN(RADIANS(K274))</f>
        <v>-10.605686566976066</v>
      </c>
      <c r="O274" s="11">
        <f>L274*COS(RADIANS(K274))</f>
        <v>-4.501846856293839</v>
      </c>
      <c r="P274" s="1">
        <v>2.1477102413382347</v>
      </c>
      <c r="Q274" s="1">
        <v>0.65470167803062884</v>
      </c>
      <c r="R274" s="1">
        <f>P274/Q274</f>
        <v>3.2804410213192683</v>
      </c>
    </row>
    <row r="275" spans="1:18" x14ac:dyDescent="0.35">
      <c r="A275" s="14">
        <v>2579</v>
      </c>
      <c r="B275" s="6">
        <v>0.75</v>
      </c>
      <c r="C275" s="6">
        <v>4000000</v>
      </c>
      <c r="D275" s="6">
        <v>30</v>
      </c>
      <c r="E275" s="6">
        <v>0</v>
      </c>
      <c r="F275" s="6">
        <v>7.4999999999999997E-2</v>
      </c>
      <c r="G275" s="11">
        <f>(C275*$V$4)/($V$5*$V$3)</f>
        <v>58.775510204081627</v>
      </c>
      <c r="H275" s="11">
        <f>G275*COS(RADIANS(D275))</f>
        <v>50.901084957126187</v>
      </c>
      <c r="I275" s="11">
        <f>G275*SIN(RADIANS(D275))</f>
        <v>29.38775510204081</v>
      </c>
      <c r="J275" s="11">
        <v>0.27929999999999999</v>
      </c>
      <c r="K275" s="11">
        <v>0</v>
      </c>
      <c r="L275" s="11">
        <f>-(F275*G275*$V$3)/J275</f>
        <v>-15.782897476928472</v>
      </c>
      <c r="M275" s="11">
        <f>ABS(L275/$V$6)</f>
        <v>4.6014278358392044E-2</v>
      </c>
      <c r="N275" s="11">
        <f>L275*SIN(RADIANS(K275))</f>
        <v>0</v>
      </c>
      <c r="O275" s="11">
        <f>L275*COS(RADIANS(K275))</f>
        <v>-15.782897476928472</v>
      </c>
      <c r="P275" s="1">
        <v>2.4227498116784321</v>
      </c>
      <c r="Q275" s="1">
        <v>1.207208363976356</v>
      </c>
      <c r="R275" s="1">
        <f>P275/Q275</f>
        <v>2.006902771695743</v>
      </c>
    </row>
    <row r="276" spans="1:18" x14ac:dyDescent="0.35">
      <c r="A276" s="14">
        <v>2580</v>
      </c>
      <c r="B276" s="6">
        <v>0.25</v>
      </c>
      <c r="C276" s="6">
        <v>6000000</v>
      </c>
      <c r="D276" s="6">
        <v>15</v>
      </c>
      <c r="E276" s="6">
        <v>0.125</v>
      </c>
      <c r="F276" s="6">
        <v>0.05</v>
      </c>
      <c r="G276" s="11">
        <f>(C276*$V$4)/($V$5*$V$3)</f>
        <v>88.16326530612244</v>
      </c>
      <c r="H276" s="11">
        <f>G276*COS(RADIANS(D276))</f>
        <v>85.159174889158663</v>
      </c>
      <c r="I276" s="11">
        <f>G276*SIN(RADIANS(D276))</f>
        <v>22.818332139650806</v>
      </c>
      <c r="J276" s="11">
        <v>0.19020000000000001</v>
      </c>
      <c r="K276" s="11">
        <v>46</v>
      </c>
      <c r="L276" s="11">
        <f>-(F276*G276*$V$3)/J276</f>
        <v>-23.176463014227771</v>
      </c>
      <c r="M276" s="11">
        <f>ABS(L276/$V$6)</f>
        <v>6.7569863015241316E-2</v>
      </c>
      <c r="N276" s="11">
        <f>L276*SIN(RADIANS(K276))</f>
        <v>-16.671752277210736</v>
      </c>
      <c r="O276" s="11">
        <f>L276*COS(RADIANS(K276))</f>
        <v>-16.099724030466682</v>
      </c>
      <c r="P276" s="1">
        <v>2.290733222279127</v>
      </c>
      <c r="Q276" s="1">
        <v>0.56157683443652062</v>
      </c>
      <c r="R276" s="1">
        <f>P276/Q276</f>
        <v>4.0791091829448787</v>
      </c>
    </row>
    <row r="277" spans="1:18" x14ac:dyDescent="0.35">
      <c r="A277" s="14">
        <v>2581</v>
      </c>
      <c r="B277" s="6">
        <v>0.1</v>
      </c>
      <c r="C277" s="6">
        <v>6000000</v>
      </c>
      <c r="D277" s="6">
        <v>30</v>
      </c>
      <c r="E277" s="6">
        <v>0</v>
      </c>
      <c r="F277" s="6">
        <v>0</v>
      </c>
      <c r="G277" s="11">
        <f>(C277*$V$4)/($V$5*$V$3)</f>
        <v>88.16326530612244</v>
      </c>
      <c r="H277" s="11">
        <f>G277*COS(RADIANS(D277))</f>
        <v>76.351627435689281</v>
      </c>
      <c r="I277" s="11">
        <f>G277*SIN(RADIANS(D277))</f>
        <v>44.081632653061213</v>
      </c>
      <c r="J277" s="11">
        <v>0.16569999999999999</v>
      </c>
      <c r="K277" s="12">
        <v>0</v>
      </c>
      <c r="L277" s="11">
        <f>-(F277*G277*$V$3)/J277</f>
        <v>0</v>
      </c>
      <c r="M277" s="11">
        <f>ABS(L277/$V$6)</f>
        <v>0</v>
      </c>
      <c r="N277" s="11">
        <f>L277*SIN(RADIANS(K277))</f>
        <v>0</v>
      </c>
      <c r="O277" s="11">
        <f>L277*COS(RADIANS(K277))</f>
        <v>0</v>
      </c>
      <c r="P277" s="1">
        <v>1.05071541540589</v>
      </c>
      <c r="Q277" s="1">
        <v>0.9021573148325811</v>
      </c>
      <c r="R277" s="1">
        <f>P277/Q277</f>
        <v>1.1646698398725257</v>
      </c>
    </row>
    <row r="278" spans="1:18" x14ac:dyDescent="0.35">
      <c r="A278" s="14">
        <v>2582</v>
      </c>
      <c r="B278" s="6">
        <v>0.75</v>
      </c>
      <c r="C278" s="6">
        <v>2000000</v>
      </c>
      <c r="D278" s="6">
        <v>10</v>
      </c>
      <c r="E278" s="6">
        <v>0</v>
      </c>
      <c r="F278" s="6">
        <v>2.5000000000000001E-2</v>
      </c>
      <c r="G278" s="11">
        <f>(C278*$V$4)/($V$5*$V$3)</f>
        <v>29.387755102040813</v>
      </c>
      <c r="H278" s="11">
        <f>G278*COS(RADIANS(D278))</f>
        <v>28.941289068113864</v>
      </c>
      <c r="I278" s="11">
        <f>G278*SIN(RADIANS(D278))</f>
        <v>5.1031301191914213</v>
      </c>
      <c r="J278" s="11">
        <v>0.27929999999999999</v>
      </c>
      <c r="K278" s="11">
        <v>0</v>
      </c>
      <c r="L278" s="11">
        <f>-(F278*G278*$V$3)/J278</f>
        <v>-2.630482912821412</v>
      </c>
      <c r="M278" s="11">
        <f>ABS(L278/$V$6)</f>
        <v>7.6690463930653412E-3</v>
      </c>
      <c r="N278" s="11">
        <f>L278*SIN(RADIANS(K278))</f>
        <v>0</v>
      </c>
      <c r="O278" s="11">
        <f>L278*COS(RADIANS(K278))</f>
        <v>-2.630482912821412</v>
      </c>
      <c r="P278" s="1">
        <v>2.1974690948600828</v>
      </c>
      <c r="Q278" s="1">
        <v>1.1957593639047459</v>
      </c>
      <c r="R278" s="1">
        <f>P278/Q278</f>
        <v>1.8377184918579763</v>
      </c>
    </row>
    <row r="279" spans="1:18" x14ac:dyDescent="0.35">
      <c r="A279" s="14">
        <v>2583</v>
      </c>
      <c r="B279" s="6">
        <v>0.75</v>
      </c>
      <c r="C279" s="6">
        <v>2000000</v>
      </c>
      <c r="D279" s="6">
        <v>5</v>
      </c>
      <c r="E279" s="6">
        <v>0.375</v>
      </c>
      <c r="F279" s="6">
        <v>3.5000000000000003E-2</v>
      </c>
      <c r="G279" s="11">
        <f>(C279*$V$4)/($V$5*$V$3)</f>
        <v>29.387755102040813</v>
      </c>
      <c r="H279" s="11">
        <f>G279*COS(RADIANS(D279))</f>
        <v>29.275925821471702</v>
      </c>
      <c r="I279" s="11">
        <f>G279*SIN(RADIANS(D279))</f>
        <v>2.5613116236046478</v>
      </c>
      <c r="J279" s="11">
        <v>0.29299999999999998</v>
      </c>
      <c r="K279" s="12">
        <v>57</v>
      </c>
      <c r="L279" s="11">
        <f>-(F279*G279*$V$3)/J279</f>
        <v>-3.5104826913700631</v>
      </c>
      <c r="M279" s="11">
        <f>ABS(L279/$V$6)</f>
        <v>1.023464341507307E-2</v>
      </c>
      <c r="N279" s="11">
        <f>L279*SIN(RADIANS(K279))</f>
        <v>-2.9441385125339115</v>
      </c>
      <c r="O279" s="11">
        <f>L279*COS(RADIANS(K279))</f>
        <v>-1.9119459054647463</v>
      </c>
      <c r="P279" s="1">
        <v>3.7470883374871273</v>
      </c>
      <c r="Q279" s="1">
        <v>-6.3538066100944611E-3</v>
      </c>
      <c r="R279" s="1">
        <f>P279/Q279</f>
        <v>-589.73912292735326</v>
      </c>
    </row>
    <row r="280" spans="1:18" x14ac:dyDescent="0.35">
      <c r="A280" s="14">
        <v>2584</v>
      </c>
      <c r="B280" s="6">
        <v>0.75</v>
      </c>
      <c r="C280" s="6">
        <v>6000000</v>
      </c>
      <c r="D280" s="6">
        <v>20</v>
      </c>
      <c r="E280" s="6">
        <v>0.125</v>
      </c>
      <c r="F280" s="6">
        <v>3.5000000000000003E-2</v>
      </c>
      <c r="G280" s="11">
        <f>(C280*$V$4)/($V$5*$V$3)</f>
        <v>88.16326530612244</v>
      </c>
      <c r="H280" s="11">
        <f>G280*COS(RADIANS(D280))</f>
        <v>82.846369832553549</v>
      </c>
      <c r="I280" s="11">
        <f>G280*SIN(RADIANS(D280))</f>
        <v>30.153612636058952</v>
      </c>
      <c r="J280" s="12">
        <v>0.2802</v>
      </c>
      <c r="K280" s="11">
        <v>19</v>
      </c>
      <c r="L280" s="11">
        <f>-(F280*G280*$V$3)/J280</f>
        <v>-11.012542061792598</v>
      </c>
      <c r="M280" s="11">
        <f>ABS(L280/$V$6)</f>
        <v>3.2106536623302033E-2</v>
      </c>
      <c r="N280" s="11">
        <f>L280*SIN(RADIANS(K280))</f>
        <v>-3.5853329949396273</v>
      </c>
      <c r="O280" s="11">
        <f>L280*COS(RADIANS(K280))</f>
        <v>-10.412563083993701</v>
      </c>
      <c r="P280" s="1">
        <v>2.5206916011177674</v>
      </c>
      <c r="Q280" s="1">
        <v>1.2042330680112137</v>
      </c>
      <c r="R280" s="1">
        <f>P280/Q280</f>
        <v>2.0931924791607659</v>
      </c>
    </row>
    <row r="281" spans="1:18" x14ac:dyDescent="0.35">
      <c r="A281" s="14">
        <v>2585</v>
      </c>
      <c r="B281" s="6">
        <v>0.5</v>
      </c>
      <c r="C281" s="6">
        <v>2000000</v>
      </c>
      <c r="D281" s="6">
        <v>20</v>
      </c>
      <c r="E281" s="6">
        <v>0.375</v>
      </c>
      <c r="F281" s="6">
        <v>1.4999999999999999E-2</v>
      </c>
      <c r="G281" s="11">
        <f>(C281*$V$4)/($V$5*$V$3)</f>
        <v>29.387755102040813</v>
      </c>
      <c r="H281" s="11">
        <f>G281*COS(RADIANS(D281))</f>
        <v>27.615456610851183</v>
      </c>
      <c r="I281" s="11">
        <f>G281*SIN(RADIANS(D281))</f>
        <v>10.051204212019652</v>
      </c>
      <c r="J281" s="12">
        <v>0.24809999999999999</v>
      </c>
      <c r="K281" s="11">
        <v>67</v>
      </c>
      <c r="L281" s="11">
        <f>-(F281*G281*$V$3)/J281</f>
        <v>-1.7767687486118993</v>
      </c>
      <c r="M281" s="11">
        <f>ABS(L281/$V$6)</f>
        <v>5.1800838151950419E-3</v>
      </c>
      <c r="N281" s="11">
        <f>L281*SIN(RADIANS(K281))</f>
        <v>-1.6355242565598722</v>
      </c>
      <c r="O281" s="11">
        <f>L281*COS(RADIANS(K281))</f>
        <v>-0.69423885820960207</v>
      </c>
      <c r="P281" s="1">
        <v>3.3901054564622548</v>
      </c>
      <c r="Q281" s="1">
        <v>0.68610422430041984</v>
      </c>
      <c r="R281" s="1">
        <f>P281/Q281</f>
        <v>4.9410939860032874</v>
      </c>
    </row>
    <row r="282" spans="1:18" x14ac:dyDescent="0.35">
      <c r="A282" s="14">
        <v>2586</v>
      </c>
      <c r="B282" s="6">
        <v>0.25</v>
      </c>
      <c r="C282" s="6">
        <v>4000000</v>
      </c>
      <c r="D282" s="6">
        <v>30</v>
      </c>
      <c r="E282" s="6">
        <v>0.375</v>
      </c>
      <c r="F282" s="6">
        <v>2.5000000000000001E-2</v>
      </c>
      <c r="G282" s="11">
        <f>(C282*$V$4)/($V$5*$V$3)</f>
        <v>58.775510204081627</v>
      </c>
      <c r="H282" s="11">
        <f>G282*COS(RADIANS(D282))</f>
        <v>50.901084957126187</v>
      </c>
      <c r="I282" s="11">
        <f>G282*SIN(RADIANS(D282))</f>
        <v>29.38775510204081</v>
      </c>
      <c r="J282" s="11">
        <v>0.1976</v>
      </c>
      <c r="K282" s="12">
        <v>78</v>
      </c>
      <c r="L282" s="11">
        <f>-(F282*G282*$V$3)/J282</f>
        <v>-7.4361728497066837</v>
      </c>
      <c r="M282" s="11">
        <f>ABS(L282/$V$6)</f>
        <v>2.1679804226550099E-2</v>
      </c>
      <c r="N282" s="11">
        <f>L282*SIN(RADIANS(K282))</f>
        <v>-7.2736746315824581</v>
      </c>
      <c r="O282" s="11">
        <f>L282*COS(RADIANS(K282))</f>
        <v>-1.5460672703956333</v>
      </c>
      <c r="P282" s="1">
        <v>2.2975369534659693</v>
      </c>
      <c r="Q282" s="1">
        <v>0.94330722699641367</v>
      </c>
      <c r="R282" s="1">
        <f>P282/Q282</f>
        <v>2.4356189454644177</v>
      </c>
    </row>
    <row r="283" spans="1:18" x14ac:dyDescent="0.35">
      <c r="A283" s="14">
        <v>2587</v>
      </c>
      <c r="B283" s="6">
        <v>1</v>
      </c>
      <c r="C283" s="6">
        <v>4000000</v>
      </c>
      <c r="D283" s="6">
        <v>5</v>
      </c>
      <c r="E283" s="6">
        <v>0.125</v>
      </c>
      <c r="F283" s="6">
        <v>0.05</v>
      </c>
      <c r="G283" s="11">
        <f>(C283*$V$4)/($V$5*$V$3)</f>
        <v>58.775510204081627</v>
      </c>
      <c r="H283" s="11">
        <f>G283*COS(RADIANS(D283))</f>
        <v>58.551851642943404</v>
      </c>
      <c r="I283" s="11">
        <f>G283*SIN(RADIANS(D283))</f>
        <v>5.1226232472092956</v>
      </c>
      <c r="J283" s="11">
        <v>0.33379999999999999</v>
      </c>
      <c r="K283" s="12">
        <v>14</v>
      </c>
      <c r="L283" s="11">
        <f>-(F283*G283*$V$3)/J283</f>
        <v>-8.8040009293112096</v>
      </c>
      <c r="M283" s="11">
        <f>ABS(L283/$V$6)</f>
        <v>2.566764119332714E-2</v>
      </c>
      <c r="N283" s="11">
        <f>L283*SIN(RADIANS(K283))</f>
        <v>-2.1298805936802041</v>
      </c>
      <c r="O283" s="11">
        <f>L283*COS(RADIANS(K283))</f>
        <v>-8.5424844758405687</v>
      </c>
      <c r="P283" s="1">
        <v>4.4456713628082829</v>
      </c>
      <c r="Q283" s="1">
        <v>0.4229646878955754</v>
      </c>
      <c r="R283" s="1">
        <f>P283/Q283</f>
        <v>10.510738815874536</v>
      </c>
    </row>
    <row r="284" spans="1:18" x14ac:dyDescent="0.35">
      <c r="A284" s="14">
        <v>2588</v>
      </c>
      <c r="B284" s="6">
        <v>0.75</v>
      </c>
      <c r="C284" s="6">
        <v>6000000</v>
      </c>
      <c r="D284" s="6">
        <v>15</v>
      </c>
      <c r="E284" s="6">
        <v>0.375</v>
      </c>
      <c r="F284" s="6">
        <v>2.5000000000000001E-2</v>
      </c>
      <c r="G284" s="11">
        <f>(C284*$V$4)/($V$5*$V$3)</f>
        <v>88.16326530612244</v>
      </c>
      <c r="H284" s="11">
        <f>G284*COS(RADIANS(D284))</f>
        <v>85.159174889158663</v>
      </c>
      <c r="I284" s="11">
        <f>G284*SIN(RADIANS(D284))</f>
        <v>22.818332139650806</v>
      </c>
      <c r="J284" s="11">
        <v>0.29299999999999998</v>
      </c>
      <c r="K284" s="12">
        <v>57</v>
      </c>
      <c r="L284" s="11">
        <f>-(F284*G284*$V$3)/J284</f>
        <v>-7.5224629100787066</v>
      </c>
      <c r="M284" s="11">
        <f>ABS(L284/$V$6)</f>
        <v>2.1931378746585149E-2</v>
      </c>
      <c r="N284" s="11">
        <f>L284*SIN(RADIANS(K284))</f>
        <v>-6.3088682411440962</v>
      </c>
      <c r="O284" s="11">
        <f>L284*COS(RADIANS(K284))</f>
        <v>-4.0970269402815989</v>
      </c>
      <c r="P284" s="1">
        <v>4.2163043490253065</v>
      </c>
      <c r="Q284" s="1">
        <v>0.41849915777799401</v>
      </c>
      <c r="R284" s="1">
        <f>P284/Q284</f>
        <v>10.074821587244333</v>
      </c>
    </row>
    <row r="285" spans="1:18" x14ac:dyDescent="0.35">
      <c r="A285" s="14">
        <v>2589</v>
      </c>
      <c r="B285" s="6">
        <v>0.75</v>
      </c>
      <c r="C285" s="6">
        <v>4000000</v>
      </c>
      <c r="D285" s="6">
        <v>30</v>
      </c>
      <c r="E285" s="6">
        <v>0</v>
      </c>
      <c r="F285" s="6">
        <v>2.5000000000000001E-2</v>
      </c>
      <c r="G285" s="11">
        <f>(C285*$V$4)/($V$5*$V$3)</f>
        <v>58.775510204081627</v>
      </c>
      <c r="H285" s="11">
        <f>G285*COS(RADIANS(D285))</f>
        <v>50.901084957126187</v>
      </c>
      <c r="I285" s="11">
        <f>G285*SIN(RADIANS(D285))</f>
        <v>29.38775510204081</v>
      </c>
      <c r="J285" s="11">
        <v>0.27929999999999999</v>
      </c>
      <c r="K285" s="11">
        <v>0</v>
      </c>
      <c r="L285" s="11">
        <f>-(F285*G285*$V$3)/J285</f>
        <v>-5.260965825642824</v>
      </c>
      <c r="M285" s="11">
        <f>ABS(L285/$V$6)</f>
        <v>1.5338092786130682E-2</v>
      </c>
      <c r="N285" s="11">
        <f>L285*SIN(RADIANS(K285))</f>
        <v>0</v>
      </c>
      <c r="O285" s="11">
        <f>L285*COS(RADIANS(K285))</f>
        <v>-5.260965825642824</v>
      </c>
      <c r="P285" s="1">
        <v>0.84558300486311644</v>
      </c>
      <c r="Q285" s="1">
        <v>1.3992659454333383</v>
      </c>
      <c r="R285" s="1">
        <f>P285/Q285</f>
        <v>0.60430471249784334</v>
      </c>
    </row>
    <row r="286" spans="1:18" x14ac:dyDescent="0.35">
      <c r="A286" s="14">
        <v>2590</v>
      </c>
      <c r="B286" s="6">
        <v>0.1</v>
      </c>
      <c r="C286" s="6">
        <v>4000000</v>
      </c>
      <c r="D286" s="6">
        <v>5</v>
      </c>
      <c r="E286" s="6">
        <v>0.125</v>
      </c>
      <c r="F286" s="6">
        <v>3.5000000000000003E-2</v>
      </c>
      <c r="G286" s="11">
        <f>(C286*$V$4)/($V$5*$V$3)</f>
        <v>58.775510204081627</v>
      </c>
      <c r="H286" s="11">
        <f>G286*COS(RADIANS(D286))</f>
        <v>58.551851642943404</v>
      </c>
      <c r="I286" s="11">
        <f>G286*SIN(RADIANS(D286))</f>
        <v>5.1226232472092956</v>
      </c>
      <c r="J286" s="12">
        <v>0.1658</v>
      </c>
      <c r="K286" s="11">
        <v>69</v>
      </c>
      <c r="L286" s="11">
        <f>-(F286*G286*$V$3)/J286</f>
        <v>-12.407375495433396</v>
      </c>
      <c r="M286" s="11">
        <f>ABS(L286/$V$6)</f>
        <v>3.6173106400680451E-2</v>
      </c>
      <c r="N286" s="11">
        <f>L286*SIN(RADIANS(K286))</f>
        <v>-11.58328290673764</v>
      </c>
      <c r="O286" s="11">
        <f>L286*COS(RADIANS(K286))</f>
        <v>-4.4464057155370718</v>
      </c>
      <c r="P286" s="1">
        <v>1.3941201216042802</v>
      </c>
      <c r="Q286" s="1">
        <v>0.33633990205556508</v>
      </c>
      <c r="R286" s="1">
        <f>P286/Q286</f>
        <v>4.1449739180038305</v>
      </c>
    </row>
    <row r="287" spans="1:18" x14ac:dyDescent="0.35">
      <c r="A287" s="14">
        <v>2591</v>
      </c>
      <c r="B287" s="6">
        <v>0.1</v>
      </c>
      <c r="C287" s="6">
        <v>4000000</v>
      </c>
      <c r="D287" s="6">
        <v>0</v>
      </c>
      <c r="E287" s="6">
        <v>0</v>
      </c>
      <c r="F287" s="6">
        <v>7.4999999999999997E-2</v>
      </c>
      <c r="G287" s="11">
        <f>(C287*$V$4)/($V$5*$V$3)</f>
        <v>58.775510204081627</v>
      </c>
      <c r="H287" s="11">
        <f>G287*COS(RADIANS(D287))</f>
        <v>58.775510204081627</v>
      </c>
      <c r="I287" s="11">
        <f>G287*SIN(RADIANS(D287))</f>
        <v>0</v>
      </c>
      <c r="J287" s="11">
        <v>0.16569999999999999</v>
      </c>
      <c r="K287" s="12">
        <v>0</v>
      </c>
      <c r="L287" s="11">
        <f>-(F287*G287*$V$3)/J287</f>
        <v>-26.603278607761752</v>
      </c>
      <c r="M287" s="11">
        <f>ABS(L287/$V$6)</f>
        <v>7.7560579031375365E-2</v>
      </c>
      <c r="N287" s="11">
        <f>L287*SIN(RADIANS(K287))</f>
        <v>0</v>
      </c>
      <c r="O287" s="11">
        <f>L287*COS(RADIANS(K287))</f>
        <v>-26.603278607761752</v>
      </c>
      <c r="P287" s="1">
        <v>1.2809516752618384</v>
      </c>
      <c r="Q287" s="1">
        <v>0.19771454064237989</v>
      </c>
      <c r="R287" s="1">
        <f>P287/Q287</f>
        <v>6.4787934721441918</v>
      </c>
    </row>
    <row r="288" spans="1:18" x14ac:dyDescent="0.35">
      <c r="A288" s="14">
        <v>2592</v>
      </c>
      <c r="B288" s="6">
        <v>0.25</v>
      </c>
      <c r="C288" s="6">
        <v>6000000</v>
      </c>
      <c r="D288" s="6">
        <v>15</v>
      </c>
      <c r="E288" s="6">
        <v>0.375</v>
      </c>
      <c r="F288" s="6">
        <v>7.4999999999999997E-2</v>
      </c>
      <c r="G288" s="11">
        <f>(C288*$V$4)/($V$5*$V$3)</f>
        <v>88.16326530612244</v>
      </c>
      <c r="H288" s="11">
        <f>G288*COS(RADIANS(D288))</f>
        <v>85.159174889158663</v>
      </c>
      <c r="I288" s="11">
        <f>G288*SIN(RADIANS(D288))</f>
        <v>22.818332139650806</v>
      </c>
      <c r="J288" s="11">
        <v>0.1976</v>
      </c>
      <c r="K288" s="12">
        <v>78</v>
      </c>
      <c r="L288" s="11">
        <f>-(F288*G288*$V$3)/J288</f>
        <v>-33.462777823680078</v>
      </c>
      <c r="M288" s="11">
        <f>ABS(L288/$V$6)</f>
        <v>9.7559119019475449E-2</v>
      </c>
      <c r="N288" s="11">
        <f>L288*SIN(RADIANS(K288))</f>
        <v>-32.731535842121062</v>
      </c>
      <c r="O288" s="11">
        <f>L288*COS(RADIANS(K288))</f>
        <v>-6.9573027167803501</v>
      </c>
      <c r="P288" s="1">
        <v>2.6023616345524729</v>
      </c>
      <c r="Q288" s="1">
        <v>0.45267709206878731</v>
      </c>
      <c r="R288" s="1">
        <f>P288/Q288</f>
        <v>5.748825553905049</v>
      </c>
    </row>
    <row r="289" spans="1:18" x14ac:dyDescent="0.35">
      <c r="A289" s="14">
        <v>2593</v>
      </c>
      <c r="B289" s="6">
        <v>0.5</v>
      </c>
      <c r="C289" s="6">
        <v>2000000</v>
      </c>
      <c r="D289" s="6">
        <v>5</v>
      </c>
      <c r="E289" s="6">
        <v>0.25</v>
      </c>
      <c r="F289" s="6">
        <v>0.05</v>
      </c>
      <c r="G289" s="11">
        <f>(C289*$V$4)/($V$5*$V$3)</f>
        <v>29.387755102040813</v>
      </c>
      <c r="H289" s="11">
        <f>G289*COS(RADIANS(D289))</f>
        <v>29.275925821471702</v>
      </c>
      <c r="I289" s="11">
        <f>G289*SIN(RADIANS(D289))</f>
        <v>2.5613116236046478</v>
      </c>
      <c r="J289" s="11">
        <v>0.23580000000000001</v>
      </c>
      <c r="K289" s="11">
        <v>49</v>
      </c>
      <c r="L289" s="11">
        <f>-(F289*G289*$V$3)/J289</f>
        <v>-6.2315002336812579</v>
      </c>
      <c r="M289" s="11">
        <f>ABS(L289/$V$6)</f>
        <v>1.8167639165251482E-2</v>
      </c>
      <c r="N289" s="11">
        <f>L289*SIN(RADIANS(K289))</f>
        <v>-4.7029729255196875</v>
      </c>
      <c r="O289" s="11">
        <f>L289*COS(RADIANS(K289))</f>
        <v>-4.0882319924630455</v>
      </c>
      <c r="P289" s="1">
        <v>3.0619253634443671</v>
      </c>
      <c r="Q289" s="1">
        <v>0.16420673539023106</v>
      </c>
      <c r="R289" s="1">
        <f>P289/Q289</f>
        <v>18.646770829270906</v>
      </c>
    </row>
    <row r="290" spans="1:18" x14ac:dyDescent="0.35">
      <c r="A290" s="14">
        <v>2594</v>
      </c>
      <c r="B290" s="6">
        <v>0.5</v>
      </c>
      <c r="C290" s="6">
        <v>6000000</v>
      </c>
      <c r="D290" s="6">
        <v>30</v>
      </c>
      <c r="E290" s="6">
        <v>0.375</v>
      </c>
      <c r="F290" s="6">
        <v>0.05</v>
      </c>
      <c r="G290" s="11">
        <f>(C290*$V$4)/($V$5*$V$3)</f>
        <v>88.16326530612244</v>
      </c>
      <c r="H290" s="11">
        <f>G290*COS(RADIANS(D290))</f>
        <v>76.351627435689281</v>
      </c>
      <c r="I290" s="11">
        <f>G290*SIN(RADIANS(D290))</f>
        <v>44.081632653061213</v>
      </c>
      <c r="J290" s="12">
        <v>0.24809999999999999</v>
      </c>
      <c r="K290" s="11">
        <v>67</v>
      </c>
      <c r="L290" s="11">
        <f>-(F290*G290*$V$3)/J290</f>
        <v>-17.767687486118994</v>
      </c>
      <c r="M290" s="11">
        <f>ABS(L290/$V$6)</f>
        <v>5.1800838151950419E-2</v>
      </c>
      <c r="N290" s="11">
        <f>L290*SIN(RADIANS(K290))</f>
        <v>-16.355242565598722</v>
      </c>
      <c r="O290" s="11">
        <f>L290*COS(RADIANS(K290))</f>
        <v>-6.9423885820960214</v>
      </c>
      <c r="P290" s="1">
        <v>3.9013185918445705</v>
      </c>
      <c r="Q290" s="1">
        <v>1.1425517057370085</v>
      </c>
      <c r="R290" s="1">
        <f>P290/Q290</f>
        <v>3.414566336258722</v>
      </c>
    </row>
    <row r="291" spans="1:18" x14ac:dyDescent="0.35">
      <c r="A291" s="14">
        <v>2595</v>
      </c>
      <c r="B291" s="6">
        <v>0.25</v>
      </c>
      <c r="C291" s="6">
        <v>2000000</v>
      </c>
      <c r="D291" s="6">
        <v>5</v>
      </c>
      <c r="E291" s="6">
        <v>0</v>
      </c>
      <c r="F291" s="6">
        <v>0.15</v>
      </c>
      <c r="G291" s="11">
        <f>(C291*$V$4)/($V$5*$V$3)</f>
        <v>29.387755102040813</v>
      </c>
      <c r="H291" s="11">
        <f>G291*COS(RADIANS(D291))</f>
        <v>29.275925821471702</v>
      </c>
      <c r="I291" s="11">
        <f>G291*SIN(RADIANS(D291))</f>
        <v>2.5613116236046478</v>
      </c>
      <c r="J291" s="12">
        <v>0.18990000000000001</v>
      </c>
      <c r="K291" s="11">
        <v>0</v>
      </c>
      <c r="L291" s="11">
        <f>-(F291*G291*$V$3)/J291</f>
        <v>-23.213076699874257</v>
      </c>
      <c r="M291" s="11">
        <f>ABS(L291/$V$6)</f>
        <v>6.7676608454443898E-2</v>
      </c>
      <c r="N291" s="11">
        <f>L291*SIN(RADIANS(K291))</f>
        <v>0</v>
      </c>
      <c r="O291" s="11">
        <f>L291*COS(RADIANS(K291))</f>
        <v>-23.213076699874257</v>
      </c>
      <c r="P291" s="1">
        <v>2.3805308988292428</v>
      </c>
      <c r="Q291" s="1">
        <v>0.13903551074232931</v>
      </c>
      <c r="R291" s="1">
        <f>P291/Q291</f>
        <v>17.12174743070506</v>
      </c>
    </row>
    <row r="292" spans="1:18" x14ac:dyDescent="0.35">
      <c r="A292" s="14">
        <v>2596</v>
      </c>
      <c r="B292" s="6">
        <v>0.5</v>
      </c>
      <c r="C292" s="6">
        <v>2000000</v>
      </c>
      <c r="D292" s="6">
        <v>0</v>
      </c>
      <c r="E292" s="6">
        <v>0</v>
      </c>
      <c r="F292" s="6">
        <v>1.4999999999999999E-2</v>
      </c>
      <c r="G292" s="11">
        <f>(C292*$V$4)/($V$5*$V$3)</f>
        <v>29.387755102040813</v>
      </c>
      <c r="H292" s="11">
        <f>G292*COS(RADIANS(D292))</f>
        <v>29.387755102040813</v>
      </c>
      <c r="I292" s="11">
        <f>G292*SIN(RADIANS(D292))</f>
        <v>0</v>
      </c>
      <c r="J292" s="12">
        <v>0.23230000000000001</v>
      </c>
      <c r="K292" s="11">
        <v>0</v>
      </c>
      <c r="L292" s="11">
        <f>-(F292*G292*$V$3)/J292</f>
        <v>-1.8976165584615248</v>
      </c>
      <c r="M292" s="11">
        <f>ABS(L292/$V$6)</f>
        <v>5.5324097914330166E-3</v>
      </c>
      <c r="N292" s="11">
        <f>L292*SIN(RADIANS(K292))</f>
        <v>0</v>
      </c>
      <c r="O292" s="11">
        <f>L292*COS(RADIANS(K292))</f>
        <v>-1.8976165584615248</v>
      </c>
      <c r="P292" s="1">
        <v>3.0835454156194175</v>
      </c>
      <c r="Q292" s="1">
        <v>0.39379892210766393</v>
      </c>
      <c r="R292" s="1">
        <f>P292/Q292</f>
        <v>7.8302535698063229</v>
      </c>
    </row>
    <row r="293" spans="1:18" x14ac:dyDescent="0.35">
      <c r="A293" s="14">
        <v>2597</v>
      </c>
      <c r="B293" s="6">
        <v>0.75</v>
      </c>
      <c r="C293" s="6">
        <v>6000000</v>
      </c>
      <c r="D293" s="6">
        <v>20</v>
      </c>
      <c r="E293" s="6">
        <v>0.125</v>
      </c>
      <c r="F293" s="6">
        <v>1.4999999999999999E-2</v>
      </c>
      <c r="G293" s="11">
        <f>(C293*$V$4)/($V$5*$V$3)</f>
        <v>88.16326530612244</v>
      </c>
      <c r="H293" s="11">
        <f>G293*COS(RADIANS(D293))</f>
        <v>82.846369832553549</v>
      </c>
      <c r="I293" s="11">
        <f>G293*SIN(RADIANS(D293))</f>
        <v>30.153612636058952</v>
      </c>
      <c r="J293" s="12">
        <v>0.2802</v>
      </c>
      <c r="K293" s="11">
        <v>19</v>
      </c>
      <c r="L293" s="11">
        <f>-(F293*G293*$V$3)/J293</f>
        <v>-4.7196608836253979</v>
      </c>
      <c r="M293" s="11">
        <f>ABS(L293/$V$6)</f>
        <v>1.375994426712944E-2</v>
      </c>
      <c r="N293" s="11">
        <f>L293*SIN(RADIANS(K293))</f>
        <v>-1.5365712835455543</v>
      </c>
      <c r="O293" s="11">
        <f>L293*COS(RADIANS(K293))</f>
        <v>-4.4625270359972991</v>
      </c>
      <c r="P293" s="1">
        <v>3.4688501105284422</v>
      </c>
      <c r="Q293" s="1">
        <v>1.1248586591265475</v>
      </c>
      <c r="R293" s="1">
        <f>P293/Q293</f>
        <v>3.0838097590163049</v>
      </c>
    </row>
    <row r="294" spans="1:18" x14ac:dyDescent="0.35">
      <c r="A294" s="14">
        <v>2598</v>
      </c>
      <c r="B294" s="6">
        <v>0.25</v>
      </c>
      <c r="C294" s="6">
        <v>4000000</v>
      </c>
      <c r="D294" s="6">
        <v>10</v>
      </c>
      <c r="E294" s="6">
        <v>0.125</v>
      </c>
      <c r="F294" s="6">
        <v>0.1</v>
      </c>
      <c r="G294" s="11">
        <f>(C294*$V$4)/($V$5*$V$3)</f>
        <v>58.775510204081627</v>
      </c>
      <c r="H294" s="11">
        <f>G294*COS(RADIANS(D294))</f>
        <v>57.882578136227728</v>
      </c>
      <c r="I294" s="11">
        <f>G294*SIN(RADIANS(D294))</f>
        <v>10.206260238382843</v>
      </c>
      <c r="J294" s="11">
        <v>0.19020000000000001</v>
      </c>
      <c r="K294" s="11">
        <v>46</v>
      </c>
      <c r="L294" s="11">
        <f>-(F294*G294*$V$3)/J294</f>
        <v>-30.901950685637026</v>
      </c>
      <c r="M294" s="11">
        <f>ABS(L294/$V$6)</f>
        <v>9.0093150686988407E-2</v>
      </c>
      <c r="N294" s="11">
        <f>L294*SIN(RADIANS(K294))</f>
        <v>-22.229003036280979</v>
      </c>
      <c r="O294" s="11">
        <f>L294*COS(RADIANS(K294))</f>
        <v>-21.46629870728891</v>
      </c>
      <c r="P294" s="1">
        <v>2.5098111643492542</v>
      </c>
      <c r="Q294" s="1">
        <v>0.39529631321584441</v>
      </c>
      <c r="R294" s="1">
        <f>P294/Q294</f>
        <v>6.3491894066282812</v>
      </c>
    </row>
    <row r="295" spans="1:18" x14ac:dyDescent="0.35">
      <c r="A295" s="14">
        <v>2599</v>
      </c>
      <c r="B295" s="6">
        <v>0.75</v>
      </c>
      <c r="C295" s="6">
        <v>6000000</v>
      </c>
      <c r="D295" s="6">
        <v>30</v>
      </c>
      <c r="E295" s="6">
        <v>0</v>
      </c>
      <c r="F295" s="6">
        <v>0.1</v>
      </c>
      <c r="G295" s="11">
        <f>(C295*$V$4)/($V$5*$V$3)</f>
        <v>88.16326530612244</v>
      </c>
      <c r="H295" s="11">
        <f>G295*COS(RADIANS(D295))</f>
        <v>76.351627435689281</v>
      </c>
      <c r="I295" s="11">
        <f>G295*SIN(RADIANS(D295))</f>
        <v>44.081632653061213</v>
      </c>
      <c r="J295" s="11">
        <v>0.27929999999999999</v>
      </c>
      <c r="K295" s="11">
        <v>0</v>
      </c>
      <c r="L295" s="11">
        <f>-(F295*G295*$V$3)/J295</f>
        <v>-31.565794953856944</v>
      </c>
      <c r="M295" s="11">
        <f>ABS(L295/$V$6)</f>
        <v>9.2028556716784088E-2</v>
      </c>
      <c r="N295" s="11">
        <f>L295*SIN(RADIANS(K295))</f>
        <v>0</v>
      </c>
      <c r="O295" s="11">
        <f>L295*COS(RADIANS(K295))</f>
        <v>-31.565794953856944</v>
      </c>
      <c r="P295" s="1">
        <v>2.4229343536046075</v>
      </c>
      <c r="Q295" s="1">
        <v>1.1503960575279313</v>
      </c>
      <c r="R295" s="1">
        <f>P295/Q295</f>
        <v>2.1061740760927279</v>
      </c>
    </row>
    <row r="296" spans="1:18" x14ac:dyDescent="0.35">
      <c r="A296" s="14">
        <v>2600</v>
      </c>
      <c r="B296" s="6">
        <v>0.5</v>
      </c>
      <c r="C296" s="6">
        <v>4000000</v>
      </c>
      <c r="D296" s="6">
        <v>5</v>
      </c>
      <c r="E296" s="6">
        <v>0.375</v>
      </c>
      <c r="F296" s="6">
        <v>0.05</v>
      </c>
      <c r="G296" s="11">
        <f>(C296*$V$4)/($V$5*$V$3)</f>
        <v>58.775510204081627</v>
      </c>
      <c r="H296" s="11">
        <f>G296*COS(RADIANS(D296))</f>
        <v>58.551851642943404</v>
      </c>
      <c r="I296" s="11">
        <f>G296*SIN(RADIANS(D296))</f>
        <v>5.1226232472092956</v>
      </c>
      <c r="J296" s="12">
        <v>0.24809999999999999</v>
      </c>
      <c r="K296" s="11">
        <v>67</v>
      </c>
      <c r="L296" s="11">
        <f>-(F296*G296*$V$3)/J296</f>
        <v>-11.845124990745996</v>
      </c>
      <c r="M296" s="11">
        <f>ABS(L296/$V$6)</f>
        <v>3.4533892101300277E-2</v>
      </c>
      <c r="N296" s="11">
        <f>L296*SIN(RADIANS(K296))</f>
        <v>-10.903495043732482</v>
      </c>
      <c r="O296" s="11">
        <f>L296*COS(RADIANS(K296))</f>
        <v>-4.6282590547306803</v>
      </c>
      <c r="P296" s="1">
        <v>3.4219276962952172</v>
      </c>
      <c r="Q296" s="1">
        <v>-3.132348234744909E-2</v>
      </c>
      <c r="R296" s="1">
        <f>P296/Q296</f>
        <v>-109.24480421232255</v>
      </c>
    </row>
    <row r="297" spans="1:18" x14ac:dyDescent="0.35">
      <c r="A297" s="14">
        <v>2601</v>
      </c>
      <c r="B297" s="6">
        <v>0.75</v>
      </c>
      <c r="C297" s="6">
        <v>6000000</v>
      </c>
      <c r="D297" s="6">
        <v>15</v>
      </c>
      <c r="E297" s="6">
        <v>0.25</v>
      </c>
      <c r="F297" s="6">
        <v>0.05</v>
      </c>
      <c r="G297" s="11">
        <f>(C297*$V$4)/($V$5*$V$3)</f>
        <v>88.16326530612244</v>
      </c>
      <c r="H297" s="11">
        <f>G297*COS(RADIANS(D297))</f>
        <v>85.159174889158663</v>
      </c>
      <c r="I297" s="11">
        <f>G297*SIN(RADIANS(D297))</f>
        <v>22.818332139650806</v>
      </c>
      <c r="J297" s="12">
        <v>0.28370000000000001</v>
      </c>
      <c r="K297" s="11">
        <v>38</v>
      </c>
      <c r="L297" s="11">
        <f>-(F297*G297*$V$3)/J297</f>
        <v>-15.538115140310616</v>
      </c>
      <c r="M297" s="11">
        <f>ABS(L297/$V$6)</f>
        <v>4.5300627231226284E-2</v>
      </c>
      <c r="N297" s="11">
        <f>L297*SIN(RADIANS(K297))</f>
        <v>-9.5662188910635813</v>
      </c>
      <c r="O297" s="11">
        <f>L297*COS(RADIANS(K297))</f>
        <v>-12.244201821344184</v>
      </c>
      <c r="P297" s="1">
        <v>3.1240912444894109</v>
      </c>
      <c r="Q297" s="1">
        <v>0.88573405387137738</v>
      </c>
      <c r="R297" s="1">
        <f>P297/Q297</f>
        <v>3.5271210707487133</v>
      </c>
    </row>
    <row r="298" spans="1:18" x14ac:dyDescent="0.35">
      <c r="A298" s="14">
        <v>2728</v>
      </c>
      <c r="B298" s="6">
        <v>0.75</v>
      </c>
      <c r="C298" s="6">
        <v>6000000</v>
      </c>
      <c r="D298" s="6">
        <v>15</v>
      </c>
      <c r="E298" s="6">
        <v>0.125</v>
      </c>
      <c r="F298" s="6">
        <v>0.15</v>
      </c>
      <c r="G298" s="11">
        <f>(C298*$V$4)/($V$5*$V$3)</f>
        <v>88.16326530612244</v>
      </c>
      <c r="H298" s="11">
        <f>G298*COS(RADIANS(D298))</f>
        <v>85.159174889158663</v>
      </c>
      <c r="I298" s="11">
        <f>G298*SIN(RADIANS(D298))</f>
        <v>22.818332139650806</v>
      </c>
      <c r="J298" s="19">
        <v>0.2802</v>
      </c>
      <c r="K298" s="11">
        <v>19</v>
      </c>
      <c r="L298" s="11">
        <f>-(F298*G298*$V$3)/J298</f>
        <v>-47.196608836253979</v>
      </c>
      <c r="M298" s="11">
        <f>ABS(L298/$V$6)</f>
        <v>0.1375994426712944</v>
      </c>
      <c r="N298" s="11">
        <f>L298*SIN(RADIANS(K298))</f>
        <v>-15.365712835455541</v>
      </c>
      <c r="O298" s="11">
        <f>L298*COS(RADIANS(K298))</f>
        <v>-44.625270359972994</v>
      </c>
      <c r="P298" s="1">
        <v>4.4254167449525159</v>
      </c>
      <c r="Q298" s="1">
        <v>0.58854218455291896</v>
      </c>
      <c r="R298" s="1">
        <f>P298/Q298</f>
        <v>7.5192855518321871</v>
      </c>
    </row>
    <row r="299" spans="1:18" x14ac:dyDescent="0.35">
      <c r="A299" s="14">
        <v>2603</v>
      </c>
      <c r="B299" s="6">
        <v>1</v>
      </c>
      <c r="C299" s="6">
        <v>6000000</v>
      </c>
      <c r="D299" s="6">
        <v>15</v>
      </c>
      <c r="E299" s="6">
        <v>0.25</v>
      </c>
      <c r="F299" s="6">
        <v>7.4999999999999997E-2</v>
      </c>
      <c r="G299" s="11">
        <f>(C299*$V$4)/($V$5*$V$3)</f>
        <v>88.16326530612244</v>
      </c>
      <c r="H299" s="11">
        <f>G299*COS(RADIANS(D299))</f>
        <v>85.159174889158663</v>
      </c>
      <c r="I299" s="11">
        <f>G299*SIN(RADIANS(D299))</f>
        <v>22.818332139650806</v>
      </c>
      <c r="J299" s="13">
        <v>0.33379999999999999</v>
      </c>
      <c r="K299" s="12">
        <v>30</v>
      </c>
      <c r="L299" s="11">
        <f>-(F299*G299*$V$3)/J299</f>
        <v>-19.809002090950219</v>
      </c>
      <c r="M299" s="11">
        <f>ABS(L299/$V$6)</f>
        <v>5.7752192684986062E-2</v>
      </c>
      <c r="N299" s="11">
        <f>L299*SIN(RADIANS(K299))</f>
        <v>-9.9045010454751079</v>
      </c>
      <c r="O299" s="11">
        <f>L299*COS(RADIANS(K299))</f>
        <v>-17.155099034381955</v>
      </c>
      <c r="P299" s="1">
        <v>4.8061026048208522</v>
      </c>
      <c r="Q299" s="1">
        <v>0.36487165039766106</v>
      </c>
      <c r="R299" s="1">
        <f>P299/Q299</f>
        <v>13.172036247767801</v>
      </c>
    </row>
    <row r="300" spans="1:18" x14ac:dyDescent="0.35">
      <c r="A300" s="14">
        <v>2526</v>
      </c>
      <c r="B300" s="6">
        <v>0.75</v>
      </c>
      <c r="C300" s="6">
        <v>6000000</v>
      </c>
      <c r="D300" s="6">
        <v>0</v>
      </c>
      <c r="E300" s="6">
        <v>0.25</v>
      </c>
      <c r="F300" s="6">
        <v>0.15</v>
      </c>
      <c r="G300" s="11">
        <f>(C300*$V$4)/($V$5*$V$3)</f>
        <v>88.16326530612244</v>
      </c>
      <c r="H300" s="11">
        <f>G300*COS(RADIANS(D300))</f>
        <v>88.16326530612244</v>
      </c>
      <c r="I300" s="11">
        <f>G300*SIN(RADIANS(D300))</f>
        <v>0</v>
      </c>
      <c r="J300" s="19">
        <v>0.28370000000000001</v>
      </c>
      <c r="K300" s="20">
        <v>38</v>
      </c>
      <c r="L300" s="11">
        <f>-(F300*G300*$V$3)/J300</f>
        <v>-46.614345420931848</v>
      </c>
      <c r="M300" s="11">
        <f>ABS(L300/$V$6)</f>
        <v>0.13590188169367887</v>
      </c>
      <c r="N300" s="11">
        <f>L300*SIN(RADIANS(K300))</f>
        <v>-28.698656673190744</v>
      </c>
      <c r="O300" s="11">
        <f>L300*COS(RADIANS(K300))</f>
        <v>-36.732605464032552</v>
      </c>
      <c r="P300" s="1">
        <v>4.5053321921445795</v>
      </c>
      <c r="Q300" s="1">
        <v>-0.47733340827855231</v>
      </c>
      <c r="R300" s="1">
        <f>P300/Q300</f>
        <v>-9.4385436133467771</v>
      </c>
    </row>
    <row r="301" spans="1:18" x14ac:dyDescent="0.35">
      <c r="A301" s="14">
        <v>2605</v>
      </c>
      <c r="B301" s="6">
        <v>0.25</v>
      </c>
      <c r="C301" s="6">
        <v>4000000</v>
      </c>
      <c r="D301" s="6">
        <v>0</v>
      </c>
      <c r="E301" s="6">
        <v>0.125</v>
      </c>
      <c r="F301" s="6">
        <v>0</v>
      </c>
      <c r="G301" s="11">
        <f>(C301*$V$4)/($V$5*$V$3)</f>
        <v>58.775510204081627</v>
      </c>
      <c r="H301" s="11">
        <f>G301*COS(RADIANS(D301))</f>
        <v>58.775510204081627</v>
      </c>
      <c r="I301" s="11">
        <f>G301*SIN(RADIANS(D301))</f>
        <v>0</v>
      </c>
      <c r="J301" s="11">
        <v>0.19020000000000001</v>
      </c>
      <c r="K301" s="11">
        <v>46</v>
      </c>
      <c r="L301" s="11">
        <f>-(F301*G301*$V$3)/J301</f>
        <v>0</v>
      </c>
      <c r="M301" s="11">
        <f>ABS(L301/$V$6)</f>
        <v>0</v>
      </c>
      <c r="N301" s="11">
        <f>L301*SIN(RADIANS(K301))</f>
        <v>0</v>
      </c>
      <c r="O301" s="11">
        <f>L301*COS(RADIANS(K301))</f>
        <v>0</v>
      </c>
      <c r="P301" s="1">
        <v>2.2900230907524635</v>
      </c>
      <c r="Q301" s="1">
        <v>0.26452812808354431</v>
      </c>
      <c r="R301" s="1">
        <f>P301/Q301</f>
        <v>8.6570116658037186</v>
      </c>
    </row>
    <row r="302" spans="1:18" x14ac:dyDescent="0.35">
      <c r="A302" s="14">
        <v>2606</v>
      </c>
      <c r="B302" s="6">
        <v>0.1</v>
      </c>
      <c r="C302" s="6">
        <v>6000000</v>
      </c>
      <c r="D302" s="6">
        <v>20</v>
      </c>
      <c r="E302" s="6">
        <v>0</v>
      </c>
      <c r="F302" s="6">
        <v>0</v>
      </c>
      <c r="G302" s="11">
        <f>(C302*$V$4)/($V$5*$V$3)</f>
        <v>88.16326530612244</v>
      </c>
      <c r="H302" s="11">
        <f>G302*COS(RADIANS(D302))</f>
        <v>82.846369832553549</v>
      </c>
      <c r="I302" s="11">
        <f>G302*SIN(RADIANS(D302))</f>
        <v>30.153612636058952</v>
      </c>
      <c r="J302" s="11">
        <v>0.16569999999999999</v>
      </c>
      <c r="K302" s="12">
        <v>0</v>
      </c>
      <c r="L302" s="11">
        <f>-(F302*G302*$V$3)/J302</f>
        <v>0</v>
      </c>
      <c r="M302" s="11">
        <f>ABS(L302/$V$6)</f>
        <v>0</v>
      </c>
      <c r="N302" s="11">
        <f>L302*SIN(RADIANS(K302))</f>
        <v>0</v>
      </c>
      <c r="O302" s="11">
        <f>L302*COS(RADIANS(K302))</f>
        <v>0</v>
      </c>
      <c r="P302" s="1">
        <v>1.1367646475770203</v>
      </c>
      <c r="Q302" s="1">
        <v>0.66723228008171309</v>
      </c>
      <c r="R302" s="1">
        <f>P302/Q302</f>
        <v>1.7037015167158964</v>
      </c>
    </row>
    <row r="303" spans="1:18" x14ac:dyDescent="0.35">
      <c r="A303" s="14">
        <v>2607</v>
      </c>
      <c r="B303" s="6">
        <v>0.25</v>
      </c>
      <c r="C303" s="6">
        <v>6000000</v>
      </c>
      <c r="D303" s="6">
        <v>0</v>
      </c>
      <c r="E303" s="6">
        <v>0.375</v>
      </c>
      <c r="F303" s="6">
        <v>0</v>
      </c>
      <c r="G303" s="11">
        <f>(C303*$V$4)/($V$5*$V$3)</f>
        <v>88.16326530612244</v>
      </c>
      <c r="H303" s="11">
        <f>G303*COS(RADIANS(D303))</f>
        <v>88.16326530612244</v>
      </c>
      <c r="I303" s="11">
        <f>G303*SIN(RADIANS(D303))</f>
        <v>0</v>
      </c>
      <c r="J303" s="11">
        <v>0.1976</v>
      </c>
      <c r="K303" s="12">
        <v>78</v>
      </c>
      <c r="L303" s="11">
        <f>-(F303*G303*$V$3)/J303</f>
        <v>0</v>
      </c>
      <c r="M303" s="11">
        <f>ABS(L303/$V$6)</f>
        <v>0</v>
      </c>
      <c r="N303" s="11">
        <f>L303*SIN(RADIANS(K303))</f>
        <v>0</v>
      </c>
      <c r="O303" s="11">
        <f>L303*COS(RADIANS(K303))</f>
        <v>0</v>
      </c>
      <c r="P303" s="1">
        <v>2.697120667570541</v>
      </c>
      <c r="Q303" s="1">
        <v>0.29584131700465177</v>
      </c>
      <c r="R303" s="1">
        <f>P303/Q303</f>
        <v>9.1167815735762563</v>
      </c>
    </row>
    <row r="304" spans="1:18" x14ac:dyDescent="0.35">
      <c r="A304" s="14">
        <v>2608</v>
      </c>
      <c r="B304" s="6">
        <v>0.5</v>
      </c>
      <c r="C304" s="6">
        <v>6000000</v>
      </c>
      <c r="D304" s="6">
        <v>20</v>
      </c>
      <c r="E304" s="6">
        <v>0</v>
      </c>
      <c r="F304" s="6">
        <v>3.5000000000000003E-2</v>
      </c>
      <c r="G304" s="11">
        <f>(C304*$V$4)/($V$5*$V$3)</f>
        <v>88.16326530612244</v>
      </c>
      <c r="H304" s="11">
        <f>G304*COS(RADIANS(D304))</f>
        <v>82.846369832553549</v>
      </c>
      <c r="I304" s="11">
        <f>G304*SIN(RADIANS(D304))</f>
        <v>30.153612636058952</v>
      </c>
      <c r="J304" s="12">
        <v>0.23230000000000001</v>
      </c>
      <c r="K304" s="11">
        <v>0</v>
      </c>
      <c r="L304" s="11">
        <f>-(F304*G304*$V$3)/J304</f>
        <v>-13.283315909230675</v>
      </c>
      <c r="M304" s="11">
        <f>ABS(L304/$V$6)</f>
        <v>3.8726868540031122E-2</v>
      </c>
      <c r="N304" s="11">
        <f>L304*SIN(RADIANS(K304))</f>
        <v>0</v>
      </c>
      <c r="O304" s="11">
        <f>L304*COS(RADIANS(K304))</f>
        <v>-13.283315909230675</v>
      </c>
      <c r="P304" s="1">
        <v>2.9423670773995796</v>
      </c>
      <c r="Q304" s="1">
        <v>0.9204632144866074</v>
      </c>
      <c r="R304" s="1">
        <f>P304/Q304</f>
        <v>3.1966156073284235</v>
      </c>
    </row>
    <row r="305" spans="1:18" x14ac:dyDescent="0.35">
      <c r="A305" s="14">
        <v>2609</v>
      </c>
      <c r="B305" s="6">
        <v>0.25</v>
      </c>
      <c r="C305" s="6">
        <v>6000000</v>
      </c>
      <c r="D305" s="6">
        <v>0</v>
      </c>
      <c r="E305" s="6">
        <v>0.375</v>
      </c>
      <c r="F305" s="6">
        <v>1.4999999999999999E-2</v>
      </c>
      <c r="G305" s="11">
        <f>(C305*$V$4)/($V$5*$V$3)</f>
        <v>88.16326530612244</v>
      </c>
      <c r="H305" s="11">
        <f>G305*COS(RADIANS(D305))</f>
        <v>88.16326530612244</v>
      </c>
      <c r="I305" s="11">
        <f>G305*SIN(RADIANS(D305))</f>
        <v>0</v>
      </c>
      <c r="J305" s="11">
        <v>0.1976</v>
      </c>
      <c r="K305" s="12">
        <v>78</v>
      </c>
      <c r="L305" s="11">
        <f>-(F305*G305*$V$3)/J305</f>
        <v>-6.6925555647360149</v>
      </c>
      <c r="M305" s="11">
        <f>ABS(L305/$V$6)</f>
        <v>1.9511823803895087E-2</v>
      </c>
      <c r="N305" s="11">
        <f>L305*SIN(RADIANS(K305))</f>
        <v>-6.546307168424212</v>
      </c>
      <c r="O305" s="11">
        <f>L305*COS(RADIANS(K305))</f>
        <v>-1.3914605433560698</v>
      </c>
      <c r="P305" s="1">
        <v>2.1433992013589958</v>
      </c>
      <c r="Q305" s="1">
        <v>0.20955545997069569</v>
      </c>
      <c r="R305" s="1">
        <f>P305/Q305</f>
        <v>10.228314746171392</v>
      </c>
    </row>
    <row r="306" spans="1:18" x14ac:dyDescent="0.35">
      <c r="A306" s="14">
        <v>2610</v>
      </c>
      <c r="B306" s="6">
        <v>0.25</v>
      </c>
      <c r="C306" s="6">
        <v>2000000</v>
      </c>
      <c r="D306" s="6">
        <v>30</v>
      </c>
      <c r="E306" s="6">
        <v>0</v>
      </c>
      <c r="F306" s="6">
        <v>1.4999999999999999E-2</v>
      </c>
      <c r="G306" s="11">
        <f>(C306*$V$4)/($V$5*$V$3)</f>
        <v>29.387755102040813</v>
      </c>
      <c r="H306" s="11">
        <f>G306*COS(RADIANS(D306))</f>
        <v>25.450542478563094</v>
      </c>
      <c r="I306" s="11">
        <f>G306*SIN(RADIANS(D306))</f>
        <v>14.693877551020405</v>
      </c>
      <c r="J306" s="12">
        <v>0.18990000000000001</v>
      </c>
      <c r="K306" s="11">
        <v>0</v>
      </c>
      <c r="L306" s="11">
        <f>-(F306*G306*$V$3)/J306</f>
        <v>-2.321307669987426</v>
      </c>
      <c r="M306" s="11">
        <f>ABS(L306/$V$6)</f>
        <v>6.7676608454443907E-3</v>
      </c>
      <c r="N306" s="11">
        <f>L306*SIN(RADIANS(K306))</f>
        <v>0</v>
      </c>
      <c r="O306" s="11">
        <f>L306*COS(RADIANS(K306))</f>
        <v>-2.321307669987426</v>
      </c>
      <c r="P306" s="1">
        <v>2.0505921128391726</v>
      </c>
      <c r="Q306" s="1">
        <v>0.86791112044234187</v>
      </c>
      <c r="R306" s="1">
        <f>P306/Q306</f>
        <v>2.3626752377525277</v>
      </c>
    </row>
    <row r="307" spans="1:18" x14ac:dyDescent="0.35">
      <c r="A307" s="14">
        <v>2611</v>
      </c>
      <c r="B307" s="6">
        <v>1</v>
      </c>
      <c r="C307" s="6">
        <v>4000000</v>
      </c>
      <c r="D307" s="6">
        <v>0</v>
      </c>
      <c r="E307" s="6">
        <v>0.125</v>
      </c>
      <c r="F307" s="6">
        <v>7.4999999999999997E-2</v>
      </c>
      <c r="G307" s="11">
        <f>(C307*$V$4)/($V$5*$V$3)</f>
        <v>58.775510204081627</v>
      </c>
      <c r="H307" s="11">
        <f>G307*COS(RADIANS(D307))</f>
        <v>58.775510204081627</v>
      </c>
      <c r="I307" s="11">
        <f>G307*SIN(RADIANS(D307))</f>
        <v>0</v>
      </c>
      <c r="J307" s="11">
        <v>0.33379999999999999</v>
      </c>
      <c r="K307" s="12">
        <v>14</v>
      </c>
      <c r="L307" s="11">
        <f>-(F307*G307*$V$3)/J307</f>
        <v>-13.206001393966813</v>
      </c>
      <c r="M307" s="11">
        <f>ABS(L307/$V$6)</f>
        <v>3.8501461789990712E-2</v>
      </c>
      <c r="N307" s="11">
        <f>L307*SIN(RADIANS(K307))</f>
        <v>-3.1948208905203059</v>
      </c>
      <c r="O307" s="11">
        <f>L307*COS(RADIANS(K307))</f>
        <v>-12.81372671376085</v>
      </c>
      <c r="P307" s="1">
        <v>3.0050092437112066</v>
      </c>
      <c r="Q307" s="1">
        <v>0.56596311863464488</v>
      </c>
      <c r="R307" s="1">
        <f>P307/Q307</f>
        <v>5.3095495886032777</v>
      </c>
    </row>
    <row r="308" spans="1:18" x14ac:dyDescent="0.35">
      <c r="A308" s="14">
        <v>2565</v>
      </c>
      <c r="B308" s="6">
        <v>0.75</v>
      </c>
      <c r="C308" s="6">
        <v>6000000</v>
      </c>
      <c r="D308" s="6">
        <v>5</v>
      </c>
      <c r="E308" s="6">
        <v>0.25</v>
      </c>
      <c r="F308" s="6">
        <v>0.15</v>
      </c>
      <c r="G308" s="11">
        <f>(C308*$V$4)/($V$5*$V$3)</f>
        <v>88.16326530612244</v>
      </c>
      <c r="H308" s="11">
        <f>G308*COS(RADIANS(D308))</f>
        <v>87.827777464415107</v>
      </c>
      <c r="I308" s="11">
        <f>G308*SIN(RADIANS(D308))</f>
        <v>7.6839348708139434</v>
      </c>
      <c r="J308" s="19">
        <v>0.28370000000000001</v>
      </c>
      <c r="K308" s="20">
        <v>38</v>
      </c>
      <c r="L308" s="11">
        <f>-(F308*G308*$V$3)/J308</f>
        <v>-46.614345420931848</v>
      </c>
      <c r="M308" s="11">
        <f>ABS(L308/$V$6)</f>
        <v>0.13590188169367887</v>
      </c>
      <c r="N308" s="11">
        <f>L308*SIN(RADIANS(K308))</f>
        <v>-28.698656673190744</v>
      </c>
      <c r="O308" s="11">
        <f>L308*COS(RADIANS(K308))</f>
        <v>-36.732605464032552</v>
      </c>
      <c r="P308" s="1">
        <v>4.6502322724552796</v>
      </c>
      <c r="Q308" s="1">
        <v>-0.21355699941402725</v>
      </c>
      <c r="R308" s="1">
        <f>P308/Q308</f>
        <v>-21.775133969923321</v>
      </c>
    </row>
    <row r="309" spans="1:18" x14ac:dyDescent="0.35">
      <c r="A309" s="14">
        <v>2613</v>
      </c>
      <c r="B309" s="6">
        <v>1</v>
      </c>
      <c r="C309" s="6">
        <v>2000000</v>
      </c>
      <c r="D309" s="6">
        <v>15</v>
      </c>
      <c r="E309" s="6">
        <v>0.25</v>
      </c>
      <c r="F309" s="6">
        <v>0</v>
      </c>
      <c r="G309" s="11">
        <f>(C309*$V$4)/($V$5*$V$3)</f>
        <v>29.387755102040813</v>
      </c>
      <c r="H309" s="11">
        <f>G309*COS(RADIANS(D309))</f>
        <v>28.386391629719554</v>
      </c>
      <c r="I309" s="11">
        <f>G309*SIN(RADIANS(D309))</f>
        <v>7.6061107132169354</v>
      </c>
      <c r="J309" s="13">
        <v>0.33379999999999999</v>
      </c>
      <c r="K309" s="12">
        <v>30</v>
      </c>
      <c r="L309" s="11">
        <f>-(F309*G309*$V$3)/J309</f>
        <v>0</v>
      </c>
      <c r="M309" s="11">
        <f>ABS(L309/$V$6)</f>
        <v>0</v>
      </c>
      <c r="N309" s="11">
        <f>L309*SIN(RADIANS(K309))</f>
        <v>0</v>
      </c>
      <c r="O309" s="11">
        <f>L309*COS(RADIANS(K309))</f>
        <v>0</v>
      </c>
      <c r="P309" s="1">
        <v>6.4152155064855325</v>
      </c>
      <c r="Q309" s="1">
        <v>2.0528340172181165</v>
      </c>
      <c r="R309" s="1">
        <f>P309/Q309</f>
        <v>3.125053196058718</v>
      </c>
    </row>
    <row r="310" spans="1:18" x14ac:dyDescent="0.35">
      <c r="A310" s="14">
        <v>2614</v>
      </c>
      <c r="B310" s="6">
        <v>0.1</v>
      </c>
      <c r="C310" s="6">
        <v>6000000</v>
      </c>
      <c r="D310" s="6">
        <v>30</v>
      </c>
      <c r="E310" s="6">
        <v>0</v>
      </c>
      <c r="F310" s="6">
        <v>1.4999999999999999E-2</v>
      </c>
      <c r="G310" s="11">
        <f>(C310*$V$4)/($V$5*$V$3)</f>
        <v>88.16326530612244</v>
      </c>
      <c r="H310" s="11">
        <f>G310*COS(RADIANS(D310))</f>
        <v>76.351627435689281</v>
      </c>
      <c r="I310" s="11">
        <f>G310*SIN(RADIANS(D310))</f>
        <v>44.081632653061213</v>
      </c>
      <c r="J310" s="11">
        <v>0.16569999999999999</v>
      </c>
      <c r="K310" s="12">
        <v>0</v>
      </c>
      <c r="L310" s="11">
        <f>-(F310*G310*$V$3)/J310</f>
        <v>-7.980983582328526</v>
      </c>
      <c r="M310" s="11">
        <f>ABS(L310/$V$6)</f>
        <v>2.3268173709412612E-2</v>
      </c>
      <c r="N310" s="11">
        <f>L310*SIN(RADIANS(K310))</f>
        <v>0</v>
      </c>
      <c r="O310" s="11">
        <f>L310*COS(RADIANS(K310))</f>
        <v>-7.980983582328526</v>
      </c>
      <c r="P310" s="1">
        <v>0.88739875744627184</v>
      </c>
      <c r="Q310" s="1">
        <v>0.779985429806208</v>
      </c>
      <c r="R310" s="1">
        <f>P310/Q310</f>
        <v>1.1377119668334719</v>
      </c>
    </row>
    <row r="311" spans="1:18" x14ac:dyDescent="0.35">
      <c r="A311" s="14">
        <v>2826</v>
      </c>
      <c r="B311" s="6">
        <v>0.75</v>
      </c>
      <c r="C311" s="6">
        <v>6000000</v>
      </c>
      <c r="D311" s="6">
        <v>10</v>
      </c>
      <c r="E311" s="6">
        <v>0.25</v>
      </c>
      <c r="F311" s="6">
        <v>0.15</v>
      </c>
      <c r="G311" s="11">
        <f>(C311*$V$4)/($V$5*$V$3)</f>
        <v>88.16326530612244</v>
      </c>
      <c r="H311" s="11">
        <f>G311*COS(RADIANS(D311))</f>
        <v>86.823867204341596</v>
      </c>
      <c r="I311" s="11">
        <f>G311*SIN(RADIANS(D311))</f>
        <v>15.309390357574264</v>
      </c>
      <c r="J311" s="12">
        <v>0.28370000000000001</v>
      </c>
      <c r="K311" s="11">
        <v>38</v>
      </c>
      <c r="L311" s="11">
        <f>-(F311*G311*$V$3)/J311</f>
        <v>-46.614345420931848</v>
      </c>
      <c r="M311" s="11">
        <f>ABS(L311/$V$6)</f>
        <v>0.13590188169367887</v>
      </c>
      <c r="N311" s="11">
        <f>L311*SIN(RADIANS(K311))</f>
        <v>-28.698656673190744</v>
      </c>
      <c r="O311" s="11">
        <f>L311*COS(RADIANS(K311))</f>
        <v>-36.732605464032552</v>
      </c>
      <c r="P311" s="1">
        <v>4.7629671611663378</v>
      </c>
      <c r="Q311" s="1">
        <v>0.13178482952652912</v>
      </c>
      <c r="R311" s="1">
        <f>P311/Q311</f>
        <v>36.141998880133031</v>
      </c>
    </row>
    <row r="312" spans="1:18" x14ac:dyDescent="0.35">
      <c r="A312" s="14">
        <v>2616</v>
      </c>
      <c r="B312" s="6">
        <v>0.5</v>
      </c>
      <c r="C312" s="6">
        <v>2000000</v>
      </c>
      <c r="D312" s="6">
        <v>0</v>
      </c>
      <c r="E312" s="6">
        <v>0.125</v>
      </c>
      <c r="F312" s="6">
        <v>1.4999999999999999E-2</v>
      </c>
      <c r="G312" s="11">
        <f>(C312*$V$4)/($V$5*$V$3)</f>
        <v>29.387755102040813</v>
      </c>
      <c r="H312" s="11">
        <f>G312*COS(RADIANS(D312))</f>
        <v>29.387755102040813</v>
      </c>
      <c r="I312" s="11">
        <f>G312*SIN(RADIANS(D312))</f>
        <v>0</v>
      </c>
      <c r="J312" s="12">
        <v>0.23300000000000001</v>
      </c>
      <c r="K312" s="11">
        <v>27</v>
      </c>
      <c r="L312" s="11">
        <f>-(F312*G312*$V$3)/J312</f>
        <v>-1.8919155645090651</v>
      </c>
      <c r="M312" s="11">
        <f>ABS(L312/$V$6)</f>
        <v>5.5157888178106853E-3</v>
      </c>
      <c r="N312" s="11">
        <f>L312*SIN(RADIANS(K312))</f>
        <v>-0.85891169259649713</v>
      </c>
      <c r="O312" s="11">
        <f>L312*COS(RADIANS(K312))</f>
        <v>-1.685709111191096</v>
      </c>
      <c r="P312" s="1">
        <v>3.5541695370908215</v>
      </c>
      <c r="Q312" s="1">
        <v>0.20597032907986118</v>
      </c>
      <c r="R312" s="1">
        <f>P312/Q312</f>
        <v>17.255735585647184</v>
      </c>
    </row>
    <row r="313" spans="1:18" x14ac:dyDescent="0.35">
      <c r="A313" s="14">
        <v>2617</v>
      </c>
      <c r="B313" s="6">
        <v>0.75</v>
      </c>
      <c r="C313" s="6">
        <v>4000000</v>
      </c>
      <c r="D313" s="6">
        <v>10</v>
      </c>
      <c r="E313" s="6">
        <v>0.125</v>
      </c>
      <c r="F313" s="6">
        <v>7.4999999999999997E-2</v>
      </c>
      <c r="G313" s="11">
        <f>(C313*$V$4)/($V$5*$V$3)</f>
        <v>58.775510204081627</v>
      </c>
      <c r="H313" s="11">
        <f>G313*COS(RADIANS(D313))</f>
        <v>57.882578136227728</v>
      </c>
      <c r="I313" s="11">
        <f>G313*SIN(RADIANS(D313))</f>
        <v>10.206260238382843</v>
      </c>
      <c r="J313" s="12">
        <v>0.2802</v>
      </c>
      <c r="K313" s="11">
        <v>19</v>
      </c>
      <c r="L313" s="11">
        <f>-(F313*G313*$V$3)/J313</f>
        <v>-15.732202945417994</v>
      </c>
      <c r="M313" s="11">
        <f>ABS(L313/$V$6)</f>
        <v>4.5866480890431466E-2</v>
      </c>
      <c r="N313" s="11">
        <f>L313*SIN(RADIANS(K313))</f>
        <v>-5.1219042784851814</v>
      </c>
      <c r="O313" s="11">
        <f>L313*COS(RADIANS(K313))</f>
        <v>-14.875090119990999</v>
      </c>
      <c r="P313" s="1">
        <v>6.3307859488382849</v>
      </c>
      <c r="Q313" s="1">
        <v>0.38413165118822368</v>
      </c>
      <c r="R313" s="1">
        <f>P313/Q313</f>
        <v>16.480771447120908</v>
      </c>
    </row>
    <row r="314" spans="1:18" x14ac:dyDescent="0.35">
      <c r="A314" s="14">
        <v>2618</v>
      </c>
      <c r="B314" s="6">
        <v>0.1</v>
      </c>
      <c r="C314" s="6">
        <v>2000000</v>
      </c>
      <c r="D314" s="6">
        <v>5</v>
      </c>
      <c r="E314" s="6">
        <v>0.125</v>
      </c>
      <c r="F314" s="6">
        <v>0.05</v>
      </c>
      <c r="G314" s="11">
        <f>(C314*$V$4)/($V$5*$V$3)</f>
        <v>29.387755102040813</v>
      </c>
      <c r="H314" s="11">
        <f>G314*COS(RADIANS(D314))</f>
        <v>29.275925821471702</v>
      </c>
      <c r="I314" s="11">
        <f>G314*SIN(RADIANS(D314))</f>
        <v>2.5613116236046478</v>
      </c>
      <c r="J314" s="12">
        <v>0.1658</v>
      </c>
      <c r="K314" s="11">
        <v>69</v>
      </c>
      <c r="L314" s="11">
        <f>-(F314*G314*$V$3)/J314</f>
        <v>-8.8624110681667112</v>
      </c>
      <c r="M314" s="11">
        <f>ABS(L314/$V$6)</f>
        <v>2.5837933143343182E-2</v>
      </c>
      <c r="N314" s="11">
        <f>L314*SIN(RADIANS(K314))</f>
        <v>-8.2737735048125991</v>
      </c>
      <c r="O314" s="11">
        <f>L314*COS(RADIANS(K314))</f>
        <v>-3.1760040825264797</v>
      </c>
      <c r="P314" s="1">
        <v>1.4213211692304732</v>
      </c>
      <c r="Q314" s="1">
        <v>0.33400902806388472</v>
      </c>
      <c r="R314" s="1">
        <f>P314/Q314</f>
        <v>4.255337580152541</v>
      </c>
    </row>
    <row r="315" spans="1:18" x14ac:dyDescent="0.35">
      <c r="A315" s="14">
        <v>2619</v>
      </c>
      <c r="B315" s="6">
        <v>0.25</v>
      </c>
      <c r="C315" s="6">
        <v>2000000</v>
      </c>
      <c r="D315" s="6">
        <v>0</v>
      </c>
      <c r="E315" s="6">
        <v>0</v>
      </c>
      <c r="F315" s="6">
        <v>0.05</v>
      </c>
      <c r="G315" s="11">
        <f>(C315*$V$4)/($V$5*$V$3)</f>
        <v>29.387755102040813</v>
      </c>
      <c r="H315" s="11">
        <f>G315*COS(RADIANS(D315))</f>
        <v>29.387755102040813</v>
      </c>
      <c r="I315" s="11">
        <f>G315*SIN(RADIANS(D315))</f>
        <v>0</v>
      </c>
      <c r="J315" s="12">
        <v>0.18990000000000001</v>
      </c>
      <c r="K315" s="11">
        <v>0</v>
      </c>
      <c r="L315" s="11">
        <f>-(F315*G315*$V$3)/J315</f>
        <v>-7.73769223329142</v>
      </c>
      <c r="M315" s="11">
        <f>ABS(L315/$V$6)</f>
        <v>2.2558869484814635E-2</v>
      </c>
      <c r="N315" s="11">
        <f>L315*SIN(RADIANS(K315))</f>
        <v>0</v>
      </c>
      <c r="O315" s="11">
        <f>L315*COS(RADIANS(K315))</f>
        <v>-7.73769223329142</v>
      </c>
      <c r="P315" s="1">
        <v>2.0868560281116602</v>
      </c>
      <c r="Q315" s="1">
        <v>0.16677216418380383</v>
      </c>
      <c r="R315" s="1">
        <f>P315/Q315</f>
        <v>12.513215489676581</v>
      </c>
    </row>
    <row r="316" spans="1:18" x14ac:dyDescent="0.35">
      <c r="A316" s="14">
        <v>2620</v>
      </c>
      <c r="B316" s="6">
        <v>0.25</v>
      </c>
      <c r="C316" s="6">
        <v>2000000</v>
      </c>
      <c r="D316" s="6">
        <v>20</v>
      </c>
      <c r="E316" s="6">
        <v>0.375</v>
      </c>
      <c r="F316" s="6">
        <v>7.4999999999999997E-2</v>
      </c>
      <c r="G316" s="11">
        <f>(C316*$V$4)/($V$5*$V$3)</f>
        <v>29.387755102040813</v>
      </c>
      <c r="H316" s="11">
        <f>G316*COS(RADIANS(D316))</f>
        <v>27.615456610851183</v>
      </c>
      <c r="I316" s="11">
        <f>G316*SIN(RADIANS(D316))</f>
        <v>10.051204212019652</v>
      </c>
      <c r="J316" s="11">
        <v>0.1976</v>
      </c>
      <c r="K316" s="12">
        <v>78</v>
      </c>
      <c r="L316" s="11">
        <f>-(F316*G316*$V$3)/J316</f>
        <v>-11.154259274560026</v>
      </c>
      <c r="M316" s="11">
        <f>ABS(L316/$V$6)</f>
        <v>3.251970633982515E-2</v>
      </c>
      <c r="N316" s="11">
        <f>L316*SIN(RADIANS(K316))</f>
        <v>-10.910511947373688</v>
      </c>
      <c r="O316" s="11">
        <f>L316*COS(RADIANS(K316))</f>
        <v>-2.3191009055934502</v>
      </c>
      <c r="P316" s="1">
        <v>2.6593821739021659</v>
      </c>
      <c r="Q316" s="1">
        <v>0.62209672215427925</v>
      </c>
      <c r="R316" s="1">
        <f>P316/Q316</f>
        <v>4.2748692915354125</v>
      </c>
    </row>
    <row r="317" spans="1:18" x14ac:dyDescent="0.35">
      <c r="A317" s="14">
        <v>2621</v>
      </c>
      <c r="B317" s="6">
        <v>1</v>
      </c>
      <c r="C317" s="6">
        <v>6000000</v>
      </c>
      <c r="D317" s="6">
        <v>0</v>
      </c>
      <c r="E317" s="6">
        <v>0.25</v>
      </c>
      <c r="F317" s="6">
        <v>0</v>
      </c>
      <c r="G317" s="11">
        <f>(C317*$V$4)/($V$5*$V$3)</f>
        <v>88.16326530612244</v>
      </c>
      <c r="H317" s="11">
        <f>G317*COS(RADIANS(D317))</f>
        <v>88.16326530612244</v>
      </c>
      <c r="I317" s="11">
        <f>G317*SIN(RADIANS(D317))</f>
        <v>0</v>
      </c>
      <c r="J317" s="13">
        <v>0.33379999999999999</v>
      </c>
      <c r="K317" s="12">
        <v>30</v>
      </c>
      <c r="L317" s="11">
        <f>-(F317*G317*$V$3)/J317</f>
        <v>0</v>
      </c>
      <c r="M317" s="11">
        <f>ABS(L317/$V$6)</f>
        <v>0</v>
      </c>
      <c r="N317" s="11">
        <f>L317*SIN(RADIANS(K317))</f>
        <v>0</v>
      </c>
      <c r="O317" s="11">
        <f>L317*COS(RADIANS(K317))</f>
        <v>0</v>
      </c>
      <c r="P317" s="1">
        <v>6.8850343628067803</v>
      </c>
      <c r="Q317" s="1">
        <v>0.7220030618556561</v>
      </c>
      <c r="R317" s="1">
        <f>P317/Q317</f>
        <v>9.536018233927166</v>
      </c>
    </row>
    <row r="318" spans="1:18" x14ac:dyDescent="0.35">
      <c r="A318" s="14">
        <v>2622</v>
      </c>
      <c r="B318" s="6">
        <v>1</v>
      </c>
      <c r="C318" s="6">
        <v>6000000</v>
      </c>
      <c r="D318" s="6">
        <v>0</v>
      </c>
      <c r="E318" s="6">
        <v>0.125</v>
      </c>
      <c r="F318" s="6">
        <v>0</v>
      </c>
      <c r="G318" s="11">
        <f>(C318*$V$4)/($V$5*$V$3)</f>
        <v>88.16326530612244</v>
      </c>
      <c r="H318" s="11">
        <f>G318*COS(RADIANS(D318))</f>
        <v>88.16326530612244</v>
      </c>
      <c r="I318" s="11">
        <f>G318*SIN(RADIANS(D318))</f>
        <v>0</v>
      </c>
      <c r="J318" s="11">
        <v>0.33379999999999999</v>
      </c>
      <c r="K318" s="12">
        <v>14</v>
      </c>
      <c r="L318" s="11">
        <f>-(F318*G318*$V$3)/J318</f>
        <v>0</v>
      </c>
      <c r="M318" s="11">
        <f>ABS(L318/$V$6)</f>
        <v>0</v>
      </c>
      <c r="N318" s="11">
        <f>L318*SIN(RADIANS(K318))</f>
        <v>0</v>
      </c>
      <c r="O318" s="11">
        <f>L318*COS(RADIANS(K318))</f>
        <v>0</v>
      </c>
      <c r="P318" s="1">
        <v>6.5259299798450758</v>
      </c>
      <c r="Q318" s="1">
        <v>1.1107497844884051</v>
      </c>
      <c r="R318" s="1">
        <f>P318/Q318</f>
        <v>5.8752475768886354</v>
      </c>
    </row>
    <row r="319" spans="1:18" x14ac:dyDescent="0.35">
      <c r="A319" s="14">
        <v>2623</v>
      </c>
      <c r="B319" s="6">
        <v>0.25</v>
      </c>
      <c r="C319" s="6">
        <v>2000000</v>
      </c>
      <c r="D319" s="6">
        <v>15</v>
      </c>
      <c r="E319" s="6">
        <v>0</v>
      </c>
      <c r="F319" s="6">
        <v>0</v>
      </c>
      <c r="G319" s="11">
        <f>(C319*$V$4)/($V$5*$V$3)</f>
        <v>29.387755102040813</v>
      </c>
      <c r="H319" s="11">
        <f>G319*COS(RADIANS(D319))</f>
        <v>28.386391629719554</v>
      </c>
      <c r="I319" s="11">
        <f>G319*SIN(RADIANS(D319))</f>
        <v>7.6061107132169354</v>
      </c>
      <c r="J319" s="12">
        <v>0.18990000000000001</v>
      </c>
      <c r="K319" s="11">
        <v>0</v>
      </c>
      <c r="L319" s="11">
        <f>-(F319*G319*$V$3)/J319</f>
        <v>0</v>
      </c>
      <c r="M319" s="11">
        <f>ABS(L319/$V$6)</f>
        <v>0</v>
      </c>
      <c r="N319" s="11">
        <f>L319*SIN(RADIANS(K319))</f>
        <v>0</v>
      </c>
      <c r="O319" s="11">
        <f>L319*COS(RADIANS(K319))</f>
        <v>0</v>
      </c>
      <c r="P319" s="1">
        <v>2.287696957942194</v>
      </c>
      <c r="Q319" s="1">
        <v>0.65849412961866183</v>
      </c>
      <c r="R319" s="1">
        <f>P319/Q319</f>
        <v>3.4741341722621186</v>
      </c>
    </row>
    <row r="320" spans="1:18" x14ac:dyDescent="0.35">
      <c r="A320" s="14">
        <v>2624</v>
      </c>
      <c r="B320" s="6">
        <v>0.5</v>
      </c>
      <c r="C320" s="6">
        <v>2000000</v>
      </c>
      <c r="D320" s="6">
        <v>5</v>
      </c>
      <c r="E320" s="6">
        <v>0.125</v>
      </c>
      <c r="F320" s="6">
        <v>3.5000000000000003E-2</v>
      </c>
      <c r="G320" s="11">
        <f>(C320*$V$4)/($V$5*$V$3)</f>
        <v>29.387755102040813</v>
      </c>
      <c r="H320" s="11">
        <f>G320*COS(RADIANS(D320))</f>
        <v>29.275925821471702</v>
      </c>
      <c r="I320" s="11">
        <f>G320*SIN(RADIANS(D320))</f>
        <v>2.5613116236046478</v>
      </c>
      <c r="J320" s="12">
        <v>0.23300000000000001</v>
      </c>
      <c r="K320" s="11">
        <v>27</v>
      </c>
      <c r="L320" s="11">
        <f>-(F320*G320*$V$3)/J320</f>
        <v>-4.414469650521152</v>
      </c>
      <c r="M320" s="11">
        <f>ABS(L320/$V$6)</f>
        <v>1.2870173908224933E-2</v>
      </c>
      <c r="N320" s="11">
        <f>L320*SIN(RADIANS(K320))</f>
        <v>-2.0041272827251602</v>
      </c>
      <c r="O320" s="11">
        <f>L320*COS(RADIANS(K320))</f>
        <v>-3.9333212594458908</v>
      </c>
      <c r="P320" s="1">
        <v>4.1478987609245586</v>
      </c>
      <c r="Q320" s="1">
        <v>0.32703756882559681</v>
      </c>
      <c r="R320" s="1">
        <f>P320/Q320</f>
        <v>12.683248520406405</v>
      </c>
    </row>
    <row r="321" spans="1:18" x14ac:dyDescent="0.35">
      <c r="A321" s="14">
        <v>2625</v>
      </c>
      <c r="B321" s="6">
        <v>0.25</v>
      </c>
      <c r="C321" s="6">
        <v>4000000</v>
      </c>
      <c r="D321" s="6">
        <v>15</v>
      </c>
      <c r="E321" s="6">
        <v>0</v>
      </c>
      <c r="F321" s="6">
        <v>7.4999999999999997E-2</v>
      </c>
      <c r="G321" s="11">
        <f>(C321*$V$4)/($V$5*$V$3)</f>
        <v>58.775510204081627</v>
      </c>
      <c r="H321" s="11">
        <f>G321*COS(RADIANS(D321))</f>
        <v>56.772783259439109</v>
      </c>
      <c r="I321" s="11">
        <f>G321*SIN(RADIANS(D321))</f>
        <v>15.212221426433871</v>
      </c>
      <c r="J321" s="12">
        <v>0.18990000000000001</v>
      </c>
      <c r="K321" s="11">
        <v>0</v>
      </c>
      <c r="L321" s="11">
        <f>-(F321*G321*$V$3)/J321</f>
        <v>-23.213076699874257</v>
      </c>
      <c r="M321" s="11">
        <f>ABS(L321/$V$6)</f>
        <v>6.7676608454443898E-2</v>
      </c>
      <c r="N321" s="11">
        <f>L321*SIN(RADIANS(K321))</f>
        <v>0</v>
      </c>
      <c r="O321" s="11">
        <f>L321*COS(RADIANS(K321))</f>
        <v>-23.213076699874257</v>
      </c>
      <c r="P321" s="1">
        <v>2.4486905036437063</v>
      </c>
      <c r="Q321" s="1">
        <v>0.5084610784031629</v>
      </c>
      <c r="R321" s="1">
        <f>P321/Q321</f>
        <v>4.815885832075665</v>
      </c>
    </row>
    <row r="322" spans="1:18" x14ac:dyDescent="0.35">
      <c r="A322" s="14">
        <v>2626</v>
      </c>
      <c r="B322" s="6">
        <v>0.25</v>
      </c>
      <c r="C322" s="6">
        <v>4000000</v>
      </c>
      <c r="D322" s="6">
        <v>0</v>
      </c>
      <c r="E322" s="6">
        <v>0.125</v>
      </c>
      <c r="F322" s="6">
        <v>1.4999999999999999E-2</v>
      </c>
      <c r="G322" s="11">
        <f>(C322*$V$4)/($V$5*$V$3)</f>
        <v>58.775510204081627</v>
      </c>
      <c r="H322" s="11">
        <f>G322*COS(RADIANS(D322))</f>
        <v>58.775510204081627</v>
      </c>
      <c r="I322" s="11">
        <f>G322*SIN(RADIANS(D322))</f>
        <v>0</v>
      </c>
      <c r="J322" s="11">
        <v>0.19020000000000001</v>
      </c>
      <c r="K322" s="11">
        <v>46</v>
      </c>
      <c r="L322" s="11">
        <f>-(F322*G322*$V$3)/J322</f>
        <v>-4.6352926028455537</v>
      </c>
      <c r="M322" s="11">
        <f>ABS(L322/$V$6)</f>
        <v>1.3513972603048261E-2</v>
      </c>
      <c r="N322" s="11">
        <f>L322*SIN(RADIANS(K322))</f>
        <v>-3.3343504554421468</v>
      </c>
      <c r="O322" s="11">
        <f>L322*COS(RADIANS(K322))</f>
        <v>-3.2199448060933364</v>
      </c>
      <c r="P322" s="1">
        <v>2.0435631959881362</v>
      </c>
      <c r="Q322" s="1">
        <v>0.22841824563057422</v>
      </c>
      <c r="R322" s="1">
        <f>P322/Q322</f>
        <v>8.94658476316833</v>
      </c>
    </row>
    <row r="323" spans="1:18" x14ac:dyDescent="0.35">
      <c r="A323" s="14">
        <v>2627</v>
      </c>
      <c r="B323" s="6">
        <v>0.25</v>
      </c>
      <c r="C323" s="6">
        <v>2000000</v>
      </c>
      <c r="D323" s="6">
        <v>0</v>
      </c>
      <c r="E323" s="6">
        <v>0</v>
      </c>
      <c r="F323" s="6">
        <v>2.5000000000000001E-2</v>
      </c>
      <c r="G323" s="11">
        <f>(C323*$V$4)/($V$5*$V$3)</f>
        <v>29.387755102040813</v>
      </c>
      <c r="H323" s="11">
        <f>G323*COS(RADIANS(D323))</f>
        <v>29.387755102040813</v>
      </c>
      <c r="I323" s="11">
        <f>G323*SIN(RADIANS(D323))</f>
        <v>0</v>
      </c>
      <c r="J323" s="12">
        <v>0.18990000000000001</v>
      </c>
      <c r="K323" s="11">
        <v>0</v>
      </c>
      <c r="L323" s="11">
        <f>-(F323*G323*$V$3)/J323</f>
        <v>-3.86884611664571</v>
      </c>
      <c r="M323" s="11">
        <f>ABS(L323/$V$6)</f>
        <v>1.1279434742407318E-2</v>
      </c>
      <c r="N323" s="11">
        <f>L323*SIN(RADIANS(K323))</f>
        <v>0</v>
      </c>
      <c r="O323" s="11">
        <f>L323*COS(RADIANS(K323))</f>
        <v>-3.86884611664571</v>
      </c>
      <c r="P323" s="1">
        <v>1.945904583524394</v>
      </c>
      <c r="Q323" s="1">
        <v>0.21484396724411983</v>
      </c>
      <c r="R323" s="1">
        <f>P323/Q323</f>
        <v>9.0572921757366789</v>
      </c>
    </row>
    <row r="324" spans="1:18" x14ac:dyDescent="0.35">
      <c r="A324" s="14">
        <v>2628</v>
      </c>
      <c r="B324" s="6">
        <v>0.25</v>
      </c>
      <c r="C324" s="6">
        <v>6000000</v>
      </c>
      <c r="D324" s="6">
        <v>10</v>
      </c>
      <c r="E324" s="6">
        <v>0.375</v>
      </c>
      <c r="F324" s="6">
        <v>0</v>
      </c>
      <c r="G324" s="11">
        <f>(C324*$V$4)/($V$5*$V$3)</f>
        <v>88.16326530612244</v>
      </c>
      <c r="H324" s="11">
        <f>G324*COS(RADIANS(D324))</f>
        <v>86.823867204341596</v>
      </c>
      <c r="I324" s="11">
        <f>G324*SIN(RADIANS(D324))</f>
        <v>15.309390357574264</v>
      </c>
      <c r="J324" s="11">
        <v>0.1976</v>
      </c>
      <c r="K324" s="12">
        <v>78</v>
      </c>
      <c r="L324" s="11">
        <f>-(F324*G324*$V$3)/J324</f>
        <v>0</v>
      </c>
      <c r="M324" s="11">
        <f>ABS(L324/$V$6)</f>
        <v>0</v>
      </c>
      <c r="N324" s="11">
        <f>L324*SIN(RADIANS(K324))</f>
        <v>0</v>
      </c>
      <c r="O324" s="11">
        <f>L324*COS(RADIANS(K324))</f>
        <v>0</v>
      </c>
      <c r="P324" s="1">
        <v>2.8141174712276809</v>
      </c>
      <c r="Q324" s="1">
        <v>0.65798812597784262</v>
      </c>
      <c r="R324" s="1">
        <f>P324/Q324</f>
        <v>4.2768514508458537</v>
      </c>
    </row>
    <row r="325" spans="1:18" x14ac:dyDescent="0.35">
      <c r="A325" s="14">
        <v>2629</v>
      </c>
      <c r="B325" s="6">
        <v>0.1</v>
      </c>
      <c r="C325" s="6">
        <v>4000000</v>
      </c>
      <c r="D325" s="6">
        <v>5</v>
      </c>
      <c r="E325" s="6">
        <v>0.125</v>
      </c>
      <c r="F325" s="6">
        <v>1.4999999999999999E-2</v>
      </c>
      <c r="G325" s="11">
        <f>(C325*$V$4)/($V$5*$V$3)</f>
        <v>58.775510204081627</v>
      </c>
      <c r="H325" s="11">
        <f>G325*COS(RADIANS(D325))</f>
        <v>58.551851642943404</v>
      </c>
      <c r="I325" s="11">
        <f>G325*SIN(RADIANS(D325))</f>
        <v>5.1226232472092956</v>
      </c>
      <c r="J325" s="12">
        <v>0.1658</v>
      </c>
      <c r="K325" s="11">
        <v>69</v>
      </c>
      <c r="L325" s="11">
        <f>-(F325*G325*$V$3)/J325</f>
        <v>-5.3174466409000267</v>
      </c>
      <c r="M325" s="11">
        <f>ABS(L325/$V$6)</f>
        <v>1.5502759886005909E-2</v>
      </c>
      <c r="N325" s="11">
        <f>L325*SIN(RADIANS(K325))</f>
        <v>-4.9642641028875598</v>
      </c>
      <c r="O325" s="11">
        <f>L325*COS(RADIANS(K325))</f>
        <v>-1.9056024495158879</v>
      </c>
      <c r="P325" s="1">
        <v>-5.2101189261446294E-2</v>
      </c>
      <c r="Q325" s="1">
        <v>-8.6502277780701204E-3</v>
      </c>
      <c r="R325" s="1">
        <f>P325/Q325</f>
        <v>6.0231002695133826</v>
      </c>
    </row>
    <row r="326" spans="1:18" x14ac:dyDescent="0.35">
      <c r="A326" s="14">
        <v>2630</v>
      </c>
      <c r="B326" s="6">
        <v>0.5</v>
      </c>
      <c r="C326" s="6">
        <v>6000000</v>
      </c>
      <c r="D326" s="6">
        <v>15</v>
      </c>
      <c r="E326" s="6">
        <v>0.125</v>
      </c>
      <c r="F326" s="6">
        <v>3.5000000000000003E-2</v>
      </c>
      <c r="G326" s="11">
        <f>(C326*$V$4)/($V$5*$V$3)</f>
        <v>88.16326530612244</v>
      </c>
      <c r="H326" s="11">
        <f>G326*COS(RADIANS(D326))</f>
        <v>85.159174889158663</v>
      </c>
      <c r="I326" s="11">
        <f>G326*SIN(RADIANS(D326))</f>
        <v>22.818332139650806</v>
      </c>
      <c r="J326" s="12">
        <v>0.23300000000000001</v>
      </c>
      <c r="K326" s="11">
        <v>27</v>
      </c>
      <c r="L326" s="11">
        <f>-(F326*G326*$V$3)/J326</f>
        <v>-13.243408951563458</v>
      </c>
      <c r="M326" s="11">
        <f>ABS(L326/$V$6)</f>
        <v>3.8610521724674801E-2</v>
      </c>
      <c r="N326" s="11">
        <f>L326*SIN(RADIANS(K326))</f>
        <v>-6.0123818481754814</v>
      </c>
      <c r="O326" s="11">
        <f>L326*COS(RADIANS(K326))</f>
        <v>-11.799963778337673</v>
      </c>
      <c r="P326" s="1">
        <v>3.9508193880891387</v>
      </c>
      <c r="Q326" s="1">
        <v>0.7808836570330917</v>
      </c>
      <c r="R326" s="1">
        <f>P326/Q326</f>
        <v>5.0594212755072601</v>
      </c>
    </row>
    <row r="327" spans="1:18" x14ac:dyDescent="0.35">
      <c r="A327" s="14">
        <v>2631</v>
      </c>
      <c r="B327" s="6">
        <v>0.75</v>
      </c>
      <c r="C327" s="6">
        <v>2000000</v>
      </c>
      <c r="D327" s="6">
        <v>10</v>
      </c>
      <c r="E327" s="6">
        <v>0.375</v>
      </c>
      <c r="F327" s="6">
        <v>3.5000000000000003E-2</v>
      </c>
      <c r="G327" s="11">
        <f>(C327*$V$4)/($V$5*$V$3)</f>
        <v>29.387755102040813</v>
      </c>
      <c r="H327" s="11">
        <f>G327*COS(RADIANS(D327))</f>
        <v>28.941289068113864</v>
      </c>
      <c r="I327" s="11">
        <f>G327*SIN(RADIANS(D327))</f>
        <v>5.1031301191914213</v>
      </c>
      <c r="J327" s="11">
        <v>0.29299999999999998</v>
      </c>
      <c r="K327" s="12">
        <v>57</v>
      </c>
      <c r="L327" s="11">
        <f>-(F327*G327*$V$3)/J327</f>
        <v>-3.5104826913700631</v>
      </c>
      <c r="M327" s="11">
        <f>ABS(L327/$V$6)</f>
        <v>1.023464341507307E-2</v>
      </c>
      <c r="N327" s="11">
        <f>L327*SIN(RADIANS(K327))</f>
        <v>-2.9441385125339115</v>
      </c>
      <c r="O327" s="11">
        <f>L327*COS(RADIANS(K327))</f>
        <v>-1.9119459054647463</v>
      </c>
      <c r="P327" s="1">
        <v>3.9055164502567945</v>
      </c>
      <c r="Q327" s="1">
        <v>0.24237399664275522</v>
      </c>
      <c r="R327" s="1">
        <f>P327/Q327</f>
        <v>16.113595123049823</v>
      </c>
    </row>
    <row r="328" spans="1:18" x14ac:dyDescent="0.35">
      <c r="A328" s="14">
        <v>2632</v>
      </c>
      <c r="B328" s="6">
        <v>0.25</v>
      </c>
      <c r="C328" s="6">
        <v>2000000</v>
      </c>
      <c r="D328" s="6">
        <v>0</v>
      </c>
      <c r="E328" s="6">
        <v>0.25</v>
      </c>
      <c r="F328" s="6">
        <v>2.5000000000000001E-2</v>
      </c>
      <c r="G328" s="11">
        <f>(C328*$V$4)/($V$5*$V$3)</f>
        <v>29.387755102040813</v>
      </c>
      <c r="H328" s="11">
        <f>G328*COS(RADIANS(D328))</f>
        <v>29.387755102040813</v>
      </c>
      <c r="I328" s="11">
        <f>G328*SIN(RADIANS(D328))</f>
        <v>0</v>
      </c>
      <c r="J328" s="12">
        <v>0.1913</v>
      </c>
      <c r="K328" s="11">
        <v>67</v>
      </c>
      <c r="L328" s="11">
        <f>-(F328*G328*$V$3)/J328</f>
        <v>-3.8405325538474666</v>
      </c>
      <c r="M328" s="11">
        <f>ABS(L328/$V$6)</f>
        <v>1.119688791209174E-2</v>
      </c>
      <c r="N328" s="11">
        <f>L328*SIN(RADIANS(K328))</f>
        <v>-3.5352288556586888</v>
      </c>
      <c r="O328" s="11">
        <f>L328*COS(RADIANS(K328))</f>
        <v>-1.5006156187646129</v>
      </c>
      <c r="P328" s="1">
        <v>1.9769018954692079</v>
      </c>
      <c r="Q328" s="1">
        <v>0.15011232639023933</v>
      </c>
      <c r="R328" s="1">
        <f>P328/Q328</f>
        <v>13.169484099060307</v>
      </c>
    </row>
    <row r="329" spans="1:18" x14ac:dyDescent="0.35">
      <c r="A329" s="14">
        <v>2633</v>
      </c>
      <c r="B329" s="6">
        <v>0.75</v>
      </c>
      <c r="C329" s="6">
        <v>6000000</v>
      </c>
      <c r="D329" s="6">
        <v>10</v>
      </c>
      <c r="E329" s="6">
        <v>0.25</v>
      </c>
      <c r="F329" s="6">
        <v>0.05</v>
      </c>
      <c r="G329" s="11">
        <f>(C329*$V$4)/($V$5*$V$3)</f>
        <v>88.16326530612244</v>
      </c>
      <c r="H329" s="11">
        <f>G329*COS(RADIANS(D329))</f>
        <v>86.823867204341596</v>
      </c>
      <c r="I329" s="11">
        <f>G329*SIN(RADIANS(D329))</f>
        <v>15.309390357574264</v>
      </c>
      <c r="J329" s="12">
        <v>0.28370000000000001</v>
      </c>
      <c r="K329" s="11">
        <v>38</v>
      </c>
      <c r="L329" s="11">
        <f>-(F329*G329*$V$3)/J329</f>
        <v>-15.538115140310616</v>
      </c>
      <c r="M329" s="11">
        <f>ABS(L329/$V$6)</f>
        <v>4.5300627231226284E-2</v>
      </c>
      <c r="N329" s="11">
        <f>L329*SIN(RADIANS(K329))</f>
        <v>-9.5662188910635813</v>
      </c>
      <c r="O329" s="11">
        <f>L329*COS(RADIANS(K329))</f>
        <v>-12.244201821344184</v>
      </c>
      <c r="P329" s="1">
        <v>3.1182351308991154</v>
      </c>
      <c r="Q329" s="1">
        <v>0.72140279192880929</v>
      </c>
      <c r="R329" s="1">
        <f>P329/Q329</f>
        <v>4.3224605806721561</v>
      </c>
    </row>
    <row r="330" spans="1:18" x14ac:dyDescent="0.35">
      <c r="A330" s="14">
        <v>2634</v>
      </c>
      <c r="B330" s="6">
        <v>0.25</v>
      </c>
      <c r="C330" s="6">
        <v>2000000</v>
      </c>
      <c r="D330" s="6">
        <v>10</v>
      </c>
      <c r="E330" s="6">
        <v>0.25</v>
      </c>
      <c r="F330" s="6">
        <v>3.5000000000000003E-2</v>
      </c>
      <c r="G330" s="11">
        <f>(C330*$V$4)/($V$5*$V$3)</f>
        <v>29.387755102040813</v>
      </c>
      <c r="H330" s="11">
        <f>G330*COS(RADIANS(D330))</f>
        <v>28.941289068113864</v>
      </c>
      <c r="I330" s="11">
        <f>G330*SIN(RADIANS(D330))</f>
        <v>5.1031301191914213</v>
      </c>
      <c r="J330" s="12">
        <v>0.1913</v>
      </c>
      <c r="K330" s="11">
        <v>67</v>
      </c>
      <c r="L330" s="11">
        <f>-(F330*G330*$V$3)/J330</f>
        <v>-5.3767455753864528</v>
      </c>
      <c r="M330" s="11">
        <f>ABS(L330/$V$6)</f>
        <v>1.5675643076928435E-2</v>
      </c>
      <c r="N330" s="11">
        <f>L330*SIN(RADIANS(K330))</f>
        <v>-4.9493203979221638</v>
      </c>
      <c r="O330" s="11">
        <f>L330*COS(RADIANS(K330))</f>
        <v>-2.1008618662704581</v>
      </c>
      <c r="P330" s="1">
        <v>2.1315579122737951</v>
      </c>
      <c r="Q330" s="1">
        <v>0.39277010606307727</v>
      </c>
      <c r="R330" s="1">
        <f>P330/Q330</f>
        <v>5.4269861157189894</v>
      </c>
    </row>
    <row r="331" spans="1:18" x14ac:dyDescent="0.35">
      <c r="A331" s="14">
        <v>2635</v>
      </c>
      <c r="B331" s="6">
        <v>1</v>
      </c>
      <c r="C331" s="6">
        <v>6000000</v>
      </c>
      <c r="D331" s="6">
        <v>5</v>
      </c>
      <c r="E331" s="6">
        <v>0</v>
      </c>
      <c r="F331" s="6">
        <v>7.4999999999999997E-2</v>
      </c>
      <c r="G331" s="11">
        <f>(C331*$V$4)/($V$5*$V$3)</f>
        <v>88.16326530612244</v>
      </c>
      <c r="H331" s="11">
        <f>G331*COS(RADIANS(D331))</f>
        <v>87.827777464415107</v>
      </c>
      <c r="I331" s="11">
        <f>G331*SIN(RADIANS(D331))</f>
        <v>7.6839348708139434</v>
      </c>
      <c r="J331" s="11">
        <v>0.33379999999999999</v>
      </c>
      <c r="K331" s="12">
        <v>0</v>
      </c>
      <c r="L331" s="11">
        <f>-(F331*G331*$V$3)/J331</f>
        <v>-19.809002090950219</v>
      </c>
      <c r="M331" s="11">
        <f>ABS(L331/$V$6)</f>
        <v>5.7752192684986062E-2</v>
      </c>
      <c r="N331" s="11">
        <f>L331*SIN(RADIANS(K331))</f>
        <v>0</v>
      </c>
      <c r="O331" s="11">
        <f>L331*COS(RADIANS(K331))</f>
        <v>-19.809002090950219</v>
      </c>
      <c r="P331" s="1">
        <v>7.1774048089256945</v>
      </c>
      <c r="Q331" s="1">
        <v>0.55034102138537777</v>
      </c>
      <c r="R331" s="1">
        <f>P331/Q331</f>
        <v>13.041740539089666</v>
      </c>
    </row>
    <row r="332" spans="1:18" x14ac:dyDescent="0.35">
      <c r="A332" s="14">
        <v>2636</v>
      </c>
      <c r="B332" s="6">
        <v>0.5</v>
      </c>
      <c r="C332" s="6">
        <v>6000000</v>
      </c>
      <c r="D332" s="6">
        <v>5</v>
      </c>
      <c r="E332" s="6">
        <v>0.25</v>
      </c>
      <c r="F332" s="6">
        <v>1.4999999999999999E-2</v>
      </c>
      <c r="G332" s="11">
        <f>(C332*$V$4)/($V$5*$V$3)</f>
        <v>88.16326530612244</v>
      </c>
      <c r="H332" s="11">
        <f>G332*COS(RADIANS(D332))</f>
        <v>87.827777464415107</v>
      </c>
      <c r="I332" s="11">
        <f>G332*SIN(RADIANS(D332))</f>
        <v>7.6839348708139434</v>
      </c>
      <c r="J332" s="11">
        <v>0.23580000000000001</v>
      </c>
      <c r="K332" s="11">
        <v>49</v>
      </c>
      <c r="L332" s="11">
        <f>-(F332*G332*$V$3)/J332</f>
        <v>-5.608350210313132</v>
      </c>
      <c r="M332" s="11">
        <f>ABS(L332/$V$6)</f>
        <v>1.6350875248726332E-2</v>
      </c>
      <c r="N332" s="11">
        <f>L332*SIN(RADIANS(K332))</f>
        <v>-4.2326756329677186</v>
      </c>
      <c r="O332" s="11">
        <f>L332*COS(RADIANS(K332))</f>
        <v>-3.6794087932167407</v>
      </c>
      <c r="P332" s="1">
        <v>3.6108037755010773</v>
      </c>
      <c r="Q332" s="1">
        <v>0.23826176019875353</v>
      </c>
      <c r="R332" s="1">
        <f>P332/Q332</f>
        <v>15.154776714857693</v>
      </c>
    </row>
    <row r="333" spans="1:18" x14ac:dyDescent="0.35">
      <c r="A333" s="14">
        <v>2637</v>
      </c>
      <c r="B333" s="6">
        <v>0.5</v>
      </c>
      <c r="C333" s="6">
        <v>6000000</v>
      </c>
      <c r="D333" s="6">
        <v>30</v>
      </c>
      <c r="E333" s="6">
        <v>0</v>
      </c>
      <c r="F333" s="6">
        <v>1.4999999999999999E-2</v>
      </c>
      <c r="G333" s="11">
        <f>(C333*$V$4)/($V$5*$V$3)</f>
        <v>88.16326530612244</v>
      </c>
      <c r="H333" s="11">
        <f>G333*COS(RADIANS(D333))</f>
        <v>76.351627435689281</v>
      </c>
      <c r="I333" s="11">
        <f>G333*SIN(RADIANS(D333))</f>
        <v>44.081632653061213</v>
      </c>
      <c r="J333" s="12">
        <v>0.23230000000000001</v>
      </c>
      <c r="K333" s="11">
        <v>0</v>
      </c>
      <c r="L333" s="11">
        <f>-(F333*G333*$V$3)/J333</f>
        <v>-5.6928496753845739</v>
      </c>
      <c r="M333" s="11">
        <f>ABS(L333/$V$6)</f>
        <v>1.6597229374299048E-2</v>
      </c>
      <c r="N333" s="11">
        <f>L333*SIN(RADIANS(K333))</f>
        <v>0</v>
      </c>
      <c r="O333" s="11">
        <f>L333*COS(RADIANS(K333))</f>
        <v>-5.6928496753845739</v>
      </c>
      <c r="P333" s="1">
        <v>2.3281811487560744</v>
      </c>
      <c r="Q333" s="1">
        <v>1.1024234515176463</v>
      </c>
      <c r="R333" s="1">
        <f>P333/Q333</f>
        <v>2.1118755642861138</v>
      </c>
    </row>
    <row r="334" spans="1:18" x14ac:dyDescent="0.35">
      <c r="A334" s="14">
        <v>2638</v>
      </c>
      <c r="B334" s="6">
        <v>0.5</v>
      </c>
      <c r="C334" s="6">
        <v>4000000</v>
      </c>
      <c r="D334" s="6">
        <v>5</v>
      </c>
      <c r="E334" s="6">
        <v>0.25</v>
      </c>
      <c r="F334" s="6">
        <v>0</v>
      </c>
      <c r="G334" s="11">
        <f>(C334*$V$4)/($V$5*$V$3)</f>
        <v>58.775510204081627</v>
      </c>
      <c r="H334" s="11">
        <f>G334*COS(RADIANS(D334))</f>
        <v>58.551851642943404</v>
      </c>
      <c r="I334" s="11">
        <f>G334*SIN(RADIANS(D334))</f>
        <v>5.1226232472092956</v>
      </c>
      <c r="J334" s="11">
        <v>0.23580000000000001</v>
      </c>
      <c r="K334" s="11">
        <v>49</v>
      </c>
      <c r="L334" s="11">
        <f>-(F334*G334*$V$3)/J334</f>
        <v>0</v>
      </c>
      <c r="M334" s="11">
        <f>ABS(L334/$V$6)</f>
        <v>0</v>
      </c>
      <c r="N334" s="11">
        <f>L334*SIN(RADIANS(K334))</f>
        <v>0</v>
      </c>
      <c r="O334" s="11">
        <f>L334*COS(RADIANS(K334))</f>
        <v>0</v>
      </c>
      <c r="P334" s="1">
        <v>4.3074295674859426</v>
      </c>
      <c r="Q334" s="1">
        <v>0.61896851420100041</v>
      </c>
      <c r="R334" s="1">
        <f>P334/Q334</f>
        <v>6.9590447149742607</v>
      </c>
    </row>
    <row r="335" spans="1:18" x14ac:dyDescent="0.35">
      <c r="A335" s="14">
        <v>2639</v>
      </c>
      <c r="B335" s="6">
        <v>0.75</v>
      </c>
      <c r="C335" s="6">
        <v>6000000</v>
      </c>
      <c r="D335" s="6">
        <v>0</v>
      </c>
      <c r="E335" s="6">
        <v>0.25</v>
      </c>
      <c r="F335" s="6">
        <v>0.1</v>
      </c>
      <c r="G335" s="11">
        <f>(C335*$V$4)/($V$5*$V$3)</f>
        <v>88.16326530612244</v>
      </c>
      <c r="H335" s="11">
        <f>G335*COS(RADIANS(D335))</f>
        <v>88.16326530612244</v>
      </c>
      <c r="I335" s="11">
        <f>G335*SIN(RADIANS(D335))</f>
        <v>0</v>
      </c>
      <c r="J335" s="12">
        <v>0.28370000000000001</v>
      </c>
      <c r="K335" s="11">
        <v>38</v>
      </c>
      <c r="L335" s="11">
        <f>-(F335*G335*$V$3)/J335</f>
        <v>-31.076230280621232</v>
      </c>
      <c r="M335" s="11">
        <f>ABS(L335/$V$6)</f>
        <v>9.0601254462452568E-2</v>
      </c>
      <c r="N335" s="11">
        <f>L335*SIN(RADIANS(K335))</f>
        <v>-19.132437782127163</v>
      </c>
      <c r="O335" s="11">
        <f>L335*COS(RADIANS(K335))</f>
        <v>-24.488403642688368</v>
      </c>
      <c r="P335" s="1">
        <v>4.2909113264971825</v>
      </c>
      <c r="Q335" s="1">
        <v>-0.22723713186361824</v>
      </c>
      <c r="R335" s="1">
        <f>P335/Q335</f>
        <v>-18.882967283148403</v>
      </c>
    </row>
    <row r="336" spans="1:18" x14ac:dyDescent="0.35">
      <c r="A336" s="14">
        <v>2640</v>
      </c>
      <c r="B336" s="6">
        <v>0.25</v>
      </c>
      <c r="C336" s="6">
        <v>4000000</v>
      </c>
      <c r="D336" s="6">
        <v>5</v>
      </c>
      <c r="E336" s="6">
        <v>0.375</v>
      </c>
      <c r="F336" s="6">
        <v>0.05</v>
      </c>
      <c r="G336" s="11">
        <f>(C336*$V$4)/($V$5*$V$3)</f>
        <v>58.775510204081627</v>
      </c>
      <c r="H336" s="11">
        <f>G336*COS(RADIANS(D336))</f>
        <v>58.551851642943404</v>
      </c>
      <c r="I336" s="11">
        <f>G336*SIN(RADIANS(D336))</f>
        <v>5.1226232472092956</v>
      </c>
      <c r="J336" s="11">
        <v>0.1976</v>
      </c>
      <c r="K336" s="12">
        <v>78</v>
      </c>
      <c r="L336" s="11">
        <f>-(F336*G336*$V$3)/J336</f>
        <v>-14.872345699413367</v>
      </c>
      <c r="M336" s="11">
        <f>ABS(L336/$V$6)</f>
        <v>4.3359608453100197E-2</v>
      </c>
      <c r="N336" s="11">
        <f>L336*SIN(RADIANS(K336))</f>
        <v>-14.547349263164916</v>
      </c>
      <c r="O336" s="11">
        <f>L336*COS(RADIANS(K336))</f>
        <v>-3.0921345407912666</v>
      </c>
      <c r="P336" s="1">
        <v>2.3889842320452743</v>
      </c>
      <c r="Q336" s="1">
        <v>0.23118056293918826</v>
      </c>
      <c r="R336" s="1">
        <f>P336/Q336</f>
        <v>10.333845552031523</v>
      </c>
    </row>
    <row r="337" spans="1:18" x14ac:dyDescent="0.35">
      <c r="A337" s="14">
        <v>2641</v>
      </c>
      <c r="B337" s="6">
        <v>0.1</v>
      </c>
      <c r="C337" s="6">
        <v>6000000</v>
      </c>
      <c r="D337" s="6">
        <v>10</v>
      </c>
      <c r="E337" s="6">
        <v>0.375</v>
      </c>
      <c r="F337" s="6">
        <v>0</v>
      </c>
      <c r="G337" s="11">
        <f>(C337*$V$4)/($V$5*$V$3)</f>
        <v>88.16326530612244</v>
      </c>
      <c r="H337" s="11">
        <f>G337*COS(RADIANS(D337))</f>
        <v>86.823867204341596</v>
      </c>
      <c r="I337" s="11">
        <f>G337*SIN(RADIANS(D337))</f>
        <v>15.309390357574264</v>
      </c>
      <c r="J337" s="12">
        <v>0.16789999999999999</v>
      </c>
      <c r="K337" s="11">
        <v>85</v>
      </c>
      <c r="L337" s="11">
        <f>-(F337*G337*$V$3)/J337</f>
        <v>0</v>
      </c>
      <c r="M337" s="11">
        <f>ABS(L337/$V$6)</f>
        <v>0</v>
      </c>
      <c r="N337" s="11">
        <f>L337*SIN(RADIANS(K337))</f>
        <v>0</v>
      </c>
      <c r="O337" s="11">
        <f>L337*COS(RADIANS(K337))</f>
        <v>0</v>
      </c>
      <c r="P337" s="1">
        <v>1.7203270476333161</v>
      </c>
      <c r="Q337" s="1">
        <v>0.5154638277418635</v>
      </c>
      <c r="R337" s="1">
        <f>P337/Q337</f>
        <v>3.3374350537256903</v>
      </c>
    </row>
    <row r="338" spans="1:18" x14ac:dyDescent="0.35">
      <c r="A338" s="14">
        <v>2642</v>
      </c>
      <c r="B338" s="6">
        <v>0.25</v>
      </c>
      <c r="C338" s="6">
        <v>6000000</v>
      </c>
      <c r="D338" s="6">
        <v>10</v>
      </c>
      <c r="E338" s="6">
        <v>0.125</v>
      </c>
      <c r="F338" s="6">
        <v>1.4999999999999999E-2</v>
      </c>
      <c r="G338" s="11">
        <f>(C338*$V$4)/($V$5*$V$3)</f>
        <v>88.16326530612244</v>
      </c>
      <c r="H338" s="11">
        <f>G338*COS(RADIANS(D338))</f>
        <v>86.823867204341596</v>
      </c>
      <c r="I338" s="11">
        <f>G338*SIN(RADIANS(D338))</f>
        <v>15.309390357574264</v>
      </c>
      <c r="J338" s="11">
        <v>0.19020000000000001</v>
      </c>
      <c r="K338" s="11">
        <v>46</v>
      </c>
      <c r="L338" s="11">
        <f>-(F338*G338*$V$3)/J338</f>
        <v>-6.9529389042683309</v>
      </c>
      <c r="M338" s="11">
        <f>ABS(L338/$V$6)</f>
        <v>2.0270958904572395E-2</v>
      </c>
      <c r="N338" s="11">
        <f>L338*SIN(RADIANS(K338))</f>
        <v>-5.0015256831632202</v>
      </c>
      <c r="O338" s="11">
        <f>L338*COS(RADIANS(K338))</f>
        <v>-4.8299172091400049</v>
      </c>
      <c r="P338" s="1">
        <v>2.1484138696203483</v>
      </c>
      <c r="Q338" s="1">
        <v>0.47172624605126495</v>
      </c>
      <c r="R338" s="1">
        <f>P338/Q338</f>
        <v>4.5543657738027763</v>
      </c>
    </row>
    <row r="339" spans="1:18" x14ac:dyDescent="0.35">
      <c r="A339" s="14">
        <v>2399</v>
      </c>
      <c r="B339" s="6">
        <v>0.25</v>
      </c>
      <c r="C339" s="6">
        <v>4000000</v>
      </c>
      <c r="D339" s="6">
        <v>20</v>
      </c>
      <c r="E339" s="6">
        <v>0</v>
      </c>
      <c r="F339" s="6">
        <v>0.15</v>
      </c>
      <c r="G339" s="11">
        <f>(C339*$V$4)/($V$5*$V$3)</f>
        <v>58.775510204081627</v>
      </c>
      <c r="H339" s="11">
        <f>G339*COS(RADIANS(D339))</f>
        <v>55.230913221702366</v>
      </c>
      <c r="I339" s="11">
        <f>G339*SIN(RADIANS(D339))</f>
        <v>20.102408424039304</v>
      </c>
      <c r="J339" s="19">
        <v>0.18990000000000001</v>
      </c>
      <c r="K339" s="20">
        <v>0</v>
      </c>
      <c r="L339" s="11">
        <f>-(F339*G339*$V$3)/J339</f>
        <v>-46.426153399748515</v>
      </c>
      <c r="M339" s="11">
        <f>ABS(L339/$V$6)</f>
        <v>0.1353532169088878</v>
      </c>
      <c r="N339" s="11">
        <f>L339*SIN(RADIANS(K339))</f>
        <v>0</v>
      </c>
      <c r="O339" s="11">
        <f>L339*COS(RADIANS(K339))</f>
        <v>-46.426153399748515</v>
      </c>
      <c r="P339" s="1">
        <v>2.5465722820702723</v>
      </c>
      <c r="Q339" s="1">
        <v>0.54272390991430497</v>
      </c>
      <c r="R339" s="1">
        <f>P339/Q339</f>
        <v>4.6922058076865838</v>
      </c>
    </row>
    <row r="340" spans="1:18" x14ac:dyDescent="0.35">
      <c r="A340" s="14">
        <v>2644</v>
      </c>
      <c r="B340" s="6">
        <v>0.1</v>
      </c>
      <c r="C340" s="6">
        <v>4000000</v>
      </c>
      <c r="D340" s="6">
        <v>20</v>
      </c>
      <c r="E340" s="6">
        <v>0.25</v>
      </c>
      <c r="F340" s="6">
        <v>1.4999999999999999E-2</v>
      </c>
      <c r="G340" s="11">
        <f>(C340*$V$4)/($V$5*$V$3)</f>
        <v>58.775510204081627</v>
      </c>
      <c r="H340" s="11">
        <f>G340*COS(RADIANS(D340))</f>
        <v>55.230913221702366</v>
      </c>
      <c r="I340" s="11">
        <f>G340*SIN(RADIANS(D340))</f>
        <v>20.102408424039304</v>
      </c>
      <c r="J340" s="11">
        <v>0.1661</v>
      </c>
      <c r="K340" s="12">
        <v>80</v>
      </c>
      <c r="L340" s="11">
        <f>-(F340*G340*$V$3)/J340</f>
        <v>-5.3078425831500571</v>
      </c>
      <c r="M340" s="11">
        <f>ABS(L340/$V$6)</f>
        <v>1.5474759717638651E-2</v>
      </c>
      <c r="N340" s="11">
        <f>L340*SIN(RADIANS(K340))</f>
        <v>-5.2272045276545214</v>
      </c>
      <c r="O340" s="11">
        <f>L340*COS(RADIANS(K340))</f>
        <v>-0.92169719190693999</v>
      </c>
      <c r="P340" s="1">
        <v>1.4139502423379009</v>
      </c>
      <c r="Q340" s="1">
        <v>0.74373898829829099</v>
      </c>
      <c r="R340" s="1">
        <f>P340/Q340</f>
        <v>1.901137717108369</v>
      </c>
    </row>
    <row r="341" spans="1:18" x14ac:dyDescent="0.35">
      <c r="A341" s="14">
        <v>2545</v>
      </c>
      <c r="B341" s="6">
        <v>0.25</v>
      </c>
      <c r="C341" s="6">
        <v>4000000</v>
      </c>
      <c r="D341" s="6">
        <v>5</v>
      </c>
      <c r="E341" s="6">
        <v>0</v>
      </c>
      <c r="F341" s="6">
        <v>0.15</v>
      </c>
      <c r="G341" s="11">
        <f>(C341*$V$4)/($V$5*$V$3)</f>
        <v>58.775510204081627</v>
      </c>
      <c r="H341" s="11">
        <f>G341*COS(RADIANS(D341))</f>
        <v>58.551851642943404</v>
      </c>
      <c r="I341" s="11">
        <f>G341*SIN(RADIANS(D341))</f>
        <v>5.1226232472092956</v>
      </c>
      <c r="J341" s="19">
        <v>0.18990000000000001</v>
      </c>
      <c r="K341" s="20">
        <v>0</v>
      </c>
      <c r="L341" s="11">
        <f>-(F341*G341*$V$3)/J341</f>
        <v>-46.426153399748515</v>
      </c>
      <c r="M341" s="11">
        <f>ABS(L341/$V$6)</f>
        <v>0.1353532169088878</v>
      </c>
      <c r="N341" s="11">
        <f>L341*SIN(RADIANS(K341))</f>
        <v>0</v>
      </c>
      <c r="O341" s="11">
        <f>L341*COS(RADIANS(K341))</f>
        <v>-46.426153399748515</v>
      </c>
      <c r="P341" s="1">
        <v>2.3852571236794318</v>
      </c>
      <c r="Q341" s="1">
        <v>0.14134966209273142</v>
      </c>
      <c r="R341" s="1">
        <f>P341/Q341</f>
        <v>16.874869655610503</v>
      </c>
    </row>
    <row r="342" spans="1:18" x14ac:dyDescent="0.35">
      <c r="A342" s="14">
        <v>2646</v>
      </c>
      <c r="B342" s="6">
        <v>1</v>
      </c>
      <c r="C342" s="6">
        <v>4000000</v>
      </c>
      <c r="D342" s="6">
        <v>5</v>
      </c>
      <c r="E342" s="6">
        <v>0</v>
      </c>
      <c r="F342" s="6">
        <v>3.5000000000000003E-2</v>
      </c>
      <c r="G342" s="11">
        <f>(C342*$V$4)/($V$5*$V$3)</f>
        <v>58.775510204081627</v>
      </c>
      <c r="H342" s="11">
        <f>G342*COS(RADIANS(D342))</f>
        <v>58.551851642943404</v>
      </c>
      <c r="I342" s="11">
        <f>G342*SIN(RADIANS(D342))</f>
        <v>5.1226232472092956</v>
      </c>
      <c r="J342" s="11">
        <v>0.33379999999999999</v>
      </c>
      <c r="K342" s="12">
        <v>0</v>
      </c>
      <c r="L342" s="11">
        <f>-(F342*G342*$V$3)/J342</f>
        <v>-6.1628006505178465</v>
      </c>
      <c r="M342" s="11">
        <f>ABS(L342/$V$6)</f>
        <v>1.7967348835328998E-2</v>
      </c>
      <c r="N342" s="11">
        <f>L342*SIN(RADIANS(K342))</f>
        <v>0</v>
      </c>
      <c r="O342" s="11">
        <f>L342*COS(RADIANS(K342))</f>
        <v>-6.1628006505178465</v>
      </c>
      <c r="P342" s="1">
        <v>2.871929737384149</v>
      </c>
      <c r="Q342" s="1">
        <v>1.2575956353631337</v>
      </c>
      <c r="R342" s="1">
        <f>P342/Q342</f>
        <v>2.2836670680356428</v>
      </c>
    </row>
    <row r="343" spans="1:18" x14ac:dyDescent="0.35">
      <c r="A343" s="14">
        <v>2647</v>
      </c>
      <c r="B343" s="6">
        <v>1</v>
      </c>
      <c r="C343" s="6">
        <v>2000000</v>
      </c>
      <c r="D343" s="6">
        <v>30</v>
      </c>
      <c r="E343" s="6">
        <v>0.375</v>
      </c>
      <c r="F343" s="6">
        <v>0.05</v>
      </c>
      <c r="G343" s="11">
        <f>(C343*$V$4)/($V$5*$V$3)</f>
        <v>29.387755102040813</v>
      </c>
      <c r="H343" s="11">
        <f>G343*COS(RADIANS(D343))</f>
        <v>25.450542478563094</v>
      </c>
      <c r="I343" s="11">
        <f>G343*SIN(RADIANS(D343))</f>
        <v>14.693877551020405</v>
      </c>
      <c r="J343" s="12">
        <v>0.33379999999999999</v>
      </c>
      <c r="K343" s="11">
        <v>49</v>
      </c>
      <c r="L343" s="11">
        <f>-(F343*G343*$V$3)/J343</f>
        <v>-4.4020004646556048</v>
      </c>
      <c r="M343" s="11">
        <f>ABS(L343/$V$6)</f>
        <v>1.283382059666357E-2</v>
      </c>
      <c r="N343" s="11">
        <f>L343*SIN(RADIANS(K343))</f>
        <v>-3.3222319228206789</v>
      </c>
      <c r="O343" s="11">
        <f>L343*COS(RADIANS(K343))</f>
        <v>-2.8879721504577178</v>
      </c>
      <c r="P343" s="1">
        <v>5.5801354101672747</v>
      </c>
      <c r="Q343" s="1">
        <v>1.5124688665132404</v>
      </c>
      <c r="R343" s="1">
        <f>P343/Q343</f>
        <v>3.6894216692416295</v>
      </c>
    </row>
    <row r="344" spans="1:18" x14ac:dyDescent="0.35">
      <c r="A344" s="14">
        <v>2648</v>
      </c>
      <c r="B344" s="6">
        <v>0.75</v>
      </c>
      <c r="C344" s="6">
        <v>2000000</v>
      </c>
      <c r="D344" s="6">
        <v>20</v>
      </c>
      <c r="E344" s="6">
        <v>0.25</v>
      </c>
      <c r="F344" s="6">
        <v>2.5000000000000001E-2</v>
      </c>
      <c r="G344" s="11">
        <f>(C344*$V$4)/($V$5*$V$3)</f>
        <v>29.387755102040813</v>
      </c>
      <c r="H344" s="11">
        <f>G344*COS(RADIANS(D344))</f>
        <v>27.615456610851183</v>
      </c>
      <c r="I344" s="11">
        <f>G344*SIN(RADIANS(D344))</f>
        <v>10.051204212019652</v>
      </c>
      <c r="J344" s="12">
        <v>0.28370000000000001</v>
      </c>
      <c r="K344" s="11">
        <v>38</v>
      </c>
      <c r="L344" s="11">
        <f>-(F344*G344*$V$3)/J344</f>
        <v>-2.589685856718436</v>
      </c>
      <c r="M344" s="11">
        <f>ABS(L344/$V$6)</f>
        <v>7.5501045385377146E-3</v>
      </c>
      <c r="N344" s="11">
        <f>L344*SIN(RADIANS(K344))</f>
        <v>-1.5943698151772636</v>
      </c>
      <c r="O344" s="11">
        <f>L344*COS(RADIANS(K344))</f>
        <v>-2.0407003035573639</v>
      </c>
      <c r="P344" s="1">
        <v>4.2389201531402581</v>
      </c>
      <c r="Q344" s="1">
        <v>0.78871089290138219</v>
      </c>
      <c r="R344" s="1">
        <f>P344/Q344</f>
        <v>5.3744917070268974</v>
      </c>
    </row>
    <row r="345" spans="1:18" x14ac:dyDescent="0.35">
      <c r="A345" s="14">
        <v>2649</v>
      </c>
      <c r="B345" s="6">
        <v>1</v>
      </c>
      <c r="C345" s="6">
        <v>4000000</v>
      </c>
      <c r="D345" s="6">
        <v>20</v>
      </c>
      <c r="E345" s="6">
        <v>0.25</v>
      </c>
      <c r="F345" s="6">
        <v>0</v>
      </c>
      <c r="G345" s="11">
        <f>(C345*$V$4)/($V$5*$V$3)</f>
        <v>58.775510204081627</v>
      </c>
      <c r="H345" s="11">
        <f>G345*COS(RADIANS(D345))</f>
        <v>55.230913221702366</v>
      </c>
      <c r="I345" s="11">
        <f>G345*SIN(RADIANS(D345))</f>
        <v>20.102408424039304</v>
      </c>
      <c r="J345" s="13">
        <v>0.33379999999999999</v>
      </c>
      <c r="K345" s="12">
        <v>30</v>
      </c>
      <c r="L345" s="11">
        <f>-(F345*G345*$V$3)/J345</f>
        <v>0</v>
      </c>
      <c r="M345" s="11">
        <f>ABS(L345/$V$6)</f>
        <v>0</v>
      </c>
      <c r="N345" s="11">
        <f>L345*SIN(RADIANS(K345))</f>
        <v>0</v>
      </c>
      <c r="O345" s="11">
        <f>L345*COS(RADIANS(K345))</f>
        <v>0</v>
      </c>
      <c r="P345" s="1">
        <v>6.3122325746549235</v>
      </c>
      <c r="Q345" s="1">
        <v>2.4297629725665257</v>
      </c>
      <c r="R345" s="1">
        <f>P345/Q345</f>
        <v>2.5978799767400349</v>
      </c>
    </row>
    <row r="346" spans="1:18" x14ac:dyDescent="0.35">
      <c r="A346" s="14">
        <v>2650</v>
      </c>
      <c r="B346" s="6">
        <v>1</v>
      </c>
      <c r="C346" s="6">
        <v>6000000</v>
      </c>
      <c r="D346" s="6">
        <v>5</v>
      </c>
      <c r="E346" s="6">
        <v>0.25</v>
      </c>
      <c r="F346" s="6">
        <v>0</v>
      </c>
      <c r="G346" s="11">
        <f>(C346*$V$4)/($V$5*$V$3)</f>
        <v>88.16326530612244</v>
      </c>
      <c r="H346" s="11">
        <f>G346*COS(RADIANS(D346))</f>
        <v>87.827777464415107</v>
      </c>
      <c r="I346" s="11">
        <f>G346*SIN(RADIANS(D346))</f>
        <v>7.6839348708139434</v>
      </c>
      <c r="J346" s="13">
        <v>0.33379999999999999</v>
      </c>
      <c r="K346" s="12">
        <v>30</v>
      </c>
      <c r="L346" s="11">
        <f>-(F346*G346*$V$3)/J346</f>
        <v>0</v>
      </c>
      <c r="M346" s="11">
        <f>ABS(L346/$V$6)</f>
        <v>0</v>
      </c>
      <c r="N346" s="11">
        <f>L346*SIN(RADIANS(K346))</f>
        <v>0</v>
      </c>
      <c r="O346" s="11">
        <f>L346*COS(RADIANS(K346))</f>
        <v>0</v>
      </c>
      <c r="P346" s="1">
        <v>6.9670762036045994</v>
      </c>
      <c r="Q346" s="1">
        <v>1.1323758614558603</v>
      </c>
      <c r="R346" s="1">
        <f>P346/Q346</f>
        <v>6.1526180844646818</v>
      </c>
    </row>
    <row r="347" spans="1:18" x14ac:dyDescent="0.35">
      <c r="A347" s="14">
        <v>2807</v>
      </c>
      <c r="B347" s="6">
        <v>0.25</v>
      </c>
      <c r="C347" s="6">
        <v>6000000</v>
      </c>
      <c r="D347" s="6">
        <v>15</v>
      </c>
      <c r="E347" s="6">
        <v>0.125</v>
      </c>
      <c r="F347" s="6">
        <v>0.1</v>
      </c>
      <c r="G347" s="11">
        <f>(C347*$V$4)/($V$5*$V$3)</f>
        <v>88.16326530612244</v>
      </c>
      <c r="H347" s="11">
        <f>G347*COS(RADIANS(D347))</f>
        <v>85.159174889158663</v>
      </c>
      <c r="I347" s="11">
        <f>G347*SIN(RADIANS(D347))</f>
        <v>22.818332139650806</v>
      </c>
      <c r="J347" s="11">
        <v>0.19020000000000001</v>
      </c>
      <c r="K347" s="20">
        <v>46</v>
      </c>
      <c r="L347" s="11">
        <f>-(F347*G347*$V$3)/J347</f>
        <v>-46.352926028455542</v>
      </c>
      <c r="M347" s="11">
        <f>ABS(L347/$V$6)</f>
        <v>0.13513972603048263</v>
      </c>
      <c r="N347" s="11">
        <f>L347*SIN(RADIANS(K347))</f>
        <v>-33.343504554421472</v>
      </c>
      <c r="O347" s="11">
        <f>L347*COS(RADIANS(K347))</f>
        <v>-32.199448060933364</v>
      </c>
      <c r="P347" s="1">
        <v>2.5781230812115949</v>
      </c>
      <c r="Q347" s="1">
        <v>0.54292427251435582</v>
      </c>
      <c r="R347" s="1">
        <f>P347/Q347</f>
        <v>4.7485868872134924</v>
      </c>
    </row>
    <row r="348" spans="1:18" x14ac:dyDescent="0.35">
      <c r="A348" s="14">
        <v>2652</v>
      </c>
      <c r="B348" s="6">
        <v>1</v>
      </c>
      <c r="C348" s="6">
        <v>6000000</v>
      </c>
      <c r="D348" s="6">
        <v>0</v>
      </c>
      <c r="E348" s="6">
        <v>0.375</v>
      </c>
      <c r="F348" s="6">
        <v>3.5000000000000003E-2</v>
      </c>
      <c r="G348" s="11">
        <f>(C348*$V$4)/($V$5*$V$3)</f>
        <v>88.16326530612244</v>
      </c>
      <c r="H348" s="11">
        <f>G348*COS(RADIANS(D348))</f>
        <v>88.16326530612244</v>
      </c>
      <c r="I348" s="11">
        <f>G348*SIN(RADIANS(D348))</f>
        <v>0</v>
      </c>
      <c r="J348" s="12">
        <v>0.33379999999999999</v>
      </c>
      <c r="K348" s="11">
        <v>49</v>
      </c>
      <c r="L348" s="11">
        <f>-(F348*G348*$V$3)/J348</f>
        <v>-9.2442009757767707</v>
      </c>
      <c r="M348" s="11">
        <f>ABS(L348/$V$6)</f>
        <v>2.6951023252993502E-2</v>
      </c>
      <c r="N348" s="11">
        <f>L348*SIN(RADIANS(K348))</f>
        <v>-6.9766870379234263</v>
      </c>
      <c r="O348" s="11">
        <f>L348*COS(RADIANS(K348))</f>
        <v>-6.0647415159612077</v>
      </c>
      <c r="P348" s="1">
        <v>4.4027410719104765</v>
      </c>
      <c r="Q348" s="1">
        <v>-0.42766419437689202</v>
      </c>
      <c r="R348" s="1">
        <f>P348/Q348</f>
        <v>-10.294855472587045</v>
      </c>
    </row>
    <row r="349" spans="1:18" x14ac:dyDescent="0.35">
      <c r="A349" s="14">
        <v>2653</v>
      </c>
      <c r="B349" s="6">
        <v>1</v>
      </c>
      <c r="C349" s="6">
        <v>4000000</v>
      </c>
      <c r="D349" s="6">
        <v>15</v>
      </c>
      <c r="E349" s="6">
        <v>0</v>
      </c>
      <c r="F349" s="6">
        <v>0.1</v>
      </c>
      <c r="G349" s="11">
        <f>(C349*$V$4)/($V$5*$V$3)</f>
        <v>58.775510204081627</v>
      </c>
      <c r="H349" s="11">
        <f>G349*COS(RADIANS(D349))</f>
        <v>56.772783259439109</v>
      </c>
      <c r="I349" s="11">
        <f>G349*SIN(RADIANS(D349))</f>
        <v>15.212221426433871</v>
      </c>
      <c r="J349" s="11">
        <v>0.33379999999999999</v>
      </c>
      <c r="K349" s="12">
        <v>0</v>
      </c>
      <c r="L349" s="11">
        <f>-(F349*G349*$V$3)/J349</f>
        <v>-17.608001858622419</v>
      </c>
      <c r="M349" s="11">
        <f>ABS(L349/$V$6)</f>
        <v>5.1335282386654281E-2</v>
      </c>
      <c r="N349" s="11">
        <f>L349*SIN(RADIANS(K349))</f>
        <v>0</v>
      </c>
      <c r="O349" s="11">
        <f>L349*COS(RADIANS(K349))</f>
        <v>-17.608001858622419</v>
      </c>
      <c r="P349" s="1">
        <v>1.1919669863062001</v>
      </c>
      <c r="Q349" s="1">
        <v>1.7959014153758706</v>
      </c>
      <c r="R349" s="1">
        <f>P349/Q349</f>
        <v>0.6637151550196474</v>
      </c>
    </row>
    <row r="350" spans="1:18" x14ac:dyDescent="0.35">
      <c r="A350" s="14">
        <v>2654</v>
      </c>
      <c r="B350" s="6">
        <v>0.25</v>
      </c>
      <c r="C350" s="6">
        <v>4000000</v>
      </c>
      <c r="D350" s="6">
        <v>10</v>
      </c>
      <c r="E350" s="6">
        <v>0.375</v>
      </c>
      <c r="F350" s="6">
        <v>0.05</v>
      </c>
      <c r="G350" s="11">
        <f>(C350*$V$4)/($V$5*$V$3)</f>
        <v>58.775510204081627</v>
      </c>
      <c r="H350" s="11">
        <f>G350*COS(RADIANS(D350))</f>
        <v>57.882578136227728</v>
      </c>
      <c r="I350" s="11">
        <f>G350*SIN(RADIANS(D350))</f>
        <v>10.206260238382843</v>
      </c>
      <c r="J350" s="11">
        <v>0.1976</v>
      </c>
      <c r="K350" s="12">
        <v>78</v>
      </c>
      <c r="L350" s="11">
        <f>-(F350*G350*$V$3)/J350</f>
        <v>-14.872345699413367</v>
      </c>
      <c r="M350" s="11">
        <f>ABS(L350/$V$6)</f>
        <v>4.3359608453100197E-2</v>
      </c>
      <c r="N350" s="11">
        <f>L350*SIN(RADIANS(K350))</f>
        <v>-14.547349263164916</v>
      </c>
      <c r="O350" s="11">
        <f>L350*COS(RADIANS(K350))</f>
        <v>-3.0921345407912666</v>
      </c>
      <c r="P350" s="1">
        <v>2.4575202247401315</v>
      </c>
      <c r="Q350" s="1">
        <v>0.3766640190256797</v>
      </c>
      <c r="R350" s="1">
        <f>P350/Q350</f>
        <v>6.524435838328869</v>
      </c>
    </row>
    <row r="351" spans="1:18" x14ac:dyDescent="0.35">
      <c r="A351" s="14">
        <v>2655</v>
      </c>
      <c r="B351" s="6">
        <v>0.75</v>
      </c>
      <c r="C351" s="6">
        <v>2000000</v>
      </c>
      <c r="D351" s="6">
        <v>15</v>
      </c>
      <c r="E351" s="6">
        <v>0.125</v>
      </c>
      <c r="F351" s="6">
        <v>1.4999999999999999E-2</v>
      </c>
      <c r="G351" s="11">
        <f>(C351*$V$4)/($V$5*$V$3)</f>
        <v>29.387755102040813</v>
      </c>
      <c r="H351" s="11">
        <f>G351*COS(RADIANS(D351))</f>
        <v>28.386391629719554</v>
      </c>
      <c r="I351" s="11">
        <f>G351*SIN(RADIANS(D351))</f>
        <v>7.6061107132169354</v>
      </c>
      <c r="J351" s="12">
        <v>0.2802</v>
      </c>
      <c r="K351" s="11">
        <v>19</v>
      </c>
      <c r="L351" s="11">
        <f>-(F351*G351*$V$3)/J351</f>
        <v>-1.5732202945417995</v>
      </c>
      <c r="M351" s="11">
        <f>ABS(L351/$V$6)</f>
        <v>4.5866480890431474E-3</v>
      </c>
      <c r="N351" s="11">
        <f>L351*SIN(RADIANS(K351))</f>
        <v>-0.51219042784851809</v>
      </c>
      <c r="O351" s="11">
        <f>L351*COS(RADIANS(K351))</f>
        <v>-1.4875090119990999</v>
      </c>
      <c r="P351" s="1">
        <v>3.9211659697044663</v>
      </c>
      <c r="Q351" s="1">
        <v>0.8497750680585614</v>
      </c>
      <c r="R351" s="1">
        <f>P351/Q351</f>
        <v>4.6143575130569054</v>
      </c>
    </row>
    <row r="352" spans="1:18" x14ac:dyDescent="0.35">
      <c r="A352" s="14">
        <v>2656</v>
      </c>
      <c r="B352" s="6">
        <v>0.1</v>
      </c>
      <c r="C352" s="6">
        <v>6000000</v>
      </c>
      <c r="D352" s="6">
        <v>30</v>
      </c>
      <c r="E352" s="6">
        <v>0</v>
      </c>
      <c r="F352" s="6">
        <v>2.5000000000000001E-2</v>
      </c>
      <c r="G352" s="11">
        <f>(C352*$V$4)/($V$5*$V$3)</f>
        <v>88.16326530612244</v>
      </c>
      <c r="H352" s="11">
        <f>G352*COS(RADIANS(D352))</f>
        <v>76.351627435689281</v>
      </c>
      <c r="I352" s="11">
        <f>G352*SIN(RADIANS(D352))</f>
        <v>44.081632653061213</v>
      </c>
      <c r="J352" s="11">
        <v>0.16569999999999999</v>
      </c>
      <c r="K352" s="12">
        <v>0</v>
      </c>
      <c r="L352" s="11">
        <f>-(F352*G352*$V$3)/J352</f>
        <v>-13.301639303880876</v>
      </c>
      <c r="M352" s="11">
        <f>ABS(L352/$V$6)</f>
        <v>3.8780289515687683E-2</v>
      </c>
      <c r="N352" s="11">
        <f>L352*SIN(RADIANS(K352))</f>
        <v>0</v>
      </c>
      <c r="O352" s="11">
        <f>L352*COS(RADIANS(K352))</f>
        <v>-13.301639303880876</v>
      </c>
      <c r="P352" s="1">
        <v>0.99234936773769045</v>
      </c>
      <c r="Q352" s="1">
        <v>0.80357306006680684</v>
      </c>
      <c r="R352" s="1">
        <f>P352/Q352</f>
        <v>1.2349211503620956</v>
      </c>
    </row>
    <row r="353" spans="1:18" x14ac:dyDescent="0.35">
      <c r="A353" s="14">
        <v>2657</v>
      </c>
      <c r="B353" s="6">
        <v>0.75</v>
      </c>
      <c r="C353" s="6">
        <v>2000000</v>
      </c>
      <c r="D353" s="6">
        <v>0</v>
      </c>
      <c r="E353" s="6">
        <v>0</v>
      </c>
      <c r="F353" s="6">
        <v>0.05</v>
      </c>
      <c r="G353" s="11">
        <f>(C353*$V$4)/($V$5*$V$3)</f>
        <v>29.387755102040813</v>
      </c>
      <c r="H353" s="11">
        <f>G353*COS(RADIANS(D353))</f>
        <v>29.387755102040813</v>
      </c>
      <c r="I353" s="11">
        <f>G353*SIN(RADIANS(D353))</f>
        <v>0</v>
      </c>
      <c r="J353" s="11">
        <v>0.27929999999999999</v>
      </c>
      <c r="K353" s="11">
        <v>0</v>
      </c>
      <c r="L353" s="11">
        <f>-(F353*G353*$V$3)/J353</f>
        <v>-5.260965825642824</v>
      </c>
      <c r="M353" s="11">
        <f>ABS(L353/$V$6)</f>
        <v>1.5338092786130682E-2</v>
      </c>
      <c r="N353" s="11">
        <f>L353*SIN(RADIANS(K353))</f>
        <v>0</v>
      </c>
      <c r="O353" s="11">
        <f>L353*COS(RADIANS(K353))</f>
        <v>-5.260965825642824</v>
      </c>
      <c r="P353" s="1">
        <v>4.2240859552969514</v>
      </c>
      <c r="Q353" s="1">
        <v>0.47639979847044767</v>
      </c>
      <c r="R353" s="1">
        <f>P353/Q353</f>
        <v>8.8666829181267648</v>
      </c>
    </row>
    <row r="354" spans="1:18" x14ac:dyDescent="0.35">
      <c r="A354" s="14">
        <v>2658</v>
      </c>
      <c r="B354" s="6">
        <v>0.75</v>
      </c>
      <c r="C354" s="6">
        <v>6000000</v>
      </c>
      <c r="D354" s="6">
        <v>15</v>
      </c>
      <c r="E354" s="6">
        <v>0</v>
      </c>
      <c r="F354" s="6">
        <v>7.4999999999999997E-2</v>
      </c>
      <c r="G354" s="11">
        <f>(C354*$V$4)/($V$5*$V$3)</f>
        <v>88.16326530612244</v>
      </c>
      <c r="H354" s="11">
        <f>G354*COS(RADIANS(D354))</f>
        <v>85.159174889158663</v>
      </c>
      <c r="I354" s="11">
        <f>G354*SIN(RADIANS(D354))</f>
        <v>22.818332139650806</v>
      </c>
      <c r="J354" s="11">
        <v>0.27929999999999999</v>
      </c>
      <c r="K354" s="11">
        <v>0</v>
      </c>
      <c r="L354" s="11">
        <f>-(F354*G354*$V$3)/J354</f>
        <v>-23.674346215392706</v>
      </c>
      <c r="M354" s="11">
        <f>ABS(L354/$V$6)</f>
        <v>6.9021417537588059E-2</v>
      </c>
      <c r="N354" s="11">
        <f>L354*SIN(RADIANS(K354))</f>
        <v>0</v>
      </c>
      <c r="O354" s="11">
        <f>L354*COS(RADIANS(K354))</f>
        <v>-23.674346215392706</v>
      </c>
      <c r="P354" s="1">
        <v>2.6279337766228297</v>
      </c>
      <c r="Q354" s="1">
        <v>0.99486775679946537</v>
      </c>
      <c r="R354" s="1">
        <f>P354/Q354</f>
        <v>2.6414905485297981</v>
      </c>
    </row>
    <row r="355" spans="1:18" x14ac:dyDescent="0.35">
      <c r="A355" s="14">
        <v>2406</v>
      </c>
      <c r="B355" s="6">
        <v>0.25</v>
      </c>
      <c r="C355" s="6">
        <v>6000000</v>
      </c>
      <c r="D355" s="6">
        <v>20</v>
      </c>
      <c r="E355" s="6">
        <v>0.25</v>
      </c>
      <c r="F355" s="6">
        <v>0.1</v>
      </c>
      <c r="G355" s="11">
        <f>(C355*$V$4)/($V$5*$V$3)</f>
        <v>88.16326530612244</v>
      </c>
      <c r="H355" s="11">
        <f>G355*COS(RADIANS(D355))</f>
        <v>82.846369832553549</v>
      </c>
      <c r="I355" s="11">
        <f>G355*SIN(RADIANS(D355))</f>
        <v>30.153612636058952</v>
      </c>
      <c r="J355" s="12">
        <v>0.1913</v>
      </c>
      <c r="K355" s="11">
        <v>67</v>
      </c>
      <c r="L355" s="11">
        <f>-(F355*G355*$V$3)/J355</f>
        <v>-46.086390646169598</v>
      </c>
      <c r="M355" s="11">
        <f>ABS(L355/$V$6)</f>
        <v>0.13436265494510086</v>
      </c>
      <c r="N355" s="11">
        <f>L355*SIN(RADIANS(K355))</f>
        <v>-42.422746267904266</v>
      </c>
      <c r="O355" s="11">
        <f>L355*COS(RADIANS(K355))</f>
        <v>-18.007387425175356</v>
      </c>
      <c r="P355" s="1">
        <v>2.5504115734439585</v>
      </c>
      <c r="Q355" s="1">
        <v>0.67238414741482733</v>
      </c>
      <c r="R355" s="1">
        <f>P355/Q355</f>
        <v>3.7930870072558127</v>
      </c>
    </row>
    <row r="356" spans="1:18" x14ac:dyDescent="0.35">
      <c r="A356" s="14">
        <v>2660</v>
      </c>
      <c r="B356" s="6">
        <v>0.5</v>
      </c>
      <c r="C356" s="6">
        <v>6000000</v>
      </c>
      <c r="D356" s="6">
        <v>5</v>
      </c>
      <c r="E356" s="6">
        <v>0.125</v>
      </c>
      <c r="F356" s="6">
        <v>0</v>
      </c>
      <c r="G356" s="11">
        <f>(C356*$V$4)/($V$5*$V$3)</f>
        <v>88.16326530612244</v>
      </c>
      <c r="H356" s="11">
        <f>G356*COS(RADIANS(D356))</f>
        <v>87.827777464415107</v>
      </c>
      <c r="I356" s="11">
        <f>G356*SIN(RADIANS(D356))</f>
        <v>7.6839348708139434</v>
      </c>
      <c r="J356" s="12">
        <v>0.23300000000000001</v>
      </c>
      <c r="K356" s="11">
        <v>27</v>
      </c>
      <c r="L356" s="11">
        <f>-(F356*G356*$V$3)/J356</f>
        <v>0</v>
      </c>
      <c r="M356" s="11">
        <f>ABS(L356/$V$6)</f>
        <v>0</v>
      </c>
      <c r="N356" s="11">
        <f>L356*SIN(RADIANS(K356))</f>
        <v>0</v>
      </c>
      <c r="O356" s="11">
        <f>L356*COS(RADIANS(K356))</f>
        <v>0</v>
      </c>
      <c r="P356" s="1">
        <v>4.0925513194000542</v>
      </c>
      <c r="Q356" s="1">
        <v>0.66563498873913052</v>
      </c>
      <c r="R356" s="1">
        <f>P356/Q356</f>
        <v>6.1483416416440351</v>
      </c>
    </row>
    <row r="357" spans="1:18" x14ac:dyDescent="0.35">
      <c r="A357" s="14">
        <v>2493</v>
      </c>
      <c r="B357" s="6">
        <v>0.25</v>
      </c>
      <c r="C357" s="6">
        <v>4000000</v>
      </c>
      <c r="D357" s="6">
        <v>15</v>
      </c>
      <c r="E357" s="6">
        <v>0.25</v>
      </c>
      <c r="F357" s="6">
        <v>0.15</v>
      </c>
      <c r="G357" s="11">
        <f>(C357*$V$4)/($V$5*$V$3)</f>
        <v>58.775510204081627</v>
      </c>
      <c r="H357" s="11">
        <f>G357*COS(RADIANS(D357))</f>
        <v>56.772783259439109</v>
      </c>
      <c r="I357" s="11">
        <f>G357*SIN(RADIANS(D357))</f>
        <v>15.212221426433871</v>
      </c>
      <c r="J357" s="12">
        <v>0.1913</v>
      </c>
      <c r="K357" s="11">
        <v>67</v>
      </c>
      <c r="L357" s="11">
        <f>-(F357*G357*$V$3)/J357</f>
        <v>-46.086390646169598</v>
      </c>
      <c r="M357" s="11">
        <f>ABS(L357/$V$6)</f>
        <v>0.13436265494510086</v>
      </c>
      <c r="N357" s="11">
        <f>L357*SIN(RADIANS(K357))</f>
        <v>-42.422746267904266</v>
      </c>
      <c r="O357" s="11">
        <f>L357*COS(RADIANS(K357))</f>
        <v>-18.007387425175356</v>
      </c>
      <c r="P357" s="1">
        <v>3.0098373029945482</v>
      </c>
      <c r="Q357" s="1">
        <v>0.52109952440901053</v>
      </c>
      <c r="R357" s="1">
        <f>P357/Q357</f>
        <v>5.7759356169209042</v>
      </c>
    </row>
    <row r="358" spans="1:18" x14ac:dyDescent="0.35">
      <c r="A358" s="14">
        <v>2662</v>
      </c>
      <c r="B358" s="6">
        <v>0.25</v>
      </c>
      <c r="C358" s="6">
        <v>6000000</v>
      </c>
      <c r="D358" s="6">
        <v>20</v>
      </c>
      <c r="E358" s="6">
        <v>0.25</v>
      </c>
      <c r="F358" s="6">
        <v>1.4999999999999999E-2</v>
      </c>
      <c r="G358" s="11">
        <f>(C358*$V$4)/($V$5*$V$3)</f>
        <v>88.16326530612244</v>
      </c>
      <c r="H358" s="11">
        <f>G358*COS(RADIANS(D358))</f>
        <v>82.846369832553549</v>
      </c>
      <c r="I358" s="11">
        <f>G358*SIN(RADIANS(D358))</f>
        <v>30.153612636058952</v>
      </c>
      <c r="J358" s="12">
        <v>0.1913</v>
      </c>
      <c r="K358" s="11">
        <v>67</v>
      </c>
      <c r="L358" s="11">
        <f>-(F358*G358*$V$3)/J358</f>
        <v>-6.9129585969254395</v>
      </c>
      <c r="M358" s="11">
        <f>ABS(L358/$V$6)</f>
        <v>2.0154398241765129E-2</v>
      </c>
      <c r="N358" s="11">
        <f>L358*SIN(RADIANS(K358))</f>
        <v>-6.3634119401856397</v>
      </c>
      <c r="O358" s="11">
        <f>L358*COS(RADIANS(K358))</f>
        <v>-2.7011081137763031</v>
      </c>
      <c r="P358" s="1">
        <v>2.217449091773954</v>
      </c>
      <c r="Q358" s="1">
        <v>0.67540496899038227</v>
      </c>
      <c r="R358" s="1">
        <f>P358/Q358</f>
        <v>3.2831400323996287</v>
      </c>
    </row>
    <row r="359" spans="1:18" x14ac:dyDescent="0.35">
      <c r="A359" s="14">
        <v>2663</v>
      </c>
      <c r="B359" s="6">
        <v>1</v>
      </c>
      <c r="C359" s="6">
        <v>2000000</v>
      </c>
      <c r="D359" s="6">
        <v>0</v>
      </c>
      <c r="E359" s="6">
        <v>0.25</v>
      </c>
      <c r="F359" s="6">
        <v>0.1</v>
      </c>
      <c r="G359" s="11">
        <f>(C359*$V$4)/($V$5*$V$3)</f>
        <v>29.387755102040813</v>
      </c>
      <c r="H359" s="11">
        <f>G359*COS(RADIANS(D359))</f>
        <v>29.387755102040813</v>
      </c>
      <c r="I359" s="11">
        <f>G359*SIN(RADIANS(D359))</f>
        <v>0</v>
      </c>
      <c r="J359" s="13">
        <v>0.33379999999999999</v>
      </c>
      <c r="K359" s="12">
        <v>30</v>
      </c>
      <c r="L359" s="11">
        <f>-(F359*G359*$V$3)/J359</f>
        <v>-8.8040009293112096</v>
      </c>
      <c r="M359" s="11">
        <f>ABS(L359/$V$6)</f>
        <v>2.566764119332714E-2</v>
      </c>
      <c r="N359" s="11">
        <f>L359*SIN(RADIANS(K359))</f>
        <v>-4.4020004646556039</v>
      </c>
      <c r="O359" s="11">
        <f>L359*COS(RADIANS(K359))</f>
        <v>-7.6244884597253142</v>
      </c>
      <c r="P359" s="1">
        <v>9.3257751652225238</v>
      </c>
      <c r="Q359" s="1">
        <v>-1.7866946959875825</v>
      </c>
      <c r="R359" s="1">
        <f>P359/Q359</f>
        <v>-5.2195683941781503</v>
      </c>
    </row>
    <row r="360" spans="1:18" x14ac:dyDescent="0.35">
      <c r="A360" s="14">
        <v>2664</v>
      </c>
      <c r="B360" s="6">
        <v>0.5</v>
      </c>
      <c r="C360" s="6">
        <v>6000000</v>
      </c>
      <c r="D360" s="6">
        <v>15</v>
      </c>
      <c r="E360" s="6">
        <v>0.125</v>
      </c>
      <c r="F360" s="6">
        <v>2.5000000000000001E-2</v>
      </c>
      <c r="G360" s="11">
        <f>(C360*$V$4)/($V$5*$V$3)</f>
        <v>88.16326530612244</v>
      </c>
      <c r="H360" s="11">
        <f>G360*COS(RADIANS(D360))</f>
        <v>85.159174889158663</v>
      </c>
      <c r="I360" s="11">
        <f>G360*SIN(RADIANS(D360))</f>
        <v>22.818332139650806</v>
      </c>
      <c r="J360" s="12">
        <v>0.23300000000000001</v>
      </c>
      <c r="K360" s="11">
        <v>27</v>
      </c>
      <c r="L360" s="11">
        <f>-(F360*G360*$V$3)/J360</f>
        <v>-9.4595778225453255</v>
      </c>
      <c r="M360" s="11">
        <f>ABS(L360/$V$6)</f>
        <v>2.7578944089053429E-2</v>
      </c>
      <c r="N360" s="11">
        <f>L360*SIN(RADIANS(K360))</f>
        <v>-4.2945584629824856</v>
      </c>
      <c r="O360" s="11">
        <f>L360*COS(RADIANS(K360))</f>
        <v>-8.4285455559554805</v>
      </c>
      <c r="P360" s="1">
        <v>3.6546750308694591</v>
      </c>
      <c r="Q360" s="1">
        <v>0.77945308845151573</v>
      </c>
      <c r="R360" s="1">
        <f>P360/Q360</f>
        <v>4.688768426243513</v>
      </c>
    </row>
    <row r="361" spans="1:18" x14ac:dyDescent="0.35">
      <c r="A361" s="14">
        <v>2665</v>
      </c>
      <c r="B361" s="6">
        <v>0.25</v>
      </c>
      <c r="C361" s="6">
        <v>4000000</v>
      </c>
      <c r="D361" s="6">
        <v>30</v>
      </c>
      <c r="E361" s="6">
        <v>0.125</v>
      </c>
      <c r="F361" s="6">
        <v>3.5000000000000003E-2</v>
      </c>
      <c r="G361" s="11">
        <f>(C361*$V$4)/($V$5*$V$3)</f>
        <v>58.775510204081627</v>
      </c>
      <c r="H361" s="11">
        <f>G361*COS(RADIANS(D361))</f>
        <v>50.901084957126187</v>
      </c>
      <c r="I361" s="11">
        <f>G361*SIN(RADIANS(D361))</f>
        <v>29.38775510204081</v>
      </c>
      <c r="J361" s="11">
        <v>0.19020000000000001</v>
      </c>
      <c r="K361" s="11">
        <v>46</v>
      </c>
      <c r="L361" s="11">
        <f>-(F361*G361*$V$3)/J361</f>
        <v>-10.81568273997296</v>
      </c>
      <c r="M361" s="11">
        <f>ABS(L361/$V$6)</f>
        <v>3.1532602740445947E-2</v>
      </c>
      <c r="N361" s="11">
        <f>L361*SIN(RADIANS(K361))</f>
        <v>-7.7801510626983434</v>
      </c>
      <c r="O361" s="11">
        <f>L361*COS(RADIANS(K361))</f>
        <v>-7.5132045475511191</v>
      </c>
      <c r="P361" s="1">
        <v>2.268952240520584</v>
      </c>
      <c r="Q361" s="1">
        <v>0.93719621075416049</v>
      </c>
      <c r="R361" s="1">
        <f>P361/Q361</f>
        <v>2.4210002286445027</v>
      </c>
    </row>
    <row r="362" spans="1:18" x14ac:dyDescent="0.35">
      <c r="A362" s="14">
        <v>2666</v>
      </c>
      <c r="B362" s="6">
        <v>1</v>
      </c>
      <c r="C362" s="6">
        <v>4000000</v>
      </c>
      <c r="D362" s="6">
        <v>0</v>
      </c>
      <c r="E362" s="6">
        <v>0.25</v>
      </c>
      <c r="F362" s="6">
        <v>0</v>
      </c>
      <c r="G362" s="11">
        <f>(C362*$V$4)/($V$5*$V$3)</f>
        <v>58.775510204081627</v>
      </c>
      <c r="H362" s="11">
        <f>G362*COS(RADIANS(D362))</f>
        <v>58.775510204081627</v>
      </c>
      <c r="I362" s="11">
        <f>G362*SIN(RADIANS(D362))</f>
        <v>0</v>
      </c>
      <c r="J362" s="13">
        <v>0.33379999999999999</v>
      </c>
      <c r="K362" s="12">
        <v>30</v>
      </c>
      <c r="L362" s="11">
        <f>-(F362*G362*$V$3)/J362</f>
        <v>0</v>
      </c>
      <c r="M362" s="11">
        <f>ABS(L362/$V$6)</f>
        <v>0</v>
      </c>
      <c r="N362" s="11">
        <f>L362*SIN(RADIANS(K362))</f>
        <v>0</v>
      </c>
      <c r="O362" s="11">
        <f>L362*COS(RADIANS(K362))</f>
        <v>0</v>
      </c>
      <c r="P362" s="1">
        <v>6.9086068062730916</v>
      </c>
      <c r="Q362" s="1">
        <v>0.70613337089578498</v>
      </c>
      <c r="R362" s="1">
        <f>P362/Q362</f>
        <v>9.7837138011321958</v>
      </c>
    </row>
    <row r="363" spans="1:18" x14ac:dyDescent="0.35">
      <c r="A363" s="14">
        <v>2667</v>
      </c>
      <c r="B363" s="6">
        <v>0.5</v>
      </c>
      <c r="C363" s="6">
        <v>2000000</v>
      </c>
      <c r="D363" s="6">
        <v>5</v>
      </c>
      <c r="E363" s="6">
        <v>0.125</v>
      </c>
      <c r="F363" s="6">
        <v>0.15</v>
      </c>
      <c r="G363" s="11">
        <f>(C363*$V$4)/($V$5*$V$3)</f>
        <v>29.387755102040813</v>
      </c>
      <c r="H363" s="11">
        <f>G363*COS(RADIANS(D363))</f>
        <v>29.275925821471702</v>
      </c>
      <c r="I363" s="11">
        <f>G363*SIN(RADIANS(D363))</f>
        <v>2.5613116236046478</v>
      </c>
      <c r="J363" s="12">
        <v>0.23300000000000001</v>
      </c>
      <c r="K363" s="11">
        <v>27</v>
      </c>
      <c r="L363" s="11">
        <f>-(F363*G363*$V$3)/J363</f>
        <v>-18.919155645090651</v>
      </c>
      <c r="M363" s="11">
        <f>ABS(L363/$V$6)</f>
        <v>5.5157888178106858E-2</v>
      </c>
      <c r="N363" s="11">
        <f>L363*SIN(RADIANS(K363))</f>
        <v>-8.5891169259649711</v>
      </c>
      <c r="O363" s="11">
        <f>L363*COS(RADIANS(K363))</f>
        <v>-16.857091111910961</v>
      </c>
      <c r="P363" s="1">
        <v>5.3532770863677337</v>
      </c>
      <c r="Q363" s="1">
        <v>3.5741871297824079E-2</v>
      </c>
      <c r="R363" s="1">
        <f>P363/Q363</f>
        <v>149.77607192865793</v>
      </c>
    </row>
    <row r="364" spans="1:18" x14ac:dyDescent="0.35">
      <c r="A364" s="14">
        <v>2668</v>
      </c>
      <c r="B364" s="6">
        <v>0.1</v>
      </c>
      <c r="C364" s="6">
        <v>2000000</v>
      </c>
      <c r="D364" s="6">
        <v>20</v>
      </c>
      <c r="E364" s="6">
        <v>0.25</v>
      </c>
      <c r="F364" s="6">
        <v>0.1</v>
      </c>
      <c r="G364" s="11">
        <f>(C364*$V$4)/($V$5*$V$3)</f>
        <v>29.387755102040813</v>
      </c>
      <c r="H364" s="11">
        <f>G364*COS(RADIANS(D364))</f>
        <v>27.615456610851183</v>
      </c>
      <c r="I364" s="11">
        <f>G364*SIN(RADIANS(D364))</f>
        <v>10.051204212019652</v>
      </c>
      <c r="J364" s="11">
        <v>0.1661</v>
      </c>
      <c r="K364" s="12">
        <v>80</v>
      </c>
      <c r="L364" s="11">
        <f>-(F364*G364*$V$3)/J364</f>
        <v>-17.69280861050019</v>
      </c>
      <c r="M364" s="11">
        <f>ABS(L364/$V$6)</f>
        <v>5.1582532392128837E-2</v>
      </c>
      <c r="N364" s="11">
        <f>L364*SIN(RADIANS(K364))</f>
        <v>-17.42401509218174</v>
      </c>
      <c r="O364" s="11">
        <f>L364*COS(RADIANS(K364))</f>
        <v>-3.0723239730231331</v>
      </c>
      <c r="P364" s="1">
        <v>1.7721323403178235</v>
      </c>
      <c r="Q364" s="1">
        <v>0.82614948580130076</v>
      </c>
      <c r="R364" s="1">
        <f>P364/Q364</f>
        <v>2.1450504669853943</v>
      </c>
    </row>
    <row r="365" spans="1:18" x14ac:dyDescent="0.35">
      <c r="A365" s="14">
        <v>2669</v>
      </c>
      <c r="B365" s="6">
        <v>0.25</v>
      </c>
      <c r="C365" s="6">
        <v>4000000</v>
      </c>
      <c r="D365" s="6">
        <v>10</v>
      </c>
      <c r="E365" s="6">
        <v>0.375</v>
      </c>
      <c r="F365" s="6">
        <v>7.4999999999999997E-2</v>
      </c>
      <c r="G365" s="11">
        <f>(C365*$V$4)/($V$5*$V$3)</f>
        <v>58.775510204081627</v>
      </c>
      <c r="H365" s="11">
        <f>G365*COS(RADIANS(D365))</f>
        <v>57.882578136227728</v>
      </c>
      <c r="I365" s="11">
        <f>G365*SIN(RADIANS(D365))</f>
        <v>10.206260238382843</v>
      </c>
      <c r="J365" s="11">
        <v>0.1976</v>
      </c>
      <c r="K365" s="12">
        <v>78</v>
      </c>
      <c r="L365" s="11">
        <f>-(F365*G365*$V$3)/J365</f>
        <v>-22.308518549120052</v>
      </c>
      <c r="M365" s="11">
        <f>ABS(L365/$V$6)</f>
        <v>6.5039412679650299E-2</v>
      </c>
      <c r="N365" s="11">
        <f>L365*SIN(RADIANS(K365))</f>
        <v>-21.821023894747377</v>
      </c>
      <c r="O365" s="11">
        <f>L365*COS(RADIANS(K365))</f>
        <v>-4.6382018111869003</v>
      </c>
      <c r="P365" s="1">
        <v>2.5249777174147399</v>
      </c>
      <c r="Q365" s="1">
        <v>0.28769831770837928</v>
      </c>
      <c r="R365" s="1">
        <f>P365/Q365</f>
        <v>8.7764771706942764</v>
      </c>
    </row>
    <row r="366" spans="1:18" x14ac:dyDescent="0.35">
      <c r="A366" s="14">
        <v>2670</v>
      </c>
      <c r="B366" s="6">
        <v>0.1</v>
      </c>
      <c r="C366" s="6">
        <v>6000000</v>
      </c>
      <c r="D366" s="6">
        <v>15</v>
      </c>
      <c r="E366" s="6">
        <v>0.25</v>
      </c>
      <c r="F366" s="6">
        <v>3.5000000000000003E-2</v>
      </c>
      <c r="G366" s="11">
        <f>(C366*$V$4)/($V$5*$V$3)</f>
        <v>88.16326530612244</v>
      </c>
      <c r="H366" s="11">
        <f>G366*COS(RADIANS(D366))</f>
        <v>85.159174889158663</v>
      </c>
      <c r="I366" s="11">
        <f>G366*SIN(RADIANS(D366))</f>
        <v>22.818332139650806</v>
      </c>
      <c r="J366" s="11">
        <v>0.1661</v>
      </c>
      <c r="K366" s="12">
        <v>80</v>
      </c>
      <c r="L366" s="11">
        <f>-(F366*G366*$V$3)/J366</f>
        <v>-18.577449041025201</v>
      </c>
      <c r="M366" s="11">
        <f>ABS(L366/$V$6)</f>
        <v>5.416165901173528E-2</v>
      </c>
      <c r="N366" s="11">
        <f>L366*SIN(RADIANS(K366))</f>
        <v>-18.295215846790825</v>
      </c>
      <c r="O366" s="11">
        <f>L366*COS(RADIANS(K366))</f>
        <v>-3.2259401716742899</v>
      </c>
      <c r="P366" s="1">
        <v>1.6077350738943494</v>
      </c>
      <c r="Q366" s="1">
        <v>0.63248941079217169</v>
      </c>
      <c r="R366" s="1">
        <f>P366/Q366</f>
        <v>2.5419161909457353</v>
      </c>
    </row>
    <row r="367" spans="1:18" x14ac:dyDescent="0.35">
      <c r="A367" s="14">
        <v>2671</v>
      </c>
      <c r="B367" s="6">
        <v>0.75</v>
      </c>
      <c r="C367" s="6">
        <v>6000000</v>
      </c>
      <c r="D367" s="6">
        <v>5</v>
      </c>
      <c r="E367" s="6">
        <v>0.25</v>
      </c>
      <c r="F367" s="6">
        <v>0</v>
      </c>
      <c r="G367" s="11">
        <f>(C367*$V$4)/($V$5*$V$3)</f>
        <v>88.16326530612244</v>
      </c>
      <c r="H367" s="11">
        <f>G367*COS(RADIANS(D367))</f>
        <v>87.827777464415107</v>
      </c>
      <c r="I367" s="11">
        <f>G367*SIN(RADIANS(D367))</f>
        <v>7.6839348708139434</v>
      </c>
      <c r="J367" s="12">
        <v>0.28370000000000001</v>
      </c>
      <c r="K367" s="11">
        <v>38</v>
      </c>
      <c r="L367" s="11">
        <f>-(F367*G367*$V$3)/J367</f>
        <v>0</v>
      </c>
      <c r="M367" s="11">
        <f>ABS(L367/$V$6)</f>
        <v>0</v>
      </c>
      <c r="N367" s="11">
        <f>L367*SIN(RADIANS(K367))</f>
        <v>0</v>
      </c>
      <c r="O367" s="11">
        <f>L367*COS(RADIANS(K367))</f>
        <v>0</v>
      </c>
      <c r="P367" s="1">
        <v>5.855504633688227</v>
      </c>
      <c r="Q367" s="1">
        <v>0.89944491694429218</v>
      </c>
      <c r="R367" s="1">
        <f>P367/Q367</f>
        <v>6.5101314414909215</v>
      </c>
    </row>
    <row r="368" spans="1:18" x14ac:dyDescent="0.35">
      <c r="A368" s="14">
        <v>2672</v>
      </c>
      <c r="B368" s="6">
        <v>0.5</v>
      </c>
      <c r="C368" s="6">
        <v>4000000</v>
      </c>
      <c r="D368" s="6">
        <v>10</v>
      </c>
      <c r="E368" s="6">
        <v>0.375</v>
      </c>
      <c r="F368" s="6">
        <v>0.05</v>
      </c>
      <c r="G368" s="11">
        <f>(C368*$V$4)/($V$5*$V$3)</f>
        <v>58.775510204081627</v>
      </c>
      <c r="H368" s="11">
        <f>G368*COS(RADIANS(D368))</f>
        <v>57.882578136227728</v>
      </c>
      <c r="I368" s="11">
        <f>G368*SIN(RADIANS(D368))</f>
        <v>10.206260238382843</v>
      </c>
      <c r="J368" s="12">
        <v>0.24809999999999999</v>
      </c>
      <c r="K368" s="11">
        <v>67</v>
      </c>
      <c r="L368" s="11">
        <f>-(F368*G368*$V$3)/J368</f>
        <v>-11.845124990745996</v>
      </c>
      <c r="M368" s="11">
        <f>ABS(L368/$V$6)</f>
        <v>3.4533892101300277E-2</v>
      </c>
      <c r="N368" s="11">
        <f>L368*SIN(RADIANS(K368))</f>
        <v>-10.903495043732482</v>
      </c>
      <c r="O368" s="11">
        <f>L368*COS(RADIANS(K368))</f>
        <v>-4.6282590547306803</v>
      </c>
      <c r="P368" s="1">
        <v>3.5745834309578868</v>
      </c>
      <c r="Q368" s="1">
        <v>0.18413752230125852</v>
      </c>
      <c r="R368" s="1">
        <f>P368/Q368</f>
        <v>19.412574831487539</v>
      </c>
    </row>
    <row r="369" spans="1:18" x14ac:dyDescent="0.35">
      <c r="A369" s="14">
        <v>2673</v>
      </c>
      <c r="B369" s="6">
        <v>0.25</v>
      </c>
      <c r="C369" s="6">
        <v>2000000</v>
      </c>
      <c r="D369" s="6">
        <v>30</v>
      </c>
      <c r="E369" s="6">
        <v>0</v>
      </c>
      <c r="F369" s="6">
        <v>0</v>
      </c>
      <c r="G369" s="11">
        <f>(C369*$V$4)/($V$5*$V$3)</f>
        <v>29.387755102040813</v>
      </c>
      <c r="H369" s="11">
        <f>G369*COS(RADIANS(D369))</f>
        <v>25.450542478563094</v>
      </c>
      <c r="I369" s="11">
        <f>G369*SIN(RADIANS(D369))</f>
        <v>14.693877551020405</v>
      </c>
      <c r="J369" s="12">
        <v>0.18990000000000001</v>
      </c>
      <c r="K369" s="11">
        <v>0</v>
      </c>
      <c r="L369" s="11">
        <f>-(F369*G369*$V$3)/J369</f>
        <v>0</v>
      </c>
      <c r="M369" s="11">
        <f>ABS(L369/$V$6)</f>
        <v>0</v>
      </c>
      <c r="N369" s="11">
        <f>L369*SIN(RADIANS(K369))</f>
        <v>0</v>
      </c>
      <c r="O369" s="11">
        <f>L369*COS(RADIANS(K369))</f>
        <v>0</v>
      </c>
      <c r="P369" s="1">
        <v>2.1752158458046029</v>
      </c>
      <c r="Q369" s="1">
        <v>1.0126984870765749</v>
      </c>
      <c r="R369" s="1">
        <f>P369/Q369</f>
        <v>2.14794025424482</v>
      </c>
    </row>
    <row r="370" spans="1:18" x14ac:dyDescent="0.35">
      <c r="A370" s="14">
        <v>2674</v>
      </c>
      <c r="B370" s="6">
        <v>0.25</v>
      </c>
      <c r="C370" s="6">
        <v>2000000</v>
      </c>
      <c r="D370" s="6">
        <v>0</v>
      </c>
      <c r="E370" s="6">
        <v>0.25</v>
      </c>
      <c r="F370" s="6">
        <v>0.05</v>
      </c>
      <c r="G370" s="11">
        <f>(C370*$V$4)/($V$5*$V$3)</f>
        <v>29.387755102040813</v>
      </c>
      <c r="H370" s="11">
        <f>G370*COS(RADIANS(D370))</f>
        <v>29.387755102040813</v>
      </c>
      <c r="I370" s="11">
        <f>G370*SIN(RADIANS(D370))</f>
        <v>0</v>
      </c>
      <c r="J370" s="12">
        <v>0.1913</v>
      </c>
      <c r="K370" s="11">
        <v>67</v>
      </c>
      <c r="L370" s="11">
        <f>-(F370*G370*$V$3)/J370</f>
        <v>-7.6810651076949332</v>
      </c>
      <c r="M370" s="11">
        <f>ABS(L370/$V$6)</f>
        <v>2.239377582418348E-2</v>
      </c>
      <c r="N370" s="11">
        <f>L370*SIN(RADIANS(K370))</f>
        <v>-7.0704577113173777</v>
      </c>
      <c r="O370" s="11">
        <f>L370*COS(RADIANS(K370))</f>
        <v>-3.0012312375292258</v>
      </c>
      <c r="P370" s="1">
        <v>1.9855316788195552</v>
      </c>
      <c r="Q370" s="1">
        <v>0.13203287569949987</v>
      </c>
      <c r="R370" s="1">
        <f>P370/Q370</f>
        <v>15.038161278396485</v>
      </c>
    </row>
    <row r="371" spans="1:18" x14ac:dyDescent="0.35">
      <c r="A371" s="14">
        <v>2675</v>
      </c>
      <c r="B371" s="6">
        <v>0.5</v>
      </c>
      <c r="C371" s="6">
        <v>2000000</v>
      </c>
      <c r="D371" s="6">
        <v>10</v>
      </c>
      <c r="E371" s="6">
        <v>0</v>
      </c>
      <c r="F371" s="6">
        <v>2.5000000000000001E-2</v>
      </c>
      <c r="G371" s="11">
        <f>(C371*$V$4)/($V$5*$V$3)</f>
        <v>29.387755102040813</v>
      </c>
      <c r="H371" s="11">
        <f>G371*COS(RADIANS(D371))</f>
        <v>28.941289068113864</v>
      </c>
      <c r="I371" s="11">
        <f>G371*SIN(RADIANS(D371))</f>
        <v>5.1031301191914213</v>
      </c>
      <c r="J371" s="12">
        <v>0.23230000000000001</v>
      </c>
      <c r="K371" s="11">
        <v>0</v>
      </c>
      <c r="L371" s="11">
        <f>-(F371*G371*$V$3)/J371</f>
        <v>-3.1626942641025413</v>
      </c>
      <c r="M371" s="11">
        <f>ABS(L371/$V$6)</f>
        <v>9.2206829857216944E-3</v>
      </c>
      <c r="N371" s="11">
        <f>L371*SIN(RADIANS(K371))</f>
        <v>0</v>
      </c>
      <c r="O371" s="11">
        <f>L371*COS(RADIANS(K371))</f>
        <v>-3.1626942641025413</v>
      </c>
      <c r="P371" s="1">
        <v>2.4080474323807479</v>
      </c>
      <c r="Q371" s="1">
        <v>0.7148818568315034</v>
      </c>
      <c r="R371" s="1">
        <f>P371/Q371</f>
        <v>3.3684550941797382</v>
      </c>
    </row>
    <row r="372" spans="1:18" x14ac:dyDescent="0.35">
      <c r="A372" s="14">
        <v>2676</v>
      </c>
      <c r="B372" s="6">
        <v>0.1</v>
      </c>
      <c r="C372" s="6">
        <v>2000000</v>
      </c>
      <c r="D372" s="6">
        <v>15</v>
      </c>
      <c r="E372" s="6">
        <v>0.375</v>
      </c>
      <c r="F372" s="6">
        <v>3.5000000000000003E-2</v>
      </c>
      <c r="G372" s="11">
        <f>(C372*$V$4)/($V$5*$V$3)</f>
        <v>29.387755102040813</v>
      </c>
      <c r="H372" s="11">
        <f>G372*COS(RADIANS(D372))</f>
        <v>28.386391629719554</v>
      </c>
      <c r="I372" s="11">
        <f>G372*SIN(RADIANS(D372))</f>
        <v>7.6061107132169354</v>
      </c>
      <c r="J372" s="12">
        <v>0.16789999999999999</v>
      </c>
      <c r="K372" s="11">
        <v>85</v>
      </c>
      <c r="L372" s="11">
        <f>-(F372*G372*$V$3)/J372</f>
        <v>-6.126095464987662</v>
      </c>
      <c r="M372" s="11">
        <f>ABS(L372/$V$6)</f>
        <v>1.7860336632617092E-2</v>
      </c>
      <c r="N372" s="11">
        <f>L372*SIN(RADIANS(K372))</f>
        <v>-6.1027838222245956</v>
      </c>
      <c r="O372" s="11">
        <f>L372*COS(RADIANS(K372))</f>
        <v>-0.53392440039405986</v>
      </c>
      <c r="P372" s="1">
        <v>1.8523365185787048</v>
      </c>
      <c r="Q372" s="1">
        <v>0.68395472097608767</v>
      </c>
      <c r="R372" s="1">
        <f>P372/Q372</f>
        <v>2.7082736060878303</v>
      </c>
    </row>
    <row r="373" spans="1:18" x14ac:dyDescent="0.35">
      <c r="A373" s="14">
        <v>2721</v>
      </c>
      <c r="B373" s="6">
        <v>0.25</v>
      </c>
      <c r="C373" s="6">
        <v>4000000</v>
      </c>
      <c r="D373" s="6">
        <v>0</v>
      </c>
      <c r="E373" s="6">
        <v>0.25</v>
      </c>
      <c r="F373" s="6">
        <v>0.15</v>
      </c>
      <c r="G373" s="11">
        <f>(C373*$V$4)/($V$5*$V$3)</f>
        <v>58.775510204081627</v>
      </c>
      <c r="H373" s="11">
        <f>G373*COS(RADIANS(D373))</f>
        <v>58.775510204081627</v>
      </c>
      <c r="I373" s="11">
        <f>G373*SIN(RADIANS(D373))</f>
        <v>0</v>
      </c>
      <c r="J373" s="12">
        <v>0.1913</v>
      </c>
      <c r="K373" s="11">
        <v>67</v>
      </c>
      <c r="L373" s="11">
        <f>-(F373*G373*$V$3)/J373</f>
        <v>-46.086390646169598</v>
      </c>
      <c r="M373" s="11">
        <f>ABS(L373/$V$6)</f>
        <v>0.13436265494510086</v>
      </c>
      <c r="N373" s="11">
        <f>L373*SIN(RADIANS(K373))</f>
        <v>-42.422746267904266</v>
      </c>
      <c r="O373" s="11">
        <f>L373*COS(RADIANS(K373))</f>
        <v>-18.007387425175356</v>
      </c>
      <c r="P373" s="1">
        <v>2.7536836269994778</v>
      </c>
      <c r="Q373" s="1">
        <v>-9.1116656243002657E-3</v>
      </c>
      <c r="R373" s="1">
        <f>P373/Q373</f>
        <v>-302.21517563765383</v>
      </c>
    </row>
    <row r="374" spans="1:18" x14ac:dyDescent="0.35">
      <c r="A374" s="14">
        <v>2678</v>
      </c>
      <c r="B374" s="6">
        <v>0.75</v>
      </c>
      <c r="C374" s="6">
        <v>4000000</v>
      </c>
      <c r="D374" s="6">
        <v>10</v>
      </c>
      <c r="E374" s="6">
        <v>0</v>
      </c>
      <c r="F374" s="6">
        <v>0.15</v>
      </c>
      <c r="G374" s="11">
        <f>(C374*$V$4)/($V$5*$V$3)</f>
        <v>58.775510204081627</v>
      </c>
      <c r="H374" s="11">
        <f>G374*COS(RADIANS(D374))</f>
        <v>57.882578136227728</v>
      </c>
      <c r="I374" s="11">
        <f>G374*SIN(RADIANS(D374))</f>
        <v>10.206260238382843</v>
      </c>
      <c r="J374" s="11">
        <v>0.27929999999999999</v>
      </c>
      <c r="K374" s="11">
        <v>0</v>
      </c>
      <c r="L374" s="11">
        <f>-(F374*G374*$V$3)/J374</f>
        <v>-31.565794953856944</v>
      </c>
      <c r="M374" s="11">
        <f>ABS(L374/$V$6)</f>
        <v>9.2028556716784088E-2</v>
      </c>
      <c r="N374" s="11">
        <f>L374*SIN(RADIANS(K374))</f>
        <v>0</v>
      </c>
      <c r="O374" s="11">
        <f>L374*COS(RADIANS(K374))</f>
        <v>-31.565794953856944</v>
      </c>
      <c r="P374" s="1">
        <v>7.4781104905859372</v>
      </c>
      <c r="Q374" s="1">
        <v>0.63148731005206515</v>
      </c>
      <c r="R374" s="1">
        <f>P374/Q374</f>
        <v>11.842059803180176</v>
      </c>
    </row>
    <row r="375" spans="1:18" x14ac:dyDescent="0.35">
      <c r="A375" s="14">
        <v>2679</v>
      </c>
      <c r="B375" s="6">
        <v>0.1</v>
      </c>
      <c r="C375" s="6">
        <v>2000000</v>
      </c>
      <c r="D375" s="6">
        <v>15</v>
      </c>
      <c r="E375" s="6">
        <v>0</v>
      </c>
      <c r="F375" s="6">
        <v>3.5000000000000003E-2</v>
      </c>
      <c r="G375" s="11">
        <f>(C375*$V$4)/($V$5*$V$3)</f>
        <v>29.387755102040813</v>
      </c>
      <c r="H375" s="11">
        <f>G375*COS(RADIANS(D375))</f>
        <v>28.386391629719554</v>
      </c>
      <c r="I375" s="11">
        <f>G375*SIN(RADIANS(D375))</f>
        <v>7.6061107132169354</v>
      </c>
      <c r="J375" s="11">
        <v>0.16569999999999999</v>
      </c>
      <c r="K375" s="12">
        <v>0</v>
      </c>
      <c r="L375" s="11">
        <f>-(F375*G375*$V$3)/J375</f>
        <v>-6.2074316751444085</v>
      </c>
      <c r="M375" s="11">
        <f>ABS(L375/$V$6)</f>
        <v>1.8097468440654251E-2</v>
      </c>
      <c r="N375" s="11">
        <f>L375*SIN(RADIANS(K375))</f>
        <v>0</v>
      </c>
      <c r="O375" s="11">
        <f>L375*COS(RADIANS(K375))</f>
        <v>-6.2074316751444085</v>
      </c>
      <c r="P375" s="1">
        <v>1.4121541458735998</v>
      </c>
      <c r="Q375" s="1">
        <v>0.52392106605399991</v>
      </c>
      <c r="R375" s="1">
        <f>P375/Q375</f>
        <v>2.6953566813212486</v>
      </c>
    </row>
    <row r="376" spans="1:18" x14ac:dyDescent="0.35">
      <c r="A376" s="14">
        <v>2680</v>
      </c>
      <c r="B376" s="6">
        <v>0.1</v>
      </c>
      <c r="C376" s="6">
        <v>2000000</v>
      </c>
      <c r="D376" s="6">
        <v>10</v>
      </c>
      <c r="E376" s="6">
        <v>0.25</v>
      </c>
      <c r="F376" s="6">
        <v>0.15</v>
      </c>
      <c r="G376" s="11">
        <f>(C376*$V$4)/($V$5*$V$3)</f>
        <v>29.387755102040813</v>
      </c>
      <c r="H376" s="11">
        <f>G376*COS(RADIANS(D376))</f>
        <v>28.941289068113864</v>
      </c>
      <c r="I376" s="11">
        <f>G376*SIN(RADIANS(D376))</f>
        <v>5.1031301191914213</v>
      </c>
      <c r="J376" s="11">
        <v>0.1661</v>
      </c>
      <c r="K376" s="12">
        <v>80</v>
      </c>
      <c r="L376" s="11">
        <f>-(F376*G376*$V$3)/J376</f>
        <v>-26.539212915750284</v>
      </c>
      <c r="M376" s="11">
        <f>ABS(L376/$V$6)</f>
        <v>7.7373798588193252E-2</v>
      </c>
      <c r="N376" s="11">
        <f>L376*SIN(RADIANS(K376))</f>
        <v>-26.136022638272607</v>
      </c>
      <c r="O376" s="11">
        <f>L376*COS(RADIANS(K376))</f>
        <v>-4.6084859595346996</v>
      </c>
      <c r="P376" s="1">
        <v>1.9984899123790449</v>
      </c>
      <c r="Q376" s="1">
        <v>0.50613593122983236</v>
      </c>
      <c r="R376" s="1">
        <f>P376/Q376</f>
        <v>3.9485240803256594</v>
      </c>
    </row>
    <row r="377" spans="1:18" x14ac:dyDescent="0.35">
      <c r="A377" s="14">
        <v>2681</v>
      </c>
      <c r="B377" s="6">
        <v>0.5</v>
      </c>
      <c r="C377" s="6">
        <v>2000000</v>
      </c>
      <c r="D377" s="6">
        <v>5</v>
      </c>
      <c r="E377" s="6">
        <v>0.125</v>
      </c>
      <c r="F377" s="6">
        <v>0</v>
      </c>
      <c r="G377" s="11">
        <f>(C377*$V$4)/($V$5*$V$3)</f>
        <v>29.387755102040813</v>
      </c>
      <c r="H377" s="11">
        <f>G377*COS(RADIANS(D377))</f>
        <v>29.275925821471702</v>
      </c>
      <c r="I377" s="11">
        <f>G377*SIN(RADIANS(D377))</f>
        <v>2.5613116236046478</v>
      </c>
      <c r="J377" s="12">
        <v>0.23300000000000001</v>
      </c>
      <c r="K377" s="11">
        <v>27</v>
      </c>
      <c r="L377" s="11">
        <f>-(F377*G377*$V$3)/J377</f>
        <v>0</v>
      </c>
      <c r="M377" s="11">
        <f>ABS(L377/$V$6)</f>
        <v>0</v>
      </c>
      <c r="N377" s="11">
        <f>L377*SIN(RADIANS(K377))</f>
        <v>0</v>
      </c>
      <c r="O377" s="11">
        <f>L377*COS(RADIANS(K377))</f>
        <v>0</v>
      </c>
      <c r="P377" s="1">
        <v>4.0617356766190982</v>
      </c>
      <c r="Q377" s="1">
        <v>0.67256773014773064</v>
      </c>
      <c r="R377" s="1">
        <f>P377/Q377</f>
        <v>6.0391474264263785</v>
      </c>
    </row>
    <row r="378" spans="1:18" x14ac:dyDescent="0.35">
      <c r="A378" s="14">
        <v>2682</v>
      </c>
      <c r="B378" s="6">
        <v>0.1</v>
      </c>
      <c r="C378" s="6">
        <v>2000000</v>
      </c>
      <c r="D378" s="6">
        <v>5</v>
      </c>
      <c r="E378" s="6">
        <v>0</v>
      </c>
      <c r="F378" s="6">
        <v>0.15</v>
      </c>
      <c r="G378" s="11">
        <f>(C378*$V$4)/($V$5*$V$3)</f>
        <v>29.387755102040813</v>
      </c>
      <c r="H378" s="11">
        <f>G378*COS(RADIANS(D378))</f>
        <v>29.275925821471702</v>
      </c>
      <c r="I378" s="11">
        <f>G378*SIN(RADIANS(D378))</f>
        <v>2.5613116236046478</v>
      </c>
      <c r="J378" s="11">
        <v>0.16569999999999999</v>
      </c>
      <c r="K378" s="12">
        <v>0</v>
      </c>
      <c r="L378" s="11">
        <f>-(F378*G378*$V$3)/J378</f>
        <v>-26.603278607761752</v>
      </c>
      <c r="M378" s="11">
        <f>ABS(L378/$V$6)</f>
        <v>7.7560579031375365E-2</v>
      </c>
      <c r="N378" s="11">
        <f>L378*SIN(RADIANS(K378))</f>
        <v>0</v>
      </c>
      <c r="O378" s="11">
        <f>L378*COS(RADIANS(K378))</f>
        <v>-26.603278607761752</v>
      </c>
      <c r="P378" s="1">
        <v>1.570518657347209</v>
      </c>
      <c r="Q378" s="1">
        <v>0.25788034917285635</v>
      </c>
      <c r="R378" s="1">
        <f>P378/Q378</f>
        <v>6.090105982811802</v>
      </c>
    </row>
    <row r="379" spans="1:18" x14ac:dyDescent="0.35">
      <c r="A379" s="14">
        <v>2683</v>
      </c>
      <c r="B379" s="6">
        <v>0.75</v>
      </c>
      <c r="C379" s="6">
        <v>2000000</v>
      </c>
      <c r="D379" s="6">
        <v>15</v>
      </c>
      <c r="E379" s="6">
        <v>0.125</v>
      </c>
      <c r="F379" s="6">
        <v>3.5000000000000003E-2</v>
      </c>
      <c r="G379" s="11">
        <f>(C379*$V$4)/($V$5*$V$3)</f>
        <v>29.387755102040813</v>
      </c>
      <c r="H379" s="11">
        <f>G379*COS(RADIANS(D379))</f>
        <v>28.386391629719554</v>
      </c>
      <c r="I379" s="11">
        <f>G379*SIN(RADIANS(D379))</f>
        <v>7.6061107132169354</v>
      </c>
      <c r="J379" s="12">
        <v>0.2802</v>
      </c>
      <c r="K379" s="11">
        <v>19</v>
      </c>
      <c r="L379" s="11">
        <f>-(F379*G379*$V$3)/J379</f>
        <v>-3.6708473539308653</v>
      </c>
      <c r="M379" s="11">
        <f>ABS(L379/$V$6)</f>
        <v>1.0702178874434009E-2</v>
      </c>
      <c r="N379" s="11">
        <f>L379*SIN(RADIANS(K379))</f>
        <v>-1.1951109983132089</v>
      </c>
      <c r="O379" s="11">
        <f>L379*COS(RADIANS(K379))</f>
        <v>-3.470854361331233</v>
      </c>
      <c r="P379" s="1">
        <v>2.4374099359188865</v>
      </c>
      <c r="Q379" s="1">
        <v>1.0548805337197262</v>
      </c>
      <c r="R379" s="1">
        <f>P379/Q379</f>
        <v>2.3106028199459483</v>
      </c>
    </row>
    <row r="380" spans="1:18" x14ac:dyDescent="0.35">
      <c r="A380" s="14">
        <v>2684</v>
      </c>
      <c r="B380" s="6">
        <v>0.5</v>
      </c>
      <c r="C380" s="6">
        <v>4000000</v>
      </c>
      <c r="D380" s="6">
        <v>5</v>
      </c>
      <c r="E380" s="6">
        <v>0.125</v>
      </c>
      <c r="F380" s="6">
        <v>0.1</v>
      </c>
      <c r="G380" s="11">
        <f>(C380*$V$4)/($V$5*$V$3)</f>
        <v>58.775510204081627</v>
      </c>
      <c r="H380" s="11">
        <f>G380*COS(RADIANS(D380))</f>
        <v>58.551851642943404</v>
      </c>
      <c r="I380" s="11">
        <f>G380*SIN(RADIANS(D380))</f>
        <v>5.1226232472092956</v>
      </c>
      <c r="J380" s="12">
        <v>0.23300000000000001</v>
      </c>
      <c r="K380" s="11">
        <v>27</v>
      </c>
      <c r="L380" s="11">
        <f>-(F380*G380*$V$3)/J380</f>
        <v>-25.225540860120869</v>
      </c>
      <c r="M380" s="11">
        <f>ABS(L380/$V$6)</f>
        <v>7.3543850904142477E-2</v>
      </c>
      <c r="N380" s="11">
        <f>L380*SIN(RADIANS(K380))</f>
        <v>-11.452155901286629</v>
      </c>
      <c r="O380" s="11">
        <f>L380*COS(RADIANS(K380))</f>
        <v>-22.476121482547949</v>
      </c>
      <c r="P380" s="1">
        <v>4.079436047507623</v>
      </c>
      <c r="Q380" s="1">
        <v>0.17596923900129408</v>
      </c>
      <c r="R380" s="1">
        <f>P380/Q380</f>
        <v>23.182665735558604</v>
      </c>
    </row>
    <row r="381" spans="1:18" x14ac:dyDescent="0.35">
      <c r="A381" s="14">
        <v>2685</v>
      </c>
      <c r="B381" s="6">
        <v>0.25</v>
      </c>
      <c r="C381" s="6">
        <v>2000000</v>
      </c>
      <c r="D381" s="6">
        <v>20</v>
      </c>
      <c r="E381" s="6">
        <v>0.25</v>
      </c>
      <c r="F381" s="6">
        <v>3.5000000000000003E-2</v>
      </c>
      <c r="G381" s="11">
        <f>(C381*$V$4)/($V$5*$V$3)</f>
        <v>29.387755102040813</v>
      </c>
      <c r="H381" s="11">
        <f>G381*COS(RADIANS(D381))</f>
        <v>27.615456610851183</v>
      </c>
      <c r="I381" s="11">
        <f>G381*SIN(RADIANS(D381))</f>
        <v>10.051204212019652</v>
      </c>
      <c r="J381" s="12">
        <v>0.1913</v>
      </c>
      <c r="K381" s="11">
        <v>67</v>
      </c>
      <c r="L381" s="11">
        <f>-(F381*G381*$V$3)/J381</f>
        <v>-5.3767455753864528</v>
      </c>
      <c r="M381" s="11">
        <f>ABS(L381/$V$6)</f>
        <v>1.5675643076928435E-2</v>
      </c>
      <c r="N381" s="11">
        <f>L381*SIN(RADIANS(K381))</f>
        <v>-4.9493203979221638</v>
      </c>
      <c r="O381" s="11">
        <f>L381*COS(RADIANS(K381))</f>
        <v>-2.1008618662704581</v>
      </c>
      <c r="P381" s="1">
        <v>2.2260296649680824</v>
      </c>
      <c r="Q381" s="1">
        <v>0.6525833072629853</v>
      </c>
      <c r="R381" s="1">
        <f>P381/Q381</f>
        <v>3.4111042072227145</v>
      </c>
    </row>
    <row r="382" spans="1:18" x14ac:dyDescent="0.35">
      <c r="A382" s="14">
        <v>2686</v>
      </c>
      <c r="B382" s="6">
        <v>1</v>
      </c>
      <c r="C382" s="6">
        <v>2000000</v>
      </c>
      <c r="D382" s="6">
        <v>30</v>
      </c>
      <c r="E382" s="6">
        <v>0.25</v>
      </c>
      <c r="F382" s="6">
        <v>0.05</v>
      </c>
      <c r="G382" s="11">
        <f>(C382*$V$4)/($V$5*$V$3)</f>
        <v>29.387755102040813</v>
      </c>
      <c r="H382" s="11">
        <f>G382*COS(RADIANS(D382))</f>
        <v>25.450542478563094</v>
      </c>
      <c r="I382" s="11">
        <f>G382*SIN(RADIANS(D382))</f>
        <v>14.693877551020405</v>
      </c>
      <c r="J382" s="13">
        <v>0.33379999999999999</v>
      </c>
      <c r="K382" s="12">
        <v>30</v>
      </c>
      <c r="L382" s="11">
        <f>-(F382*G382*$V$3)/J382</f>
        <v>-4.4020004646556048</v>
      </c>
      <c r="M382" s="11">
        <f>ABS(L382/$V$6)</f>
        <v>1.283382059666357E-2</v>
      </c>
      <c r="N382" s="11">
        <f>L382*SIN(RADIANS(K382))</f>
        <v>-2.201000232327802</v>
      </c>
      <c r="O382" s="11">
        <f>L382*COS(RADIANS(K382))</f>
        <v>-3.8122442298626571</v>
      </c>
      <c r="P382" s="1">
        <v>3.6175557100024518</v>
      </c>
      <c r="Q382" s="1">
        <v>1.5836796073141073</v>
      </c>
      <c r="R382" s="1">
        <f>P382/Q382</f>
        <v>2.2842724584537417</v>
      </c>
    </row>
    <row r="383" spans="1:18" x14ac:dyDescent="0.35">
      <c r="A383" s="14">
        <v>2687</v>
      </c>
      <c r="B383" s="6">
        <v>0.5</v>
      </c>
      <c r="C383" s="6">
        <v>2000000</v>
      </c>
      <c r="D383" s="6">
        <v>0</v>
      </c>
      <c r="E383" s="6">
        <v>0.25</v>
      </c>
      <c r="F383" s="6">
        <v>0.1</v>
      </c>
      <c r="G383" s="11">
        <f>(C383*$V$4)/($V$5*$V$3)</f>
        <v>29.387755102040813</v>
      </c>
      <c r="H383" s="11">
        <f>G383*COS(RADIANS(D383))</f>
        <v>29.387755102040813</v>
      </c>
      <c r="I383" s="11">
        <f>G383*SIN(RADIANS(D383))</f>
        <v>0</v>
      </c>
      <c r="J383" s="11">
        <v>0.23580000000000001</v>
      </c>
      <c r="K383" s="11">
        <v>49</v>
      </c>
      <c r="L383" s="11">
        <f>-(F383*G383*$V$3)/J383</f>
        <v>-12.463000467362516</v>
      </c>
      <c r="M383" s="11">
        <f>ABS(L383/$V$6)</f>
        <v>3.6335278330502964E-2</v>
      </c>
      <c r="N383" s="11">
        <f>L383*SIN(RADIANS(K383))</f>
        <v>-9.405945851039375</v>
      </c>
      <c r="O383" s="11">
        <f>L383*COS(RADIANS(K383))</f>
        <v>-8.1764639849260909</v>
      </c>
      <c r="P383" s="1">
        <v>4.8350152631036298</v>
      </c>
      <c r="Q383" s="1">
        <v>-0.33590579149513089</v>
      </c>
      <c r="R383" s="1">
        <f>P383/Q383</f>
        <v>-14.393962192740924</v>
      </c>
    </row>
    <row r="384" spans="1:18" x14ac:dyDescent="0.35">
      <c r="A384" s="14">
        <v>2688</v>
      </c>
      <c r="B384" s="6">
        <v>0.75</v>
      </c>
      <c r="C384" s="6">
        <v>6000000</v>
      </c>
      <c r="D384" s="6">
        <v>0</v>
      </c>
      <c r="E384" s="6">
        <v>0.375</v>
      </c>
      <c r="F384" s="6">
        <v>0.05</v>
      </c>
      <c r="G384" s="11">
        <f>(C384*$V$4)/($V$5*$V$3)</f>
        <v>88.16326530612244</v>
      </c>
      <c r="H384" s="11">
        <f>G384*COS(RADIANS(D384))</f>
        <v>88.16326530612244</v>
      </c>
      <c r="I384" s="11">
        <f>G384*SIN(RADIANS(D384))</f>
        <v>0</v>
      </c>
      <c r="J384" s="11">
        <v>0.29299999999999998</v>
      </c>
      <c r="K384" s="12">
        <v>57</v>
      </c>
      <c r="L384" s="11">
        <f>-(F384*G384*$V$3)/J384</f>
        <v>-15.044925820157413</v>
      </c>
      <c r="M384" s="11">
        <f>ABS(L384/$V$6)</f>
        <v>4.3862757493170298E-2</v>
      </c>
      <c r="N384" s="11">
        <f>L384*SIN(RADIANS(K384))</f>
        <v>-12.617736482288192</v>
      </c>
      <c r="O384" s="11">
        <f>L384*COS(RADIANS(K384))</f>
        <v>-8.1940538805631977</v>
      </c>
      <c r="P384" s="1">
        <v>4.0587493079461785</v>
      </c>
      <c r="Q384" s="1">
        <v>-0.42624064213978918</v>
      </c>
      <c r="R384" s="1">
        <f>P384/Q384</f>
        <v>-9.5222015610024293</v>
      </c>
    </row>
    <row r="385" spans="1:18" x14ac:dyDescent="0.35">
      <c r="A385" s="14">
        <v>2845</v>
      </c>
      <c r="B385" s="6">
        <v>0.25</v>
      </c>
      <c r="C385" s="6">
        <v>6000000</v>
      </c>
      <c r="D385" s="6">
        <v>10</v>
      </c>
      <c r="E385" s="6">
        <v>0.25</v>
      </c>
      <c r="F385" s="6">
        <v>0.1</v>
      </c>
      <c r="G385" s="11">
        <f>(C385*$V$4)/($V$5*$V$3)</f>
        <v>88.16326530612244</v>
      </c>
      <c r="H385" s="11">
        <f>G385*COS(RADIANS(D385))</f>
        <v>86.823867204341596</v>
      </c>
      <c r="I385" s="11">
        <f>G385*SIN(RADIANS(D385))</f>
        <v>15.309390357574264</v>
      </c>
      <c r="J385" s="12">
        <v>0.1913</v>
      </c>
      <c r="K385" s="11">
        <v>67</v>
      </c>
      <c r="L385" s="11">
        <f>-(F385*G385*$V$3)/J385</f>
        <v>-46.086390646169598</v>
      </c>
      <c r="M385" s="11">
        <f>ABS(L385/$V$6)</f>
        <v>0.13436265494510086</v>
      </c>
      <c r="N385" s="11">
        <f>L385*SIN(RADIANS(K385))</f>
        <v>-42.422746267904266</v>
      </c>
      <c r="O385" s="11">
        <f>L385*COS(RADIANS(K385))</f>
        <v>-18.007387425175356</v>
      </c>
      <c r="P385" s="1">
        <v>2.4376809314693464</v>
      </c>
      <c r="Q385" s="1">
        <v>0.37647795978788245</v>
      </c>
      <c r="R385" s="1">
        <f>P385/Q385</f>
        <v>6.4749631899907225</v>
      </c>
    </row>
    <row r="386" spans="1:18" x14ac:dyDescent="0.35">
      <c r="A386" s="14">
        <v>2690</v>
      </c>
      <c r="B386" s="6">
        <v>0.5</v>
      </c>
      <c r="C386" s="6">
        <v>2000000</v>
      </c>
      <c r="D386" s="6">
        <v>15</v>
      </c>
      <c r="E386" s="6">
        <v>0.25</v>
      </c>
      <c r="F386" s="6">
        <v>0.1</v>
      </c>
      <c r="G386" s="11">
        <f>(C386*$V$4)/($V$5*$V$3)</f>
        <v>29.387755102040813</v>
      </c>
      <c r="H386" s="11">
        <f>G386*COS(RADIANS(D386))</f>
        <v>28.386391629719554</v>
      </c>
      <c r="I386" s="11">
        <f>G386*SIN(RADIANS(D386))</f>
        <v>7.6061107132169354</v>
      </c>
      <c r="J386" s="11">
        <v>0.23580000000000001</v>
      </c>
      <c r="K386" s="11">
        <v>49</v>
      </c>
      <c r="L386" s="11">
        <f>-(F386*G386*$V$3)/J386</f>
        <v>-12.463000467362516</v>
      </c>
      <c r="M386" s="11">
        <f>ABS(L386/$V$6)</f>
        <v>3.6335278330502964E-2</v>
      </c>
      <c r="N386" s="11">
        <f>L386*SIN(RADIANS(K386))</f>
        <v>-9.405945851039375</v>
      </c>
      <c r="O386" s="11">
        <f>L386*COS(RADIANS(K386))</f>
        <v>-8.1764639849260909</v>
      </c>
      <c r="P386" s="1">
        <v>5.0610906086550758</v>
      </c>
      <c r="Q386" s="1">
        <v>0.53443542101170616</v>
      </c>
      <c r="R386" s="1">
        <f>P386/Q386</f>
        <v>9.4699759964903567</v>
      </c>
    </row>
    <row r="387" spans="1:18" x14ac:dyDescent="0.35">
      <c r="A387" s="14">
        <v>2556</v>
      </c>
      <c r="B387" s="6">
        <v>0.25</v>
      </c>
      <c r="C387" s="6">
        <v>4000000</v>
      </c>
      <c r="D387" s="6">
        <v>10</v>
      </c>
      <c r="E387" s="6">
        <v>0.375</v>
      </c>
      <c r="F387" s="6">
        <v>0.15</v>
      </c>
      <c r="G387" s="11">
        <f>(C387*$V$4)/($V$5*$V$3)</f>
        <v>58.775510204081627</v>
      </c>
      <c r="H387" s="11">
        <f>G387*COS(RADIANS(D387))</f>
        <v>57.882578136227728</v>
      </c>
      <c r="I387" s="11">
        <f>G387*SIN(RADIANS(D387))</f>
        <v>10.206260238382843</v>
      </c>
      <c r="J387" s="20">
        <v>0.1976</v>
      </c>
      <c r="K387" s="19">
        <v>78</v>
      </c>
      <c r="L387" s="11">
        <f>-(F387*G387*$V$3)/J387</f>
        <v>-44.617037098240104</v>
      </c>
      <c r="M387" s="11">
        <f>ABS(L387/$V$6)</f>
        <v>0.1300788253593006</v>
      </c>
      <c r="N387" s="11">
        <f>L387*SIN(RADIANS(K387))</f>
        <v>-43.642047789494754</v>
      </c>
      <c r="O387" s="11">
        <f>L387*COS(RADIANS(K387))</f>
        <v>-9.2764036223738007</v>
      </c>
      <c r="P387" s="1">
        <v>2.9408097494441772</v>
      </c>
      <c r="Q387" s="1">
        <v>0.33854570566559122</v>
      </c>
      <c r="R387" s="1">
        <f>P387/Q387</f>
        <v>8.6865959314487693</v>
      </c>
    </row>
    <row r="388" spans="1:18" x14ac:dyDescent="0.35">
      <c r="A388" s="14">
        <v>2692</v>
      </c>
      <c r="B388" s="6">
        <v>0.25</v>
      </c>
      <c r="C388" s="6">
        <v>6000000</v>
      </c>
      <c r="D388" s="6">
        <v>0</v>
      </c>
      <c r="E388" s="6">
        <v>0.375</v>
      </c>
      <c r="F388" s="6">
        <v>3.5000000000000003E-2</v>
      </c>
      <c r="G388" s="11">
        <f>(C388*$V$4)/($V$5*$V$3)</f>
        <v>88.16326530612244</v>
      </c>
      <c r="H388" s="11">
        <f>G388*COS(RADIANS(D388))</f>
        <v>88.16326530612244</v>
      </c>
      <c r="I388" s="11">
        <f>G388*SIN(RADIANS(D388))</f>
        <v>0</v>
      </c>
      <c r="J388" s="11">
        <v>0.1976</v>
      </c>
      <c r="K388" s="12">
        <v>78</v>
      </c>
      <c r="L388" s="11">
        <f>-(F388*G388*$V$3)/J388</f>
        <v>-15.615962984384037</v>
      </c>
      <c r="M388" s="11">
        <f>ABS(L388/$V$6)</f>
        <v>4.5527588875755212E-2</v>
      </c>
      <c r="N388" s="11">
        <f>L388*SIN(RADIANS(K388))</f>
        <v>-15.274716726323165</v>
      </c>
      <c r="O388" s="11">
        <f>L388*COS(RADIANS(K388))</f>
        <v>-3.2467412678308301</v>
      </c>
      <c r="P388" s="1">
        <v>2.0290577860532006</v>
      </c>
      <c r="Q388" s="1">
        <v>4.9463696459512131E-2</v>
      </c>
      <c r="R388" s="1">
        <f>P388/Q388</f>
        <v>41.021151496715568</v>
      </c>
    </row>
    <row r="389" spans="1:18" x14ac:dyDescent="0.35">
      <c r="A389" s="14">
        <v>2693</v>
      </c>
      <c r="B389" s="6">
        <v>0.1</v>
      </c>
      <c r="C389" s="6">
        <v>2000000</v>
      </c>
      <c r="D389" s="6">
        <v>15</v>
      </c>
      <c r="E389" s="6">
        <v>0.125</v>
      </c>
      <c r="F389" s="6">
        <v>1.4999999999999999E-2</v>
      </c>
      <c r="G389" s="11">
        <f>(C389*$V$4)/($V$5*$V$3)</f>
        <v>29.387755102040813</v>
      </c>
      <c r="H389" s="11">
        <f>G389*COS(RADIANS(D389))</f>
        <v>28.386391629719554</v>
      </c>
      <c r="I389" s="11">
        <f>G389*SIN(RADIANS(D389))</f>
        <v>7.6061107132169354</v>
      </c>
      <c r="J389" s="12">
        <v>0.1658</v>
      </c>
      <c r="K389" s="11">
        <v>69</v>
      </c>
      <c r="L389" s="11">
        <f>-(F389*G389*$V$3)/J389</f>
        <v>-2.6587233204500134</v>
      </c>
      <c r="M389" s="11">
        <f>ABS(L389/$V$6)</f>
        <v>7.7513799430029545E-3</v>
      </c>
      <c r="N389" s="11">
        <f>L389*SIN(RADIANS(K389))</f>
        <v>-2.4821320514437799</v>
      </c>
      <c r="O389" s="11">
        <f>L389*COS(RADIANS(K389))</f>
        <v>-0.95280122475794393</v>
      </c>
      <c r="P389" s="1">
        <v>1.3078863250421924</v>
      </c>
      <c r="Q389" s="1">
        <v>0.56199203963172106</v>
      </c>
      <c r="R389" s="1">
        <f>P389/Q389</f>
        <v>2.3272328303782794</v>
      </c>
    </row>
    <row r="390" spans="1:18" x14ac:dyDescent="0.35">
      <c r="A390" s="14">
        <v>2694</v>
      </c>
      <c r="B390" s="6">
        <v>0.1</v>
      </c>
      <c r="C390" s="6">
        <v>2000000</v>
      </c>
      <c r="D390" s="6">
        <v>5</v>
      </c>
      <c r="E390" s="6">
        <v>0.25</v>
      </c>
      <c r="F390" s="6">
        <v>0</v>
      </c>
      <c r="G390" s="11">
        <f>(C390*$V$4)/($V$5*$V$3)</f>
        <v>29.387755102040813</v>
      </c>
      <c r="H390" s="11">
        <f>G390*COS(RADIANS(D390))</f>
        <v>29.275925821471702</v>
      </c>
      <c r="I390" s="11">
        <f>G390*SIN(RADIANS(D390))</f>
        <v>2.5613116236046478</v>
      </c>
      <c r="J390" s="11">
        <v>0.1661</v>
      </c>
      <c r="K390" s="12">
        <v>80</v>
      </c>
      <c r="L390" s="11">
        <f>-(F390*G390*$V$3)/J390</f>
        <v>0</v>
      </c>
      <c r="M390" s="11">
        <f>ABS(L390/$V$6)</f>
        <v>0</v>
      </c>
      <c r="N390" s="11">
        <f>L390*SIN(RADIANS(K390))</f>
        <v>0</v>
      </c>
      <c r="O390" s="11">
        <f>L390*COS(RADIANS(K390))</f>
        <v>0</v>
      </c>
      <c r="P390" s="1">
        <v>1.5088323333795985</v>
      </c>
      <c r="Q390" s="1">
        <v>0.35670402313628491</v>
      </c>
      <c r="R390" s="1">
        <f>P390/Q390</f>
        <v>4.2299279949615904</v>
      </c>
    </row>
    <row r="391" spans="1:18" x14ac:dyDescent="0.35">
      <c r="A391" s="14">
        <v>2695</v>
      </c>
      <c r="B391" s="6">
        <v>0.5</v>
      </c>
      <c r="C391" s="6">
        <v>4000000</v>
      </c>
      <c r="D391" s="6">
        <v>5</v>
      </c>
      <c r="E391" s="6">
        <v>0.125</v>
      </c>
      <c r="F391" s="6">
        <v>0</v>
      </c>
      <c r="G391" s="11">
        <f>(C391*$V$4)/($V$5*$V$3)</f>
        <v>58.775510204081627</v>
      </c>
      <c r="H391" s="11">
        <f>G391*COS(RADIANS(D391))</f>
        <v>58.551851642943404</v>
      </c>
      <c r="I391" s="11">
        <f>G391*SIN(RADIANS(D391))</f>
        <v>5.1226232472092956</v>
      </c>
      <c r="J391" s="12">
        <v>0.23300000000000001</v>
      </c>
      <c r="K391" s="11">
        <v>27</v>
      </c>
      <c r="L391" s="11">
        <f>-(F391*G391*$V$3)/J391</f>
        <v>0</v>
      </c>
      <c r="M391" s="11">
        <f>ABS(L391/$V$6)</f>
        <v>0</v>
      </c>
      <c r="N391" s="11">
        <f>L391*SIN(RADIANS(K391))</f>
        <v>0</v>
      </c>
      <c r="O391" s="11">
        <f>L391*COS(RADIANS(K391))</f>
        <v>0</v>
      </c>
      <c r="P391" s="1">
        <v>4.0886419062553259</v>
      </c>
      <c r="Q391" s="1">
        <v>0.6674030254988027</v>
      </c>
      <c r="R391" s="1">
        <f>P391/Q391</f>
        <v>6.126196241318449</v>
      </c>
    </row>
    <row r="392" spans="1:18" x14ac:dyDescent="0.35">
      <c r="A392" s="14">
        <v>2696</v>
      </c>
      <c r="B392" s="6">
        <v>0.5</v>
      </c>
      <c r="C392" s="6">
        <v>6000000</v>
      </c>
      <c r="D392" s="6">
        <v>0</v>
      </c>
      <c r="E392" s="6">
        <v>0.375</v>
      </c>
      <c r="F392" s="6">
        <v>0.05</v>
      </c>
      <c r="G392" s="11">
        <f>(C392*$V$4)/($V$5*$V$3)</f>
        <v>88.16326530612244</v>
      </c>
      <c r="H392" s="11">
        <f>G392*COS(RADIANS(D392))</f>
        <v>88.16326530612244</v>
      </c>
      <c r="I392" s="11">
        <f>G392*SIN(RADIANS(D392))</f>
        <v>0</v>
      </c>
      <c r="J392" s="12">
        <v>0.24809999999999999</v>
      </c>
      <c r="K392" s="11">
        <v>67</v>
      </c>
      <c r="L392" s="11">
        <f>-(F392*G392*$V$3)/J392</f>
        <v>-17.767687486118994</v>
      </c>
      <c r="M392" s="11">
        <f>ABS(L392/$V$6)</f>
        <v>5.1800838151950419E-2</v>
      </c>
      <c r="N392" s="11">
        <f>L392*SIN(RADIANS(K392))</f>
        <v>-16.355242565598722</v>
      </c>
      <c r="O392" s="11">
        <f>L392*COS(RADIANS(K392))</f>
        <v>-6.9423885820960214</v>
      </c>
      <c r="P392" s="1">
        <v>3.4212580300631168</v>
      </c>
      <c r="Q392" s="1">
        <v>-0.28772924976728609</v>
      </c>
      <c r="R392" s="1">
        <f>P392/Q392</f>
        <v>-11.890546521878511</v>
      </c>
    </row>
    <row r="393" spans="1:18" x14ac:dyDescent="0.35">
      <c r="A393" s="14">
        <v>2697</v>
      </c>
      <c r="B393" s="6">
        <v>0.25</v>
      </c>
      <c r="C393" s="6">
        <v>2000000</v>
      </c>
      <c r="D393" s="6">
        <v>15</v>
      </c>
      <c r="E393" s="6">
        <v>0</v>
      </c>
      <c r="F393" s="6">
        <v>0.05</v>
      </c>
      <c r="G393" s="11">
        <f>(C393*$V$4)/($V$5*$V$3)</f>
        <v>29.387755102040813</v>
      </c>
      <c r="H393" s="11">
        <f>G393*COS(RADIANS(D393))</f>
        <v>28.386391629719554</v>
      </c>
      <c r="I393" s="11">
        <f>G393*SIN(RADIANS(D393))</f>
        <v>7.6061107132169354</v>
      </c>
      <c r="J393" s="12">
        <v>0.18990000000000001</v>
      </c>
      <c r="K393" s="11">
        <v>0</v>
      </c>
      <c r="L393" s="11">
        <f>-(F393*G393*$V$3)/J393</f>
        <v>-7.73769223329142</v>
      </c>
      <c r="M393" s="11">
        <f>ABS(L393/$V$6)</f>
        <v>2.2558869484814635E-2</v>
      </c>
      <c r="N393" s="11">
        <f>L393*SIN(RADIANS(K393))</f>
        <v>0</v>
      </c>
      <c r="O393" s="11">
        <f>L393*COS(RADIANS(K393))</f>
        <v>-7.73769223329142</v>
      </c>
      <c r="P393" s="1">
        <v>2.2809929741683148</v>
      </c>
      <c r="Q393" s="1">
        <v>0.5267227072018833</v>
      </c>
      <c r="R393" s="1">
        <f>P393/Q393</f>
        <v>4.3305385224147006</v>
      </c>
    </row>
    <row r="394" spans="1:18" x14ac:dyDescent="0.35">
      <c r="A394" s="14">
        <v>2698</v>
      </c>
      <c r="B394" s="6">
        <v>0.75</v>
      </c>
      <c r="C394" s="6">
        <v>2000000</v>
      </c>
      <c r="D394" s="6">
        <v>20</v>
      </c>
      <c r="E394" s="6">
        <v>0.375</v>
      </c>
      <c r="F394" s="6">
        <v>3.5000000000000003E-2</v>
      </c>
      <c r="G394" s="11">
        <f>(C394*$V$4)/($V$5*$V$3)</f>
        <v>29.387755102040813</v>
      </c>
      <c r="H394" s="11">
        <f>G394*COS(RADIANS(D394))</f>
        <v>27.615456610851183</v>
      </c>
      <c r="I394" s="11">
        <f>G394*SIN(RADIANS(D394))</f>
        <v>10.051204212019652</v>
      </c>
      <c r="J394" s="11">
        <v>0.29299999999999998</v>
      </c>
      <c r="K394" s="12">
        <v>57</v>
      </c>
      <c r="L394" s="11">
        <f>-(F394*G394*$V$3)/J394</f>
        <v>-3.5104826913700631</v>
      </c>
      <c r="M394" s="11">
        <f>ABS(L394/$V$6)</f>
        <v>1.023464341507307E-2</v>
      </c>
      <c r="N394" s="11">
        <f>L394*SIN(RADIANS(K394))</f>
        <v>-2.9441385125339115</v>
      </c>
      <c r="O394" s="11">
        <f>L394*COS(RADIANS(K394))</f>
        <v>-1.9119459054647463</v>
      </c>
      <c r="P394" s="1">
        <v>4.0950238501543952</v>
      </c>
      <c r="Q394" s="1">
        <v>0.7647707154115212</v>
      </c>
      <c r="R394" s="1">
        <f>P394/Q394</f>
        <v>5.3545772185469644</v>
      </c>
    </row>
    <row r="395" spans="1:18" x14ac:dyDescent="0.35">
      <c r="A395" s="14">
        <v>2699</v>
      </c>
      <c r="B395" s="6">
        <v>0.75</v>
      </c>
      <c r="C395" s="6">
        <v>2000000</v>
      </c>
      <c r="D395" s="6">
        <v>15</v>
      </c>
      <c r="E395" s="6">
        <v>0.375</v>
      </c>
      <c r="F395" s="6">
        <v>1.4999999999999999E-2</v>
      </c>
      <c r="G395" s="11">
        <f>(C395*$V$4)/($V$5*$V$3)</f>
        <v>29.387755102040813</v>
      </c>
      <c r="H395" s="11">
        <f>G395*COS(RADIANS(D395))</f>
        <v>28.386391629719554</v>
      </c>
      <c r="I395" s="11">
        <f>G395*SIN(RADIANS(D395))</f>
        <v>7.6061107132169354</v>
      </c>
      <c r="J395" s="11">
        <v>0.29299999999999998</v>
      </c>
      <c r="K395" s="12">
        <v>57</v>
      </c>
      <c r="L395" s="11">
        <f>-(F395*G395*$V$3)/J395</f>
        <v>-1.5044925820157413</v>
      </c>
      <c r="M395" s="11">
        <f>ABS(L395/$V$6)</f>
        <v>4.3862757493170297E-3</v>
      </c>
      <c r="N395" s="11">
        <f>L395*SIN(RADIANS(K395))</f>
        <v>-1.2617736482288193</v>
      </c>
      <c r="O395" s="11">
        <f>L395*COS(RADIANS(K395))</f>
        <v>-0.81940538805631979</v>
      </c>
      <c r="P395" s="1">
        <v>4.5669573751904373</v>
      </c>
      <c r="Q395" s="1">
        <v>0.38332927663189714</v>
      </c>
      <c r="R395" s="1">
        <f>P395/Q395</f>
        <v>11.91392792984082</v>
      </c>
    </row>
    <row r="396" spans="1:18" x14ac:dyDescent="0.35">
      <c r="A396" s="14">
        <v>2700</v>
      </c>
      <c r="B396" s="6">
        <v>0.25</v>
      </c>
      <c r="C396" s="6">
        <v>4000000</v>
      </c>
      <c r="D396" s="6">
        <v>30</v>
      </c>
      <c r="E396" s="6">
        <v>0.25</v>
      </c>
      <c r="F396" s="6">
        <v>0.05</v>
      </c>
      <c r="G396" s="11">
        <f>(C396*$V$4)/($V$5*$V$3)</f>
        <v>58.775510204081627</v>
      </c>
      <c r="H396" s="11">
        <f>G396*COS(RADIANS(D396))</f>
        <v>50.901084957126187</v>
      </c>
      <c r="I396" s="11">
        <f>G396*SIN(RADIANS(D396))</f>
        <v>29.38775510204081</v>
      </c>
      <c r="J396" s="12">
        <v>0.1913</v>
      </c>
      <c r="K396" s="11">
        <v>67</v>
      </c>
      <c r="L396" s="11">
        <f>-(F396*G396*$V$3)/J396</f>
        <v>-15.362130215389866</v>
      </c>
      <c r="M396" s="11">
        <f>ABS(L396/$V$6)</f>
        <v>4.4787551648366959E-2</v>
      </c>
      <c r="N396" s="11">
        <f>L396*SIN(RADIANS(K396))</f>
        <v>-14.140915422634755</v>
      </c>
      <c r="O396" s="11">
        <f>L396*COS(RADIANS(K396))</f>
        <v>-6.0024624750584517</v>
      </c>
      <c r="P396" s="1">
        <v>2.2506077191976557</v>
      </c>
      <c r="Q396" s="1">
        <v>0.90600556412595135</v>
      </c>
      <c r="R396" s="1">
        <f>P396/Q396</f>
        <v>2.4840992244555133</v>
      </c>
    </row>
    <row r="397" spans="1:18" x14ac:dyDescent="0.35">
      <c r="A397" s="14">
        <v>2701</v>
      </c>
      <c r="B397" s="6">
        <v>0.75</v>
      </c>
      <c r="C397" s="6">
        <v>2000000</v>
      </c>
      <c r="D397" s="6">
        <v>30</v>
      </c>
      <c r="E397" s="6">
        <v>0</v>
      </c>
      <c r="F397" s="6">
        <v>0.05</v>
      </c>
      <c r="G397" s="11">
        <f>(C397*$V$4)/($V$5*$V$3)</f>
        <v>29.387755102040813</v>
      </c>
      <c r="H397" s="11">
        <f>G397*COS(RADIANS(D397))</f>
        <v>25.450542478563094</v>
      </c>
      <c r="I397" s="11">
        <f>G397*SIN(RADIANS(D397))</f>
        <v>14.693877551020405</v>
      </c>
      <c r="J397" s="11">
        <v>0.27929999999999999</v>
      </c>
      <c r="K397" s="11">
        <v>0</v>
      </c>
      <c r="L397" s="11">
        <f>-(F397*G397*$V$3)/J397</f>
        <v>-5.260965825642824</v>
      </c>
      <c r="M397" s="11">
        <f>ABS(L397/$V$6)</f>
        <v>1.5338092786130682E-2</v>
      </c>
      <c r="N397" s="11">
        <f>L397*SIN(RADIANS(K397))</f>
        <v>0</v>
      </c>
      <c r="O397" s="11">
        <f>L397*COS(RADIANS(K397))</f>
        <v>-5.260965825642824</v>
      </c>
      <c r="P397" s="1">
        <v>1.8937632671883704</v>
      </c>
      <c r="Q397" s="1">
        <v>1.3039917962194103</v>
      </c>
      <c r="R397" s="1">
        <f>P397/Q397</f>
        <v>1.4522815808188756</v>
      </c>
    </row>
    <row r="398" spans="1:18" x14ac:dyDescent="0.35">
      <c r="A398" s="14">
        <v>2702</v>
      </c>
      <c r="B398" s="6">
        <v>0.1</v>
      </c>
      <c r="C398" s="6">
        <v>6000000</v>
      </c>
      <c r="D398" s="6">
        <v>20</v>
      </c>
      <c r="E398" s="6">
        <v>0.375</v>
      </c>
      <c r="F398" s="6">
        <v>0.05</v>
      </c>
      <c r="G398" s="11">
        <f>(C398*$V$4)/($V$5*$V$3)</f>
        <v>88.16326530612244</v>
      </c>
      <c r="H398" s="11">
        <f>G398*COS(RADIANS(D398))</f>
        <v>82.846369832553549</v>
      </c>
      <c r="I398" s="11">
        <f>G398*SIN(RADIANS(D398))</f>
        <v>30.153612636058952</v>
      </c>
      <c r="J398" s="12">
        <v>0.16789999999999999</v>
      </c>
      <c r="K398" s="11">
        <v>85</v>
      </c>
      <c r="L398" s="11">
        <f>-(F398*G398*$V$3)/J398</f>
        <v>-26.254694849947125</v>
      </c>
      <c r="M398" s="11">
        <f>ABS(L398/$V$6)</f>
        <v>7.6544299854073253E-2</v>
      </c>
      <c r="N398" s="11">
        <f>L398*SIN(RADIANS(K398))</f>
        <v>-26.154787809533982</v>
      </c>
      <c r="O398" s="11">
        <f>L398*COS(RADIANS(K398))</f>
        <v>-2.2882474302602565</v>
      </c>
      <c r="P398" s="1">
        <v>1.8345539795444585</v>
      </c>
      <c r="Q398" s="1">
        <v>0.86403473687783783</v>
      </c>
      <c r="R398" s="1">
        <f>P398/Q398</f>
        <v>2.1232410009041551</v>
      </c>
    </row>
    <row r="399" spans="1:18" x14ac:dyDescent="0.35">
      <c r="A399" s="14">
        <v>2703</v>
      </c>
      <c r="B399" s="6">
        <v>0.25</v>
      </c>
      <c r="C399" s="6">
        <v>2000000</v>
      </c>
      <c r="D399" s="6">
        <v>15</v>
      </c>
      <c r="E399" s="6">
        <v>0.125</v>
      </c>
      <c r="F399" s="6">
        <v>7.4999999999999997E-2</v>
      </c>
      <c r="G399" s="11">
        <f>(C399*$V$4)/($V$5*$V$3)</f>
        <v>29.387755102040813</v>
      </c>
      <c r="H399" s="11">
        <f>G399*COS(RADIANS(D399))</f>
        <v>28.386391629719554</v>
      </c>
      <c r="I399" s="11">
        <f>G399*SIN(RADIANS(D399))</f>
        <v>7.6061107132169354</v>
      </c>
      <c r="J399" s="11">
        <v>0.19020000000000001</v>
      </c>
      <c r="K399" s="11">
        <v>46</v>
      </c>
      <c r="L399" s="11">
        <f>-(F399*G399*$V$3)/J399</f>
        <v>-11.588231507113885</v>
      </c>
      <c r="M399" s="11">
        <f>ABS(L399/$V$6)</f>
        <v>3.3784931507620658E-2</v>
      </c>
      <c r="N399" s="11">
        <f>L399*SIN(RADIANS(K399))</f>
        <v>-8.3358761386053679</v>
      </c>
      <c r="O399" s="11">
        <f>L399*COS(RADIANS(K399))</f>
        <v>-8.0498620152333409</v>
      </c>
      <c r="P399" s="1">
        <v>2.5360265510845221</v>
      </c>
      <c r="Q399" s="1">
        <v>0.56116808886467706</v>
      </c>
      <c r="R399" s="1">
        <f>P399/Q399</f>
        <v>4.5191923799788132</v>
      </c>
    </row>
    <row r="400" spans="1:18" x14ac:dyDescent="0.35">
      <c r="A400" s="14">
        <v>2704</v>
      </c>
      <c r="B400" s="6">
        <v>0.1</v>
      </c>
      <c r="C400" s="6">
        <v>6000000</v>
      </c>
      <c r="D400" s="6">
        <v>30</v>
      </c>
      <c r="E400" s="6">
        <v>0.25</v>
      </c>
      <c r="F400" s="6">
        <v>3.5000000000000003E-2</v>
      </c>
      <c r="G400" s="11">
        <f>(C400*$V$4)/($V$5*$V$3)</f>
        <v>88.16326530612244</v>
      </c>
      <c r="H400" s="11">
        <f>G400*COS(RADIANS(D400))</f>
        <v>76.351627435689281</v>
      </c>
      <c r="I400" s="11">
        <f>G400*SIN(RADIANS(D400))</f>
        <v>44.081632653061213</v>
      </c>
      <c r="J400" s="11">
        <v>0.1661</v>
      </c>
      <c r="K400" s="12">
        <v>80</v>
      </c>
      <c r="L400" s="11">
        <f>-(F400*G400*$V$3)/J400</f>
        <v>-18.577449041025201</v>
      </c>
      <c r="M400" s="11">
        <f>ABS(L400/$V$6)</f>
        <v>5.416165901173528E-2</v>
      </c>
      <c r="N400" s="11">
        <f>L400*SIN(RADIANS(K400))</f>
        <v>-18.295215846790825</v>
      </c>
      <c r="O400" s="11">
        <f>L400*COS(RADIANS(K400))</f>
        <v>-3.2259401716742899</v>
      </c>
      <c r="P400" s="1">
        <v>1.2524747453920617</v>
      </c>
      <c r="Q400" s="1">
        <v>0.98405170305947065</v>
      </c>
      <c r="R400" s="1">
        <f>P400/Q400</f>
        <v>1.2727733121115985</v>
      </c>
    </row>
    <row r="401" spans="1:18" x14ac:dyDescent="0.35">
      <c r="A401" s="14">
        <v>2705</v>
      </c>
      <c r="B401" s="6">
        <v>0.5</v>
      </c>
      <c r="C401" s="6">
        <v>2000000</v>
      </c>
      <c r="D401" s="6">
        <v>15</v>
      </c>
      <c r="E401" s="6">
        <v>0</v>
      </c>
      <c r="F401" s="6">
        <v>0.05</v>
      </c>
      <c r="G401" s="11">
        <f>(C401*$V$4)/($V$5*$V$3)</f>
        <v>29.387755102040813</v>
      </c>
      <c r="H401" s="11">
        <f>G401*COS(RADIANS(D401))</f>
        <v>28.386391629719554</v>
      </c>
      <c r="I401" s="11">
        <f>G401*SIN(RADIANS(D401))</f>
        <v>7.6061107132169354</v>
      </c>
      <c r="J401" s="12">
        <v>0.23230000000000001</v>
      </c>
      <c r="K401" s="11">
        <v>0</v>
      </c>
      <c r="L401" s="11">
        <f>-(F401*G401*$V$3)/J401</f>
        <v>-6.3253885282050826</v>
      </c>
      <c r="M401" s="11">
        <f>ABS(L401/$V$6)</f>
        <v>1.8441365971443389E-2</v>
      </c>
      <c r="N401" s="11">
        <f>L401*SIN(RADIANS(K401))</f>
        <v>0</v>
      </c>
      <c r="O401" s="11">
        <f>L401*COS(RADIANS(K401))</f>
        <v>-6.3253885282050826</v>
      </c>
      <c r="P401" s="1">
        <v>4.047059995964803</v>
      </c>
      <c r="Q401" s="1">
        <v>0.82457927351516447</v>
      </c>
      <c r="R401" s="1">
        <f>P401/Q401</f>
        <v>4.9080302233553237</v>
      </c>
    </row>
    <row r="402" spans="1:18" x14ac:dyDescent="0.35">
      <c r="A402" s="14">
        <v>2706</v>
      </c>
      <c r="B402" s="6">
        <v>1</v>
      </c>
      <c r="C402" s="6">
        <v>4000000</v>
      </c>
      <c r="D402" s="6">
        <v>15</v>
      </c>
      <c r="E402" s="6">
        <v>0.25</v>
      </c>
      <c r="F402" s="6">
        <v>0.15</v>
      </c>
      <c r="G402" s="11">
        <f>(C402*$V$4)/($V$5*$V$3)</f>
        <v>58.775510204081627</v>
      </c>
      <c r="H402" s="11">
        <f>G402*COS(RADIANS(D402))</f>
        <v>56.772783259439109</v>
      </c>
      <c r="I402" s="11">
        <f>G402*SIN(RADIANS(D402))</f>
        <v>15.212221426433871</v>
      </c>
      <c r="J402" s="13">
        <v>0.33379999999999999</v>
      </c>
      <c r="K402" s="12">
        <v>30</v>
      </c>
      <c r="L402" s="11">
        <f>-(F402*G402*$V$3)/J402</f>
        <v>-26.412002787933627</v>
      </c>
      <c r="M402" s="11">
        <f>ABS(L402/$V$6)</f>
        <v>7.7002923579981425E-2</v>
      </c>
      <c r="N402" s="11">
        <f>L402*SIN(RADIANS(K402))</f>
        <v>-13.206001393966812</v>
      </c>
      <c r="O402" s="11">
        <f>L402*COS(RADIANS(K402))</f>
        <v>-22.87346537917594</v>
      </c>
      <c r="P402" s="1">
        <v>5.426124658543805</v>
      </c>
      <c r="Q402" s="1">
        <v>0.26195206050716252</v>
      </c>
      <c r="R402" s="1">
        <f>P402/Q402</f>
        <v>20.714189642327472</v>
      </c>
    </row>
    <row r="403" spans="1:18" x14ac:dyDescent="0.35">
      <c r="A403" s="14">
        <v>2707</v>
      </c>
      <c r="B403" s="6">
        <v>0.25</v>
      </c>
      <c r="C403" s="6">
        <v>2000000</v>
      </c>
      <c r="D403" s="6">
        <v>15</v>
      </c>
      <c r="E403" s="6">
        <v>0.125</v>
      </c>
      <c r="F403" s="6">
        <v>1.4999999999999999E-2</v>
      </c>
      <c r="G403" s="11">
        <f>(C403*$V$4)/($V$5*$V$3)</f>
        <v>29.387755102040813</v>
      </c>
      <c r="H403" s="11">
        <f>G403*COS(RADIANS(D403))</f>
        <v>28.386391629719554</v>
      </c>
      <c r="I403" s="11">
        <f>G403*SIN(RADIANS(D403))</f>
        <v>7.6061107132169354</v>
      </c>
      <c r="J403" s="11">
        <v>0.19020000000000001</v>
      </c>
      <c r="K403" s="11">
        <v>46</v>
      </c>
      <c r="L403" s="11">
        <f>-(F403*G403*$V$3)/J403</f>
        <v>-2.3176463014227768</v>
      </c>
      <c r="M403" s="11">
        <f>ABS(L403/$V$6)</f>
        <v>6.7569863015241307E-3</v>
      </c>
      <c r="N403" s="11">
        <f>L403*SIN(RADIANS(K403))</f>
        <v>-1.6671752277210734</v>
      </c>
      <c r="O403" s="11">
        <f>L403*COS(RADIANS(K403))</f>
        <v>-1.6099724030466682</v>
      </c>
      <c r="P403" s="1">
        <v>2.1192422701205027</v>
      </c>
      <c r="Q403" s="1">
        <v>0.58472861396367504</v>
      </c>
      <c r="R403" s="1">
        <f>P403/Q403</f>
        <v>3.6243177082696278</v>
      </c>
    </row>
    <row r="404" spans="1:18" x14ac:dyDescent="0.35">
      <c r="A404" s="14">
        <v>2708</v>
      </c>
      <c r="B404" s="6">
        <v>0.5</v>
      </c>
      <c r="C404" s="6">
        <v>6000000</v>
      </c>
      <c r="D404" s="6">
        <v>10</v>
      </c>
      <c r="E404" s="6">
        <v>0</v>
      </c>
      <c r="F404" s="6">
        <v>0.05</v>
      </c>
      <c r="G404" s="11">
        <f>(C404*$V$4)/($V$5*$V$3)</f>
        <v>88.16326530612244</v>
      </c>
      <c r="H404" s="11">
        <f>G404*COS(RADIANS(D404))</f>
        <v>86.823867204341596</v>
      </c>
      <c r="I404" s="11">
        <f>G404*SIN(RADIANS(D404))</f>
        <v>15.309390357574264</v>
      </c>
      <c r="J404" s="12">
        <v>0.23230000000000001</v>
      </c>
      <c r="K404" s="11">
        <v>0</v>
      </c>
      <c r="L404" s="11">
        <f>-(F404*G404*$V$3)/J404</f>
        <v>-18.976165584615249</v>
      </c>
      <c r="M404" s="11">
        <f>ABS(L404/$V$6)</f>
        <v>5.532409791433017E-2</v>
      </c>
      <c r="N404" s="11">
        <f>L404*SIN(RADIANS(K404))</f>
        <v>0</v>
      </c>
      <c r="O404" s="11">
        <f>L404*COS(RADIANS(K404))</f>
        <v>-18.976165584615249</v>
      </c>
      <c r="P404" s="1">
        <v>4.1826023414736921</v>
      </c>
      <c r="Q404" s="1">
        <v>0.62397129781912164</v>
      </c>
      <c r="R404" s="1">
        <f>P404/Q404</f>
        <v>6.7031966952527284</v>
      </c>
    </row>
    <row r="405" spans="1:18" x14ac:dyDescent="0.35">
      <c r="A405" s="14">
        <v>2400</v>
      </c>
      <c r="B405" s="6">
        <v>0.1</v>
      </c>
      <c r="C405" s="6">
        <v>6000000</v>
      </c>
      <c r="D405" s="6">
        <v>20</v>
      </c>
      <c r="E405" s="6">
        <v>0.125</v>
      </c>
      <c r="F405" s="6">
        <v>7.4999999999999997E-2</v>
      </c>
      <c r="G405" s="11">
        <f>(C405*$V$4)/($V$5*$V$3)</f>
        <v>88.16326530612244</v>
      </c>
      <c r="H405" s="11">
        <f>G405*COS(RADIANS(D405))</f>
        <v>82.846369832553549</v>
      </c>
      <c r="I405" s="11">
        <f>G405*SIN(RADIANS(D405))</f>
        <v>30.153612636058952</v>
      </c>
      <c r="J405" s="12">
        <v>0.1658</v>
      </c>
      <c r="K405" s="11">
        <v>69</v>
      </c>
      <c r="L405" s="11">
        <f>-(F405*G405*$V$3)/J405</f>
        <v>-39.880849806750199</v>
      </c>
      <c r="M405" s="11">
        <f>ABS(L405/$V$6)</f>
        <v>0.11627069914504432</v>
      </c>
      <c r="N405" s="11">
        <f>L405*SIN(RADIANS(K405))</f>
        <v>-37.231980771656694</v>
      </c>
      <c r="O405" s="11">
        <f>L405*COS(RADIANS(K405))</f>
        <v>-14.292018371369158</v>
      </c>
      <c r="P405" s="1">
        <v>1.6626687983001955</v>
      </c>
      <c r="Q405" s="1">
        <v>0.75006035844548036</v>
      </c>
      <c r="R405" s="1">
        <f>P405/Q405</f>
        <v>2.2167133345723271</v>
      </c>
    </row>
    <row r="406" spans="1:18" x14ac:dyDescent="0.35">
      <c r="A406" s="14">
        <v>2710</v>
      </c>
      <c r="B406" s="6">
        <v>0.75</v>
      </c>
      <c r="C406" s="6">
        <v>4000000</v>
      </c>
      <c r="D406" s="6">
        <v>20</v>
      </c>
      <c r="E406" s="6">
        <v>0.25</v>
      </c>
      <c r="F406" s="6">
        <v>2.5000000000000001E-2</v>
      </c>
      <c r="G406" s="11">
        <f>(C406*$V$4)/($V$5*$V$3)</f>
        <v>58.775510204081627</v>
      </c>
      <c r="H406" s="11">
        <f>G406*COS(RADIANS(D406))</f>
        <v>55.230913221702366</v>
      </c>
      <c r="I406" s="11">
        <f>G406*SIN(RADIANS(D406))</f>
        <v>20.102408424039304</v>
      </c>
      <c r="J406" s="12">
        <v>0.28370000000000001</v>
      </c>
      <c r="K406" s="11">
        <v>38</v>
      </c>
      <c r="L406" s="11">
        <f>-(F406*G406*$V$3)/J406</f>
        <v>-5.179371713436872</v>
      </c>
      <c r="M406" s="11">
        <f>ABS(L406/$V$6)</f>
        <v>1.5100209077075429E-2</v>
      </c>
      <c r="N406" s="11">
        <f>L406*SIN(RADIANS(K406))</f>
        <v>-3.1887396303545272</v>
      </c>
      <c r="O406" s="11">
        <f>L406*COS(RADIANS(K406))</f>
        <v>-4.0814006071147277</v>
      </c>
      <c r="P406" s="1">
        <v>4.3453461739228247</v>
      </c>
      <c r="Q406" s="1">
        <v>0.77425664758110846</v>
      </c>
      <c r="R406" s="1">
        <f>P406/Q406</f>
        <v>5.6122813895086656</v>
      </c>
    </row>
    <row r="407" spans="1:18" x14ac:dyDescent="0.35">
      <c r="A407" s="14">
        <v>2443</v>
      </c>
      <c r="B407" s="6">
        <v>0.1</v>
      </c>
      <c r="C407" s="6">
        <v>6000000</v>
      </c>
      <c r="D407" s="6">
        <v>20</v>
      </c>
      <c r="E407" s="6">
        <v>0.25</v>
      </c>
      <c r="F407" s="6">
        <v>7.4999999999999997E-2</v>
      </c>
      <c r="G407" s="11">
        <f>(C407*$V$4)/($V$5*$V$3)</f>
        <v>88.16326530612244</v>
      </c>
      <c r="H407" s="11">
        <f>G407*COS(RADIANS(D407))</f>
        <v>82.846369832553549</v>
      </c>
      <c r="I407" s="11">
        <f>G407*SIN(RADIANS(D407))</f>
        <v>30.153612636058952</v>
      </c>
      <c r="J407" s="20">
        <v>0.1661</v>
      </c>
      <c r="K407" s="19">
        <v>80</v>
      </c>
      <c r="L407" s="11">
        <f>-(F407*G407*$V$3)/J407</f>
        <v>-39.808819373625425</v>
      </c>
      <c r="M407" s="11">
        <f>ABS(L407/$V$6)</f>
        <v>0.11606069788228987</v>
      </c>
      <c r="N407" s="11">
        <f>L407*SIN(RADIANS(K407))</f>
        <v>-39.20403395740891</v>
      </c>
      <c r="O407" s="11">
        <f>L407*COS(RADIANS(K407))</f>
        <v>-6.912728939302049</v>
      </c>
      <c r="P407" s="1">
        <v>1.6811785900794691</v>
      </c>
      <c r="Q407" s="1">
        <v>0.80486098050222055</v>
      </c>
      <c r="R407" s="1">
        <f>P407/Q407</f>
        <v>2.0887813309454266</v>
      </c>
    </row>
    <row r="408" spans="1:18" x14ac:dyDescent="0.35">
      <c r="A408" s="14">
        <v>2712</v>
      </c>
      <c r="B408" s="6">
        <v>1</v>
      </c>
      <c r="C408" s="6">
        <v>6000000</v>
      </c>
      <c r="D408" s="6">
        <v>10</v>
      </c>
      <c r="E408" s="6">
        <v>0</v>
      </c>
      <c r="F408" s="6">
        <v>0.05</v>
      </c>
      <c r="G408" s="11">
        <f>(C408*$V$4)/($V$5*$V$3)</f>
        <v>88.16326530612244</v>
      </c>
      <c r="H408" s="11">
        <f>G408*COS(RADIANS(D408))</f>
        <v>86.823867204341596</v>
      </c>
      <c r="I408" s="11">
        <f>G408*SIN(RADIANS(D408))</f>
        <v>15.309390357574264</v>
      </c>
      <c r="J408" s="11">
        <v>0.33379999999999999</v>
      </c>
      <c r="K408" s="12">
        <v>0</v>
      </c>
      <c r="L408" s="11">
        <f>-(F408*G408*$V$3)/J408</f>
        <v>-13.206001393966813</v>
      </c>
      <c r="M408" s="11">
        <f>ABS(L408/$V$6)</f>
        <v>3.8501461789990712E-2</v>
      </c>
      <c r="N408" s="11">
        <f>L408*SIN(RADIANS(K408))</f>
        <v>0</v>
      </c>
      <c r="O408" s="11">
        <f>L408*COS(RADIANS(K408))</f>
        <v>-13.206001393966813</v>
      </c>
      <c r="P408" s="1">
        <v>1.9929156155094156</v>
      </c>
      <c r="Q408" s="1">
        <v>1.6921321098243505</v>
      </c>
      <c r="R408" s="1">
        <f>P408/Q408</f>
        <v>1.1777541504819546</v>
      </c>
    </row>
    <row r="409" spans="1:18" x14ac:dyDescent="0.35">
      <c r="A409" s="14">
        <v>2713</v>
      </c>
      <c r="B409" s="6">
        <v>0.5</v>
      </c>
      <c r="C409" s="6">
        <v>4000000</v>
      </c>
      <c r="D409" s="6">
        <v>20</v>
      </c>
      <c r="E409" s="6">
        <v>0.25</v>
      </c>
      <c r="F409" s="6">
        <v>0.1</v>
      </c>
      <c r="G409" s="11">
        <f>(C409*$V$4)/($V$5*$V$3)</f>
        <v>58.775510204081627</v>
      </c>
      <c r="H409" s="11">
        <f>G409*COS(RADIANS(D409))</f>
        <v>55.230913221702366</v>
      </c>
      <c r="I409" s="11">
        <f>G409*SIN(RADIANS(D409))</f>
        <v>20.102408424039304</v>
      </c>
      <c r="J409" s="11">
        <v>0.23580000000000001</v>
      </c>
      <c r="K409" s="11">
        <v>49</v>
      </c>
      <c r="L409" s="11">
        <f>-(F409*G409*$V$3)/J409</f>
        <v>-24.926000934725032</v>
      </c>
      <c r="M409" s="11">
        <f>ABS(L409/$V$6)</f>
        <v>7.2670556661005928E-2</v>
      </c>
      <c r="N409" s="11">
        <f>L409*SIN(RADIANS(K409))</f>
        <v>-18.81189170207875</v>
      </c>
      <c r="O409" s="11">
        <f>L409*COS(RADIANS(K409))</f>
        <v>-16.352927969852182</v>
      </c>
      <c r="P409" s="1">
        <v>5.1163035245895809</v>
      </c>
      <c r="Q409" s="1">
        <v>0.84069974491822996</v>
      </c>
      <c r="R409" s="1">
        <f>P409/Q409</f>
        <v>6.0857679040775903</v>
      </c>
    </row>
    <row r="410" spans="1:18" x14ac:dyDescent="0.35">
      <c r="A410" s="14">
        <v>2714</v>
      </c>
      <c r="B410" s="6">
        <v>0.5</v>
      </c>
      <c r="C410" s="6">
        <v>2000000</v>
      </c>
      <c r="D410" s="6">
        <v>0</v>
      </c>
      <c r="E410" s="6">
        <v>0.125</v>
      </c>
      <c r="F410" s="6">
        <v>2.5000000000000001E-2</v>
      </c>
      <c r="G410" s="11">
        <f>(C410*$V$4)/($V$5*$V$3)</f>
        <v>29.387755102040813</v>
      </c>
      <c r="H410" s="11">
        <f>G410*COS(RADIANS(D410))</f>
        <v>29.387755102040813</v>
      </c>
      <c r="I410" s="11">
        <f>G410*SIN(RADIANS(D410))</f>
        <v>0</v>
      </c>
      <c r="J410" s="12">
        <v>0.23300000000000001</v>
      </c>
      <c r="K410" s="11">
        <v>27</v>
      </c>
      <c r="L410" s="11">
        <f>-(F410*G410*$V$3)/J410</f>
        <v>-3.1531926075151087</v>
      </c>
      <c r="M410" s="11">
        <f>ABS(L410/$V$6)</f>
        <v>9.1929813630178096E-3</v>
      </c>
      <c r="N410" s="11">
        <f>L410*SIN(RADIANS(K410))</f>
        <v>-1.4315194876608286</v>
      </c>
      <c r="O410" s="11">
        <f>L410*COS(RADIANS(K410))</f>
        <v>-2.8095151853184936</v>
      </c>
      <c r="P410" s="1">
        <v>3.7852013083527289</v>
      </c>
      <c r="Q410" s="1">
        <v>0.14197361984331408</v>
      </c>
      <c r="R410" s="1">
        <f>P410/Q410</f>
        <v>26.66130026500824</v>
      </c>
    </row>
    <row r="411" spans="1:18" x14ac:dyDescent="0.35">
      <c r="A411" s="14">
        <v>2715</v>
      </c>
      <c r="B411" s="6">
        <v>1</v>
      </c>
      <c r="C411" s="6">
        <v>2000000</v>
      </c>
      <c r="D411" s="6">
        <v>20</v>
      </c>
      <c r="E411" s="6">
        <v>0.375</v>
      </c>
      <c r="F411" s="6">
        <v>0.05</v>
      </c>
      <c r="G411" s="11">
        <f>(C411*$V$4)/($V$5*$V$3)</f>
        <v>29.387755102040813</v>
      </c>
      <c r="H411" s="11">
        <f>G411*COS(RADIANS(D411))</f>
        <v>27.615456610851183</v>
      </c>
      <c r="I411" s="11">
        <f>G411*SIN(RADIANS(D411))</f>
        <v>10.051204212019652</v>
      </c>
      <c r="J411" s="12">
        <v>0.33379999999999999</v>
      </c>
      <c r="K411" s="11">
        <v>49</v>
      </c>
      <c r="L411" s="11">
        <f>-(F411*G411*$V$3)/J411</f>
        <v>-4.4020004646556048</v>
      </c>
      <c r="M411" s="11">
        <f>ABS(L411/$V$6)</f>
        <v>1.283382059666357E-2</v>
      </c>
      <c r="N411" s="11">
        <f>L411*SIN(RADIANS(K411))</f>
        <v>-3.3222319228206789</v>
      </c>
      <c r="O411" s="11">
        <f>L411*COS(RADIANS(K411))</f>
        <v>-2.8879721504577178</v>
      </c>
      <c r="P411" s="1">
        <v>5.3932508695097638</v>
      </c>
      <c r="Q411" s="1">
        <v>0.76903028107596716</v>
      </c>
      <c r="R411" s="1">
        <f>P411/Q411</f>
        <v>7.0130539748889316</v>
      </c>
    </row>
    <row r="412" spans="1:18" x14ac:dyDescent="0.35">
      <c r="A412" s="14">
        <v>2716</v>
      </c>
      <c r="B412" s="6">
        <v>1</v>
      </c>
      <c r="C412" s="6">
        <v>4000000</v>
      </c>
      <c r="D412" s="6">
        <v>5</v>
      </c>
      <c r="E412" s="6">
        <v>0.125</v>
      </c>
      <c r="F412" s="6">
        <v>1.4999999999999999E-2</v>
      </c>
      <c r="G412" s="11">
        <f>(C412*$V$4)/($V$5*$V$3)</f>
        <v>58.775510204081627</v>
      </c>
      <c r="H412" s="11">
        <f>G412*COS(RADIANS(D412))</f>
        <v>58.551851642943404</v>
      </c>
      <c r="I412" s="11">
        <f>G412*SIN(RADIANS(D412))</f>
        <v>5.1226232472092956</v>
      </c>
      <c r="J412" s="11">
        <v>0.33379999999999999</v>
      </c>
      <c r="K412" s="12">
        <v>14</v>
      </c>
      <c r="L412" s="11">
        <f>-(F412*G412*$V$3)/J412</f>
        <v>-2.6412002787933626</v>
      </c>
      <c r="M412" s="11">
        <f>ABS(L412/$V$6)</f>
        <v>7.7002923579981416E-3</v>
      </c>
      <c r="N412" s="11">
        <f>L412*SIN(RADIANS(K412))</f>
        <v>-0.63896417810406114</v>
      </c>
      <c r="O412" s="11">
        <f>L412*COS(RADIANS(K412))</f>
        <v>-2.5627453427521703</v>
      </c>
      <c r="P412" s="1">
        <v>2.3033707388887796</v>
      </c>
      <c r="Q412" s="1">
        <v>1.4297331064816783</v>
      </c>
      <c r="R412" s="1">
        <f>P412/Q412</f>
        <v>1.6110494528289758</v>
      </c>
    </row>
    <row r="413" spans="1:18" x14ac:dyDescent="0.35">
      <c r="A413" s="14">
        <v>2717</v>
      </c>
      <c r="B413" s="6">
        <v>0.5</v>
      </c>
      <c r="C413" s="6">
        <v>2000000</v>
      </c>
      <c r="D413" s="6">
        <v>15</v>
      </c>
      <c r="E413" s="6">
        <v>0.25</v>
      </c>
      <c r="F413" s="6">
        <v>0.05</v>
      </c>
      <c r="G413" s="11">
        <f>(C413*$V$4)/($V$5*$V$3)</f>
        <v>29.387755102040813</v>
      </c>
      <c r="H413" s="11">
        <f>G413*COS(RADIANS(D413))</f>
        <v>28.386391629719554</v>
      </c>
      <c r="I413" s="11">
        <f>G413*SIN(RADIANS(D413))</f>
        <v>7.6061107132169354</v>
      </c>
      <c r="J413" s="11">
        <v>0.23580000000000001</v>
      </c>
      <c r="K413" s="11">
        <v>49</v>
      </c>
      <c r="L413" s="11">
        <f>-(F413*G413*$V$3)/J413</f>
        <v>-6.2315002336812579</v>
      </c>
      <c r="M413" s="11">
        <f>ABS(L413/$V$6)</f>
        <v>1.8167639165251482E-2</v>
      </c>
      <c r="N413" s="11">
        <f>L413*SIN(RADIANS(K413))</f>
        <v>-4.7029729255196875</v>
      </c>
      <c r="O413" s="11">
        <f>L413*COS(RADIANS(K413))</f>
        <v>-4.0882319924630455</v>
      </c>
      <c r="P413" s="1">
        <v>3.1222147664378919</v>
      </c>
      <c r="Q413" s="1">
        <v>0.54570259283530687</v>
      </c>
      <c r="R413" s="1">
        <f>P413/Q413</f>
        <v>5.7214585516550347</v>
      </c>
    </row>
    <row r="414" spans="1:18" x14ac:dyDescent="0.35">
      <c r="A414" s="14">
        <v>2718</v>
      </c>
      <c r="B414" s="6">
        <v>0.1</v>
      </c>
      <c r="C414" s="6">
        <v>2000000</v>
      </c>
      <c r="D414" s="6">
        <v>15</v>
      </c>
      <c r="E414" s="6">
        <v>0.25</v>
      </c>
      <c r="F414" s="6">
        <v>0</v>
      </c>
      <c r="G414" s="11">
        <f>(C414*$V$4)/($V$5*$V$3)</f>
        <v>29.387755102040813</v>
      </c>
      <c r="H414" s="11">
        <f>G414*COS(RADIANS(D414))</f>
        <v>28.386391629719554</v>
      </c>
      <c r="I414" s="11">
        <f>G414*SIN(RADIANS(D414))</f>
        <v>7.6061107132169354</v>
      </c>
      <c r="J414" s="11">
        <v>0.1661</v>
      </c>
      <c r="K414" s="12">
        <v>80</v>
      </c>
      <c r="L414" s="11">
        <f>-(F414*G414*$V$3)/J414</f>
        <v>0</v>
      </c>
      <c r="M414" s="11">
        <f>ABS(L414/$V$6)</f>
        <v>0</v>
      </c>
      <c r="N414" s="11">
        <f>L414*SIN(RADIANS(K414))</f>
        <v>0</v>
      </c>
      <c r="O414" s="11">
        <f>L414*COS(RADIANS(K414))</f>
        <v>0</v>
      </c>
      <c r="P414" s="1">
        <v>1.5670863187133992</v>
      </c>
      <c r="Q414" s="1">
        <v>0.6679300486330676</v>
      </c>
      <c r="R414" s="1">
        <f>P414/Q414</f>
        <v>2.3461832895832027</v>
      </c>
    </row>
    <row r="415" spans="1:18" x14ac:dyDescent="0.35">
      <c r="A415" s="14">
        <v>2719</v>
      </c>
      <c r="B415" s="6">
        <v>0.25</v>
      </c>
      <c r="C415" s="6">
        <v>2000000</v>
      </c>
      <c r="D415" s="6">
        <v>20</v>
      </c>
      <c r="E415" s="6">
        <v>0.375</v>
      </c>
      <c r="F415" s="6">
        <v>2.5000000000000001E-2</v>
      </c>
      <c r="G415" s="11">
        <f>(C415*$V$4)/($V$5*$V$3)</f>
        <v>29.387755102040813</v>
      </c>
      <c r="H415" s="11">
        <f>G415*COS(RADIANS(D415))</f>
        <v>27.615456610851183</v>
      </c>
      <c r="I415" s="11">
        <f>G415*SIN(RADIANS(D415))</f>
        <v>10.051204212019652</v>
      </c>
      <c r="J415" s="11">
        <v>0.1976</v>
      </c>
      <c r="K415" s="12">
        <v>78</v>
      </c>
      <c r="L415" s="11">
        <f>-(F415*G415*$V$3)/J415</f>
        <v>-3.7180864248533418</v>
      </c>
      <c r="M415" s="11">
        <f>ABS(L415/$V$6)</f>
        <v>1.0839902113275049E-2</v>
      </c>
      <c r="N415" s="11">
        <f>L415*SIN(RADIANS(K415))</f>
        <v>-3.636837315791229</v>
      </c>
      <c r="O415" s="11">
        <f>L415*COS(RADIANS(K415))</f>
        <v>-0.77303363519781665</v>
      </c>
      <c r="P415" s="1">
        <v>2.1833391889135774</v>
      </c>
      <c r="Q415" s="1">
        <v>0.62617703595007379</v>
      </c>
      <c r="R415" s="1">
        <f>P415/Q415</f>
        <v>3.4867762047531539</v>
      </c>
    </row>
    <row r="416" spans="1:18" x14ac:dyDescent="0.35">
      <c r="A416" s="14">
        <v>2720</v>
      </c>
      <c r="B416" s="6">
        <v>0.25</v>
      </c>
      <c r="C416" s="6">
        <v>2000000</v>
      </c>
      <c r="D416" s="6">
        <v>15</v>
      </c>
      <c r="E416" s="6">
        <v>0</v>
      </c>
      <c r="F416" s="6">
        <v>0.1</v>
      </c>
      <c r="G416" s="11">
        <f>(C416*$V$4)/($V$5*$V$3)</f>
        <v>29.387755102040813</v>
      </c>
      <c r="H416" s="11">
        <f>G416*COS(RADIANS(D416))</f>
        <v>28.386391629719554</v>
      </c>
      <c r="I416" s="11">
        <f>G416*SIN(RADIANS(D416))</f>
        <v>7.6061107132169354</v>
      </c>
      <c r="J416" s="12">
        <v>0.18990000000000001</v>
      </c>
      <c r="K416" s="11">
        <v>0</v>
      </c>
      <c r="L416" s="11">
        <f>-(F416*G416*$V$3)/J416</f>
        <v>-15.47538446658284</v>
      </c>
      <c r="M416" s="11">
        <f>ABS(L416/$V$6)</f>
        <v>4.511773896962927E-2</v>
      </c>
      <c r="N416" s="11">
        <f>L416*SIN(RADIANS(K416))</f>
        <v>0</v>
      </c>
      <c r="O416" s="11">
        <f>L416*COS(RADIANS(K416))</f>
        <v>-15.47538446658284</v>
      </c>
      <c r="P416" s="1">
        <v>2.4120105710156245</v>
      </c>
      <c r="Q416" s="1">
        <v>0.470122251740272</v>
      </c>
      <c r="R416" s="1">
        <f>P416/Q416</f>
        <v>5.1306028635891625</v>
      </c>
    </row>
    <row r="417" spans="1:18" x14ac:dyDescent="0.35">
      <c r="A417" s="14">
        <v>2486</v>
      </c>
      <c r="B417" s="6">
        <v>0.1</v>
      </c>
      <c r="C417" s="6">
        <v>6000000</v>
      </c>
      <c r="D417" s="6">
        <v>0</v>
      </c>
      <c r="E417" s="6">
        <v>0.25</v>
      </c>
      <c r="F417" s="6">
        <v>7.4999999999999997E-2</v>
      </c>
      <c r="G417" s="11">
        <f>(C417*$V$4)/($V$5*$V$3)</f>
        <v>88.16326530612244</v>
      </c>
      <c r="H417" s="11">
        <f>G417*COS(RADIANS(D417))</f>
        <v>88.16326530612244</v>
      </c>
      <c r="I417" s="11">
        <f>G417*SIN(RADIANS(D417))</f>
        <v>0</v>
      </c>
      <c r="J417" s="20">
        <v>0.1661</v>
      </c>
      <c r="K417" s="19">
        <v>80</v>
      </c>
      <c r="L417" s="11">
        <f>-(F417*G417*$V$3)/J417</f>
        <v>-39.808819373625425</v>
      </c>
      <c r="M417" s="11">
        <f>ABS(L417/$V$6)</f>
        <v>0.11606069788228987</v>
      </c>
      <c r="N417" s="11">
        <f>L417*SIN(RADIANS(K417))</f>
        <v>-39.20403395740891</v>
      </c>
      <c r="O417" s="11">
        <f>L417*COS(RADIANS(K417))</f>
        <v>-6.912728939302049</v>
      </c>
      <c r="P417" s="1">
        <v>1.5332041902523141</v>
      </c>
      <c r="Q417" s="1">
        <v>0.21920984263930282</v>
      </c>
      <c r="R417" s="1">
        <f>P417/Q417</f>
        <v>6.9942306047594469</v>
      </c>
    </row>
    <row r="418" spans="1:18" x14ac:dyDescent="0.35">
      <c r="A418" s="14">
        <v>2722</v>
      </c>
      <c r="B418" s="6">
        <v>1</v>
      </c>
      <c r="C418" s="6">
        <v>4000000</v>
      </c>
      <c r="D418" s="6">
        <v>20</v>
      </c>
      <c r="E418" s="6">
        <v>0.125</v>
      </c>
      <c r="F418" s="6">
        <v>0.05</v>
      </c>
      <c r="G418" s="11">
        <f>(C418*$V$4)/($V$5*$V$3)</f>
        <v>58.775510204081627</v>
      </c>
      <c r="H418" s="11">
        <f>G418*COS(RADIANS(D418))</f>
        <v>55.230913221702366</v>
      </c>
      <c r="I418" s="11">
        <f>G418*SIN(RADIANS(D418))</f>
        <v>20.102408424039304</v>
      </c>
      <c r="J418" s="11">
        <v>0.33379999999999999</v>
      </c>
      <c r="K418" s="12">
        <v>14</v>
      </c>
      <c r="L418" s="11">
        <f>-(F418*G418*$V$3)/J418</f>
        <v>-8.8040009293112096</v>
      </c>
      <c r="M418" s="11">
        <f>ABS(L418/$V$6)</f>
        <v>2.566764119332714E-2</v>
      </c>
      <c r="N418" s="11">
        <f>L418*SIN(RADIANS(K418))</f>
        <v>-2.1298805936802041</v>
      </c>
      <c r="O418" s="11">
        <f>L418*COS(RADIANS(K418))</f>
        <v>-8.5424844758405687</v>
      </c>
      <c r="P418" s="1">
        <v>4.6458755367865647</v>
      </c>
      <c r="Q418" s="1">
        <v>0.85428379352418937</v>
      </c>
      <c r="R418" s="1">
        <f>P418/Q418</f>
        <v>5.4383280731814736</v>
      </c>
    </row>
    <row r="419" spans="1:18" x14ac:dyDescent="0.35">
      <c r="A419" s="14">
        <v>2723</v>
      </c>
      <c r="B419" s="6">
        <v>0.1</v>
      </c>
      <c r="C419" s="6">
        <v>2000000</v>
      </c>
      <c r="D419" s="6">
        <v>10</v>
      </c>
      <c r="E419" s="6">
        <v>0.125</v>
      </c>
      <c r="F419" s="6">
        <v>7.4999999999999997E-2</v>
      </c>
      <c r="G419" s="11">
        <f>(C419*$V$4)/($V$5*$V$3)</f>
        <v>29.387755102040813</v>
      </c>
      <c r="H419" s="11">
        <f>G419*COS(RADIANS(D419))</f>
        <v>28.941289068113864</v>
      </c>
      <c r="I419" s="11">
        <f>G419*SIN(RADIANS(D419))</f>
        <v>5.1031301191914213</v>
      </c>
      <c r="J419" s="12">
        <v>0.1658</v>
      </c>
      <c r="K419" s="11">
        <v>69</v>
      </c>
      <c r="L419" s="11">
        <f>-(F419*G419*$V$3)/J419</f>
        <v>-13.293616602250067</v>
      </c>
      <c r="M419" s="11">
        <f>ABS(L419/$V$6)</f>
        <v>3.8756899715014774E-2</v>
      </c>
      <c r="N419" s="11">
        <f>L419*SIN(RADIANS(K419))</f>
        <v>-12.410660257218899</v>
      </c>
      <c r="O419" s="11">
        <f>L419*COS(RADIANS(K419))</f>
        <v>-4.7640061237897191</v>
      </c>
      <c r="P419" s="1">
        <v>1.6143252204729852</v>
      </c>
      <c r="Q419" s="1">
        <v>0.46649953368331021</v>
      </c>
      <c r="R419" s="1">
        <f>P419/Q419</f>
        <v>3.4605076830985486</v>
      </c>
    </row>
    <row r="420" spans="1:18" x14ac:dyDescent="0.35">
      <c r="A420" s="14">
        <v>2724</v>
      </c>
      <c r="B420" s="6">
        <v>1</v>
      </c>
      <c r="C420" s="6">
        <v>6000000</v>
      </c>
      <c r="D420" s="6">
        <v>10</v>
      </c>
      <c r="E420" s="6">
        <v>0.25</v>
      </c>
      <c r="F420" s="6">
        <v>0.05</v>
      </c>
      <c r="G420" s="11">
        <f>(C420*$V$4)/($V$5*$V$3)</f>
        <v>88.16326530612244</v>
      </c>
      <c r="H420" s="11">
        <f>G420*COS(RADIANS(D420))</f>
        <v>86.823867204341596</v>
      </c>
      <c r="I420" s="11">
        <f>G420*SIN(RADIANS(D420))</f>
        <v>15.309390357574264</v>
      </c>
      <c r="J420" s="13">
        <v>0.33379999999999999</v>
      </c>
      <c r="K420" s="12">
        <v>30</v>
      </c>
      <c r="L420" s="11">
        <f>-(F420*G420*$V$3)/J420</f>
        <v>-13.206001393966813</v>
      </c>
      <c r="M420" s="11">
        <f>ABS(L420/$V$6)</f>
        <v>3.8501461789990712E-2</v>
      </c>
      <c r="N420" s="11">
        <f>L420*SIN(RADIANS(K420))</f>
        <v>-6.6030006969834059</v>
      </c>
      <c r="O420" s="11">
        <f>L420*COS(RADIANS(K420))</f>
        <v>-11.43673268958797</v>
      </c>
      <c r="P420" s="1">
        <v>3.6217112128267011</v>
      </c>
      <c r="Q420" s="1">
        <v>0.93734886376995274</v>
      </c>
      <c r="R420" s="1">
        <f>P420/Q420</f>
        <v>3.8637815148784918</v>
      </c>
    </row>
    <row r="421" spans="1:18" x14ac:dyDescent="0.35">
      <c r="A421" s="14">
        <v>2771</v>
      </c>
      <c r="B421" s="6">
        <v>0.1</v>
      </c>
      <c r="C421" s="6">
        <v>6000000</v>
      </c>
      <c r="D421" s="6">
        <v>10</v>
      </c>
      <c r="E421" s="6">
        <v>0.25</v>
      </c>
      <c r="F421" s="6">
        <v>7.4999999999999997E-2</v>
      </c>
      <c r="G421" s="11">
        <f>(C421*$V$4)/($V$5*$V$3)</f>
        <v>88.16326530612244</v>
      </c>
      <c r="H421" s="11">
        <f>G421*COS(RADIANS(D421))</f>
        <v>86.823867204341596</v>
      </c>
      <c r="I421" s="11">
        <f>G421*SIN(RADIANS(D421))</f>
        <v>15.309390357574264</v>
      </c>
      <c r="J421" s="20">
        <v>0.1661</v>
      </c>
      <c r="K421" s="19">
        <v>80</v>
      </c>
      <c r="L421" s="11">
        <f>-(F421*G421*$V$3)/J421</f>
        <v>-39.808819373625425</v>
      </c>
      <c r="M421" s="11">
        <f>ABS(L421/$V$6)</f>
        <v>0.11606069788228987</v>
      </c>
      <c r="N421" s="11">
        <f>L421*SIN(RADIANS(K421))</f>
        <v>-39.20403395740891</v>
      </c>
      <c r="O421" s="11">
        <f>L421*COS(RADIANS(K421))</f>
        <v>-6.912728939302049</v>
      </c>
      <c r="P421" s="1">
        <v>1.8283403751571972</v>
      </c>
      <c r="Q421" s="1">
        <v>0.49720800834544704</v>
      </c>
      <c r="R421" s="1">
        <f>P421/Q421</f>
        <v>3.67721425332899</v>
      </c>
    </row>
    <row r="422" spans="1:18" x14ac:dyDescent="0.35">
      <c r="A422" s="14">
        <v>2726</v>
      </c>
      <c r="B422" s="6">
        <v>1</v>
      </c>
      <c r="C422" s="6">
        <v>4000000</v>
      </c>
      <c r="D422" s="6">
        <v>0</v>
      </c>
      <c r="E422" s="6">
        <v>0</v>
      </c>
      <c r="F422" s="6">
        <v>2.5000000000000001E-2</v>
      </c>
      <c r="G422" s="11">
        <f>(C422*$V$4)/($V$5*$V$3)</f>
        <v>58.775510204081627</v>
      </c>
      <c r="H422" s="11">
        <f>G422*COS(RADIANS(D422))</f>
        <v>58.775510204081627</v>
      </c>
      <c r="I422" s="11">
        <f>G422*SIN(RADIANS(D422))</f>
        <v>0</v>
      </c>
      <c r="J422" s="11">
        <v>0.33379999999999999</v>
      </c>
      <c r="K422" s="12">
        <v>0</v>
      </c>
      <c r="L422" s="11">
        <f>-(F422*G422*$V$3)/J422</f>
        <v>-4.4020004646556048</v>
      </c>
      <c r="M422" s="11">
        <f>ABS(L422/$V$6)</f>
        <v>1.283382059666357E-2</v>
      </c>
      <c r="N422" s="11">
        <f>L422*SIN(RADIANS(K422))</f>
        <v>0</v>
      </c>
      <c r="O422" s="11">
        <f>L422*COS(RADIANS(K422))</f>
        <v>-4.4020004646556048</v>
      </c>
      <c r="P422" s="1">
        <v>3.9985863740065164</v>
      </c>
      <c r="Q422" s="1">
        <v>0.94563382470331803</v>
      </c>
      <c r="R422" s="1">
        <f>P422/Q422</f>
        <v>4.2284722368735359</v>
      </c>
    </row>
    <row r="423" spans="1:18" x14ac:dyDescent="0.35">
      <c r="A423" s="14">
        <v>2727</v>
      </c>
      <c r="B423" s="6">
        <v>1</v>
      </c>
      <c r="C423" s="6">
        <v>4000000</v>
      </c>
      <c r="D423" s="6">
        <v>30</v>
      </c>
      <c r="E423" s="6">
        <v>0.25</v>
      </c>
      <c r="F423" s="6">
        <v>0.15</v>
      </c>
      <c r="G423" s="11">
        <f>(C423*$V$4)/($V$5*$V$3)</f>
        <v>58.775510204081627</v>
      </c>
      <c r="H423" s="11">
        <f>G423*COS(RADIANS(D423))</f>
        <v>50.901084957126187</v>
      </c>
      <c r="I423" s="11">
        <f>G423*SIN(RADIANS(D423))</f>
        <v>29.38775510204081</v>
      </c>
      <c r="J423" s="13">
        <v>0.33379999999999999</v>
      </c>
      <c r="K423" s="12">
        <v>30</v>
      </c>
      <c r="L423" s="11">
        <f>-(F423*G423*$V$3)/J423</f>
        <v>-26.412002787933627</v>
      </c>
      <c r="M423" s="11">
        <f>ABS(L423/$V$6)</f>
        <v>7.7002923579981425E-2</v>
      </c>
      <c r="N423" s="11">
        <f>L423*SIN(RADIANS(K423))</f>
        <v>-13.206001393966812</v>
      </c>
      <c r="O423" s="11">
        <f>L423*COS(RADIANS(K423))</f>
        <v>-22.87346537917594</v>
      </c>
      <c r="P423" s="1">
        <v>5.857643288401043</v>
      </c>
      <c r="Q423" s="1">
        <v>1.2487971733660685</v>
      </c>
      <c r="R423" s="1">
        <f>P423/Q423</f>
        <v>4.6906282407831421</v>
      </c>
    </row>
    <row r="424" spans="1:18" x14ac:dyDescent="0.35">
      <c r="A424" s="14">
        <v>2426</v>
      </c>
      <c r="B424" s="6">
        <v>1</v>
      </c>
      <c r="C424" s="6">
        <v>6000000</v>
      </c>
      <c r="D424" s="6">
        <v>20</v>
      </c>
      <c r="E424" s="6">
        <v>0</v>
      </c>
      <c r="F424" s="6">
        <v>0.15</v>
      </c>
      <c r="G424" s="11">
        <f>(C424*$V$4)/($V$5*$V$3)</f>
        <v>88.16326530612244</v>
      </c>
      <c r="H424" s="11">
        <f>G424*COS(RADIANS(D424))</f>
        <v>82.846369832553549</v>
      </c>
      <c r="I424" s="11">
        <f>G424*SIN(RADIANS(D424))</f>
        <v>30.153612636058952</v>
      </c>
      <c r="J424" s="20">
        <v>0.33379999999999999</v>
      </c>
      <c r="K424" s="19">
        <v>0</v>
      </c>
      <c r="L424" s="11">
        <f>-(F424*G424*$V$3)/J424</f>
        <v>-39.618004181900439</v>
      </c>
      <c r="M424" s="11">
        <f>ABS(L424/$V$6)</f>
        <v>0.11550438536997212</v>
      </c>
      <c r="N424" s="11">
        <f>L424*SIN(RADIANS(K424))</f>
        <v>0</v>
      </c>
      <c r="O424" s="11">
        <f>L424*COS(RADIANS(K424))</f>
        <v>-39.618004181900439</v>
      </c>
      <c r="P424" s="1">
        <v>1.8229085488691761</v>
      </c>
      <c r="Q424" s="1">
        <v>1.3944763126498987</v>
      </c>
      <c r="R424" s="1">
        <f>P424/Q424</f>
        <v>1.3072352196539898</v>
      </c>
    </row>
    <row r="425" spans="1:18" x14ac:dyDescent="0.35">
      <c r="A425" s="14">
        <v>2729</v>
      </c>
      <c r="B425" s="6">
        <v>0.5</v>
      </c>
      <c r="C425" s="6">
        <v>2000000</v>
      </c>
      <c r="D425" s="6">
        <v>0</v>
      </c>
      <c r="E425" s="6">
        <v>0.25</v>
      </c>
      <c r="F425" s="6">
        <v>7.4999999999999997E-2</v>
      </c>
      <c r="G425" s="11">
        <f>(C425*$V$4)/($V$5*$V$3)</f>
        <v>29.387755102040813</v>
      </c>
      <c r="H425" s="11">
        <f>G425*COS(RADIANS(D425))</f>
        <v>29.387755102040813</v>
      </c>
      <c r="I425" s="11">
        <f>G425*SIN(RADIANS(D425))</f>
        <v>0</v>
      </c>
      <c r="J425" s="11">
        <v>0.23580000000000001</v>
      </c>
      <c r="K425" s="11">
        <v>49</v>
      </c>
      <c r="L425" s="11">
        <f>-(F425*G425*$V$3)/J425</f>
        <v>-9.347250350521886</v>
      </c>
      <c r="M425" s="11">
        <f>ABS(L425/$V$6)</f>
        <v>2.7251458747877218E-2</v>
      </c>
      <c r="N425" s="11">
        <f>L425*SIN(RADIANS(K425))</f>
        <v>-7.0544593882795308</v>
      </c>
      <c r="O425" s="11">
        <f>L425*COS(RADIANS(K425))</f>
        <v>-6.1323479886945673</v>
      </c>
      <c r="P425" s="1">
        <v>3.4012172729903081</v>
      </c>
      <c r="Q425" s="1">
        <v>-5.9449174571806512E-2</v>
      </c>
      <c r="R425" s="1">
        <f>P425/Q425</f>
        <v>-57.212186670179925</v>
      </c>
    </row>
    <row r="426" spans="1:18" x14ac:dyDescent="0.35">
      <c r="A426" s="14">
        <v>2730</v>
      </c>
      <c r="B426" s="6">
        <v>1</v>
      </c>
      <c r="C426" s="6">
        <v>4000000</v>
      </c>
      <c r="D426" s="6">
        <v>15</v>
      </c>
      <c r="E426" s="6">
        <v>0.375</v>
      </c>
      <c r="F426" s="6">
        <v>2.5000000000000001E-2</v>
      </c>
      <c r="G426" s="11">
        <f>(C426*$V$4)/($V$5*$V$3)</f>
        <v>58.775510204081627</v>
      </c>
      <c r="H426" s="11">
        <f>G426*COS(RADIANS(D426))</f>
        <v>56.772783259439109</v>
      </c>
      <c r="I426" s="11">
        <f>G426*SIN(RADIANS(D426))</f>
        <v>15.212221426433871</v>
      </c>
      <c r="J426" s="12">
        <v>0.33379999999999999</v>
      </c>
      <c r="K426" s="11">
        <v>49</v>
      </c>
      <c r="L426" s="11">
        <f>-(F426*G426*$V$3)/J426</f>
        <v>-4.4020004646556048</v>
      </c>
      <c r="M426" s="11">
        <f>ABS(L426/$V$6)</f>
        <v>1.283382059666357E-2</v>
      </c>
      <c r="N426" s="11">
        <f>L426*SIN(RADIANS(K426))</f>
        <v>-3.3222319228206789</v>
      </c>
      <c r="O426" s="11">
        <f>L426*COS(RADIANS(K426))</f>
        <v>-2.8879721504577178</v>
      </c>
      <c r="P426" s="1">
        <v>5.2454022766081234</v>
      </c>
      <c r="Q426" s="1">
        <v>0.54791735862773827</v>
      </c>
      <c r="R426" s="1">
        <f>P426/Q426</f>
        <v>9.5733456770657153</v>
      </c>
    </row>
    <row r="427" spans="1:18" x14ac:dyDescent="0.35">
      <c r="A427" s="14">
        <v>2731</v>
      </c>
      <c r="B427" s="6">
        <v>0.75</v>
      </c>
      <c r="C427" s="6">
        <v>4000000</v>
      </c>
      <c r="D427" s="6">
        <v>20</v>
      </c>
      <c r="E427" s="6">
        <v>0</v>
      </c>
      <c r="F427" s="6">
        <v>0</v>
      </c>
      <c r="G427" s="11">
        <f>(C427*$V$4)/($V$5*$V$3)</f>
        <v>58.775510204081627</v>
      </c>
      <c r="H427" s="11">
        <f>G427*COS(RADIANS(D427))</f>
        <v>55.230913221702366</v>
      </c>
      <c r="I427" s="11">
        <f>G427*SIN(RADIANS(D427))</f>
        <v>20.102408424039304</v>
      </c>
      <c r="J427" s="11">
        <v>0.27929999999999999</v>
      </c>
      <c r="K427" s="11">
        <v>0</v>
      </c>
      <c r="L427" s="11">
        <f>-(F427*G427*$V$3)/J427</f>
        <v>0</v>
      </c>
      <c r="M427" s="11">
        <f>ABS(L427/$V$6)</f>
        <v>0</v>
      </c>
      <c r="N427" s="11">
        <f>L427*SIN(RADIANS(K427))</f>
        <v>0</v>
      </c>
      <c r="O427" s="11">
        <f>L427*COS(RADIANS(K427))</f>
        <v>0</v>
      </c>
      <c r="P427" s="1">
        <v>3.6662547046205076</v>
      </c>
      <c r="Q427" s="1">
        <v>1.812097868103808</v>
      </c>
      <c r="R427" s="1">
        <f>P427/Q427</f>
        <v>2.0232100976184593</v>
      </c>
    </row>
    <row r="428" spans="1:18" x14ac:dyDescent="0.35">
      <c r="A428" s="14">
        <v>2732</v>
      </c>
      <c r="B428" s="6">
        <v>0.5</v>
      </c>
      <c r="C428" s="6">
        <v>2000000</v>
      </c>
      <c r="D428" s="6">
        <v>0</v>
      </c>
      <c r="E428" s="6">
        <v>0.375</v>
      </c>
      <c r="F428" s="6">
        <v>1.4999999999999999E-2</v>
      </c>
      <c r="G428" s="11">
        <f>(C428*$V$4)/($V$5*$V$3)</f>
        <v>29.387755102040813</v>
      </c>
      <c r="H428" s="11">
        <f>G428*COS(RADIANS(D428))</f>
        <v>29.387755102040813</v>
      </c>
      <c r="I428" s="11">
        <f>G428*SIN(RADIANS(D428))</f>
        <v>0</v>
      </c>
      <c r="J428" s="12">
        <v>0.24809999999999999</v>
      </c>
      <c r="K428" s="11">
        <v>67</v>
      </c>
      <c r="L428" s="11">
        <f>-(F428*G428*$V$3)/J428</f>
        <v>-1.7767687486118993</v>
      </c>
      <c r="M428" s="11">
        <f>ABS(L428/$V$6)</f>
        <v>5.1800838151950419E-3</v>
      </c>
      <c r="N428" s="11">
        <f>L428*SIN(RADIANS(K428))</f>
        <v>-1.6355242565598722</v>
      </c>
      <c r="O428" s="11">
        <f>L428*COS(RADIANS(K428))</f>
        <v>-0.69423885820960207</v>
      </c>
      <c r="P428" s="1">
        <v>2.9912210960930081</v>
      </c>
      <c r="Q428" s="1">
        <v>-0.1269414995376717</v>
      </c>
      <c r="R428" s="1">
        <f>P428/Q428</f>
        <v>-23.56377628267516</v>
      </c>
    </row>
    <row r="429" spans="1:18" x14ac:dyDescent="0.35">
      <c r="A429" s="14">
        <v>2487</v>
      </c>
      <c r="B429" s="6">
        <v>1</v>
      </c>
      <c r="C429" s="6">
        <v>6000000</v>
      </c>
      <c r="D429" s="6">
        <v>0</v>
      </c>
      <c r="E429" s="6">
        <v>0.125</v>
      </c>
      <c r="F429" s="6">
        <v>0.15</v>
      </c>
      <c r="G429" s="11">
        <f>(C429*$V$4)/($V$5*$V$3)</f>
        <v>88.16326530612244</v>
      </c>
      <c r="H429" s="11">
        <f>G429*COS(RADIANS(D429))</f>
        <v>88.16326530612244</v>
      </c>
      <c r="I429" s="11">
        <f>G429*SIN(RADIANS(D429))</f>
        <v>0</v>
      </c>
      <c r="J429" s="11">
        <v>0.33379999999999999</v>
      </c>
      <c r="K429" s="19">
        <v>14</v>
      </c>
      <c r="L429" s="11">
        <f>-(F429*G429*$V$3)/J429</f>
        <v>-39.618004181900439</v>
      </c>
      <c r="M429" s="11">
        <f>ABS(L429/$V$6)</f>
        <v>0.11550438536997212</v>
      </c>
      <c r="N429" s="11">
        <f>L429*SIN(RADIANS(K429))</f>
        <v>-9.5844626715609174</v>
      </c>
      <c r="O429" s="11">
        <f>L429*COS(RADIANS(K429))</f>
        <v>-38.441180141282551</v>
      </c>
      <c r="P429" s="1">
        <v>4.2043854780791055</v>
      </c>
      <c r="Q429" s="1">
        <v>-4.4688536581647224E-2</v>
      </c>
      <c r="R429" s="1">
        <f>P429/Q429</f>
        <v>-94.08196821118932</v>
      </c>
    </row>
    <row r="430" spans="1:18" x14ac:dyDescent="0.35">
      <c r="A430" s="14">
        <v>2734</v>
      </c>
      <c r="B430" s="6">
        <v>0.75</v>
      </c>
      <c r="C430" s="6">
        <v>6000000</v>
      </c>
      <c r="D430" s="6">
        <v>30</v>
      </c>
      <c r="E430" s="6">
        <v>0</v>
      </c>
      <c r="F430" s="6">
        <v>7.4999999999999997E-2</v>
      </c>
      <c r="G430" s="11">
        <f>(C430*$V$4)/($V$5*$V$3)</f>
        <v>88.16326530612244</v>
      </c>
      <c r="H430" s="11">
        <f>G430*COS(RADIANS(D430))</f>
        <v>76.351627435689281</v>
      </c>
      <c r="I430" s="11">
        <f>G430*SIN(RADIANS(D430))</f>
        <v>44.081632653061213</v>
      </c>
      <c r="J430" s="11">
        <v>0.27929999999999999</v>
      </c>
      <c r="K430" s="11">
        <v>0</v>
      </c>
      <c r="L430" s="11">
        <f>-(F430*G430*$V$3)/J430</f>
        <v>-23.674346215392706</v>
      </c>
      <c r="M430" s="11">
        <f>ABS(L430/$V$6)</f>
        <v>6.9021417537588059E-2</v>
      </c>
      <c r="N430" s="11">
        <f>L430*SIN(RADIANS(K430))</f>
        <v>0</v>
      </c>
      <c r="O430" s="11">
        <f>L430*COS(RADIANS(K430))</f>
        <v>-23.674346215392706</v>
      </c>
      <c r="P430" s="1">
        <v>2.5086327952107266</v>
      </c>
      <c r="Q430" s="1">
        <v>1.2138289228955006</v>
      </c>
      <c r="R430" s="1">
        <f>P430/Q430</f>
        <v>2.0667103476382533</v>
      </c>
    </row>
    <row r="431" spans="1:18" x14ac:dyDescent="0.35">
      <c r="A431" s="14">
        <v>2735</v>
      </c>
      <c r="B431" s="6">
        <v>0.75</v>
      </c>
      <c r="C431" s="6">
        <v>4000000</v>
      </c>
      <c r="D431" s="6">
        <v>5</v>
      </c>
      <c r="E431" s="6">
        <v>0</v>
      </c>
      <c r="F431" s="6">
        <v>2.5000000000000001E-2</v>
      </c>
      <c r="G431" s="11">
        <f>(C431*$V$4)/($V$5*$V$3)</f>
        <v>58.775510204081627</v>
      </c>
      <c r="H431" s="11">
        <f>G431*COS(RADIANS(D431))</f>
        <v>58.551851642943404</v>
      </c>
      <c r="I431" s="11">
        <f>G431*SIN(RADIANS(D431))</f>
        <v>5.1226232472092956</v>
      </c>
      <c r="J431" s="11">
        <v>0.27929999999999999</v>
      </c>
      <c r="K431" s="11">
        <v>0</v>
      </c>
      <c r="L431" s="11">
        <f>-(F431*G431*$V$3)/J431</f>
        <v>-5.260965825642824</v>
      </c>
      <c r="M431" s="11">
        <f>ABS(L431/$V$6)</f>
        <v>1.5338092786130682E-2</v>
      </c>
      <c r="N431" s="11">
        <f>L431*SIN(RADIANS(K431))</f>
        <v>0</v>
      </c>
      <c r="O431" s="11">
        <f>L431*COS(RADIANS(K431))</f>
        <v>-5.260965825642824</v>
      </c>
      <c r="P431" s="1">
        <v>2.5790753307790673</v>
      </c>
      <c r="Q431" s="1">
        <v>1.0164400031303458</v>
      </c>
      <c r="R431" s="1">
        <f>P431/Q431</f>
        <v>2.5373611062495076</v>
      </c>
    </row>
    <row r="432" spans="1:18" x14ac:dyDescent="0.35">
      <c r="A432" s="14">
        <v>2736</v>
      </c>
      <c r="B432" s="6">
        <v>1</v>
      </c>
      <c r="C432" s="6">
        <v>2000000</v>
      </c>
      <c r="D432" s="6">
        <v>5</v>
      </c>
      <c r="E432" s="6">
        <v>0.25</v>
      </c>
      <c r="F432" s="6">
        <v>0.05</v>
      </c>
      <c r="G432" s="11">
        <f>(C432*$V$4)/($V$5*$V$3)</f>
        <v>29.387755102040813</v>
      </c>
      <c r="H432" s="11">
        <f>G432*COS(RADIANS(D432))</f>
        <v>29.275925821471702</v>
      </c>
      <c r="I432" s="11">
        <f>G432*SIN(RADIANS(D432))</f>
        <v>2.5613116236046478</v>
      </c>
      <c r="J432" s="13">
        <v>0.33379999999999999</v>
      </c>
      <c r="K432" s="12">
        <v>30</v>
      </c>
      <c r="L432" s="11">
        <f>-(F432*G432*$V$3)/J432</f>
        <v>-4.4020004646556048</v>
      </c>
      <c r="M432" s="11">
        <f>ABS(L432/$V$6)</f>
        <v>1.283382059666357E-2</v>
      </c>
      <c r="N432" s="11">
        <f>L432*SIN(RADIANS(K432))</f>
        <v>-2.201000232327802</v>
      </c>
      <c r="O432" s="11">
        <f>L432*COS(RADIANS(K432))</f>
        <v>-3.8122442298626571</v>
      </c>
      <c r="P432" s="1">
        <v>3.6579519051577858</v>
      </c>
      <c r="Q432" s="1">
        <v>0.62235364837147444</v>
      </c>
      <c r="R432" s="1">
        <f>P432/Q432</f>
        <v>5.8776098038946563</v>
      </c>
    </row>
    <row r="433" spans="1:18" x14ac:dyDescent="0.35">
      <c r="A433" s="14">
        <v>2737</v>
      </c>
      <c r="B433" s="6">
        <v>1</v>
      </c>
      <c r="C433" s="6">
        <v>2000000</v>
      </c>
      <c r="D433" s="6">
        <v>5</v>
      </c>
      <c r="E433" s="6">
        <v>0.25</v>
      </c>
      <c r="F433" s="6">
        <v>7.4999999999999997E-2</v>
      </c>
      <c r="G433" s="11">
        <f>(C433*$V$4)/($V$5*$V$3)</f>
        <v>29.387755102040813</v>
      </c>
      <c r="H433" s="11">
        <f>G433*COS(RADIANS(D433))</f>
        <v>29.275925821471702</v>
      </c>
      <c r="I433" s="11">
        <f>G433*SIN(RADIANS(D433))</f>
        <v>2.5613116236046478</v>
      </c>
      <c r="J433" s="13">
        <v>0.33379999999999999</v>
      </c>
      <c r="K433" s="12">
        <v>30</v>
      </c>
      <c r="L433" s="11">
        <f>-(F433*G433*$V$3)/J433</f>
        <v>-6.6030006969834067</v>
      </c>
      <c r="M433" s="11">
        <f>ABS(L433/$V$6)</f>
        <v>1.9250730894995356E-2</v>
      </c>
      <c r="N433" s="11">
        <f>L433*SIN(RADIANS(K433))</f>
        <v>-3.3015003484917029</v>
      </c>
      <c r="O433" s="11">
        <f>L433*COS(RADIANS(K433))</f>
        <v>-5.718366344793985</v>
      </c>
      <c r="P433" s="1">
        <v>4.6885307121131765</v>
      </c>
      <c r="Q433" s="1">
        <v>-0.24984325308869346</v>
      </c>
      <c r="R433" s="1">
        <f>P433/Q433</f>
        <v>-18.765888828900113</v>
      </c>
    </row>
    <row r="434" spans="1:18" x14ac:dyDescent="0.35">
      <c r="A434" s="14">
        <v>2738</v>
      </c>
      <c r="B434" s="6">
        <v>1</v>
      </c>
      <c r="C434" s="6">
        <v>4000000</v>
      </c>
      <c r="D434" s="6">
        <v>15</v>
      </c>
      <c r="E434" s="6">
        <v>0</v>
      </c>
      <c r="F434" s="6">
        <v>0.05</v>
      </c>
      <c r="G434" s="11">
        <f>(C434*$V$4)/($V$5*$V$3)</f>
        <v>58.775510204081627</v>
      </c>
      <c r="H434" s="11">
        <f>G434*COS(RADIANS(D434))</f>
        <v>56.772783259439109</v>
      </c>
      <c r="I434" s="11">
        <f>G434*SIN(RADIANS(D434))</f>
        <v>15.212221426433871</v>
      </c>
      <c r="J434" s="11">
        <v>0.33379999999999999</v>
      </c>
      <c r="K434" s="12">
        <v>0</v>
      </c>
      <c r="L434" s="11">
        <f>-(F434*G434*$V$3)/J434</f>
        <v>-8.8040009293112096</v>
      </c>
      <c r="M434" s="11">
        <f>ABS(L434/$V$6)</f>
        <v>2.566764119332714E-2</v>
      </c>
      <c r="N434" s="11">
        <f>L434*SIN(RADIANS(K434))</f>
        <v>0</v>
      </c>
      <c r="O434" s="11">
        <f>L434*COS(RADIANS(K434))</f>
        <v>-8.8040009293112096</v>
      </c>
      <c r="P434" s="1">
        <v>1.5271270957565757</v>
      </c>
      <c r="Q434" s="1">
        <v>1.856115371475543</v>
      </c>
      <c r="R434" s="1">
        <f>P434/Q434</f>
        <v>0.82275440375377429</v>
      </c>
    </row>
    <row r="435" spans="1:18" x14ac:dyDescent="0.35">
      <c r="A435" s="14">
        <v>2739</v>
      </c>
      <c r="B435" s="6">
        <v>1</v>
      </c>
      <c r="C435" s="6">
        <v>6000000</v>
      </c>
      <c r="D435" s="6">
        <v>5</v>
      </c>
      <c r="E435" s="6">
        <v>0.125</v>
      </c>
      <c r="F435" s="6">
        <v>0.1</v>
      </c>
      <c r="G435" s="11">
        <f>(C435*$V$4)/($V$5*$V$3)</f>
        <v>88.16326530612244</v>
      </c>
      <c r="H435" s="11">
        <f>G435*COS(RADIANS(D435))</f>
        <v>87.827777464415107</v>
      </c>
      <c r="I435" s="11">
        <f>G435*SIN(RADIANS(D435))</f>
        <v>7.6839348708139434</v>
      </c>
      <c r="J435" s="11">
        <v>0.33379999999999999</v>
      </c>
      <c r="K435" s="12">
        <v>14</v>
      </c>
      <c r="L435" s="11">
        <f>-(F435*G435*$V$3)/J435</f>
        <v>-26.412002787933627</v>
      </c>
      <c r="M435" s="11">
        <f>ABS(L435/$V$6)</f>
        <v>7.7002923579981425E-2</v>
      </c>
      <c r="N435" s="11">
        <f>L435*SIN(RADIANS(K435))</f>
        <v>-6.3896417810406119</v>
      </c>
      <c r="O435" s="11">
        <f>L435*COS(RADIANS(K435))</f>
        <v>-25.627453427521701</v>
      </c>
      <c r="P435" s="1">
        <v>3.0319318772388044</v>
      </c>
      <c r="Q435" s="1">
        <v>0.73570823682377418</v>
      </c>
      <c r="R435" s="1">
        <f>P435/Q435</f>
        <v>4.1211063373822876</v>
      </c>
    </row>
    <row r="436" spans="1:18" x14ac:dyDescent="0.35">
      <c r="A436" s="14">
        <v>2740</v>
      </c>
      <c r="B436" s="6">
        <v>0.1</v>
      </c>
      <c r="C436" s="6">
        <v>2000000</v>
      </c>
      <c r="D436" s="6">
        <v>15</v>
      </c>
      <c r="E436" s="6">
        <v>0</v>
      </c>
      <c r="F436" s="6">
        <v>1.4999999999999999E-2</v>
      </c>
      <c r="G436" s="11">
        <f>(C436*$V$4)/($V$5*$V$3)</f>
        <v>29.387755102040813</v>
      </c>
      <c r="H436" s="11">
        <f>G436*COS(RADIANS(D436))</f>
        <v>28.386391629719554</v>
      </c>
      <c r="I436" s="11">
        <f>G436*SIN(RADIANS(D436))</f>
        <v>7.6061107132169354</v>
      </c>
      <c r="J436" s="11">
        <v>0.16569999999999999</v>
      </c>
      <c r="K436" s="12">
        <v>0</v>
      </c>
      <c r="L436" s="11">
        <f>-(F436*G436*$V$3)/J436</f>
        <v>-2.6603278607761753</v>
      </c>
      <c r="M436" s="11">
        <f>ABS(L436/$V$6)</f>
        <v>7.7560579031375372E-3</v>
      </c>
      <c r="N436" s="11">
        <f>L436*SIN(RADIANS(K436))</f>
        <v>0</v>
      </c>
      <c r="O436" s="11">
        <f>L436*COS(RADIANS(K436))</f>
        <v>-2.6603278607761753</v>
      </c>
      <c r="P436" s="1">
        <v>1.2122172071540553</v>
      </c>
      <c r="Q436" s="1">
        <v>0.49100186761874154</v>
      </c>
      <c r="R436" s="1">
        <f>P436/Q436</f>
        <v>2.4688647581587833</v>
      </c>
    </row>
    <row r="437" spans="1:18" x14ac:dyDescent="0.35">
      <c r="A437" s="14">
        <v>2741</v>
      </c>
      <c r="B437" s="6">
        <v>0.25</v>
      </c>
      <c r="C437" s="6">
        <v>4000000</v>
      </c>
      <c r="D437" s="6">
        <v>30</v>
      </c>
      <c r="E437" s="6">
        <v>0</v>
      </c>
      <c r="F437" s="6">
        <v>0.05</v>
      </c>
      <c r="G437" s="11">
        <f>(C437*$V$4)/($V$5*$V$3)</f>
        <v>58.775510204081627</v>
      </c>
      <c r="H437" s="11">
        <f>G437*COS(RADIANS(D437))</f>
        <v>50.901084957126187</v>
      </c>
      <c r="I437" s="11">
        <f>G437*SIN(RADIANS(D437))</f>
        <v>29.38775510204081</v>
      </c>
      <c r="J437" s="12">
        <v>0.18990000000000001</v>
      </c>
      <c r="K437" s="11">
        <v>0</v>
      </c>
      <c r="L437" s="11">
        <f>-(F437*G437*$V$3)/J437</f>
        <v>-15.47538446658284</v>
      </c>
      <c r="M437" s="11">
        <f>ABS(L437/$V$6)</f>
        <v>4.511773896962927E-2</v>
      </c>
      <c r="N437" s="11">
        <f>L437*SIN(RADIANS(K437))</f>
        <v>0</v>
      </c>
      <c r="O437" s="11">
        <f>L437*COS(RADIANS(K437))</f>
        <v>-15.47538446658284</v>
      </c>
      <c r="P437" s="1">
        <v>2.3791029739937399</v>
      </c>
      <c r="Q437" s="1">
        <v>0.89963801554884626</v>
      </c>
      <c r="R437" s="1">
        <f>P437/Q437</f>
        <v>2.6445113844397845</v>
      </c>
    </row>
    <row r="438" spans="1:18" x14ac:dyDescent="0.35">
      <c r="A438" s="14">
        <v>2742</v>
      </c>
      <c r="B438" s="6">
        <v>0.5</v>
      </c>
      <c r="C438" s="6">
        <v>4000000</v>
      </c>
      <c r="D438" s="6">
        <v>10</v>
      </c>
      <c r="E438" s="6">
        <v>0.25</v>
      </c>
      <c r="F438" s="6">
        <v>0</v>
      </c>
      <c r="G438" s="11">
        <f>(C438*$V$4)/($V$5*$V$3)</f>
        <v>58.775510204081627</v>
      </c>
      <c r="H438" s="11">
        <f>G438*COS(RADIANS(D438))</f>
        <v>57.882578136227728</v>
      </c>
      <c r="I438" s="11">
        <f>G438*SIN(RADIANS(D438))</f>
        <v>10.206260238382843</v>
      </c>
      <c r="J438" s="11">
        <v>0.23580000000000001</v>
      </c>
      <c r="K438" s="11">
        <v>49</v>
      </c>
      <c r="L438" s="11">
        <f>-(F438*G438*$V$3)/J438</f>
        <v>0</v>
      </c>
      <c r="M438" s="11">
        <f>ABS(L438/$V$6)</f>
        <v>0</v>
      </c>
      <c r="N438" s="11">
        <f>L438*SIN(RADIANS(K438))</f>
        <v>0</v>
      </c>
      <c r="O438" s="11">
        <f>L438*COS(RADIANS(K438))</f>
        <v>0</v>
      </c>
      <c r="P438" s="1">
        <v>4.191714016467234</v>
      </c>
      <c r="Q438" s="1">
        <v>0.89457202214986153</v>
      </c>
      <c r="R438" s="1">
        <f>P438/Q438</f>
        <v>4.6857200009380851</v>
      </c>
    </row>
    <row r="439" spans="1:18" x14ac:dyDescent="0.35">
      <c r="A439" s="14">
        <v>2743</v>
      </c>
      <c r="B439" s="6">
        <v>0.75</v>
      </c>
      <c r="C439" s="6">
        <v>2000000</v>
      </c>
      <c r="D439" s="6">
        <v>5</v>
      </c>
      <c r="E439" s="6">
        <v>0</v>
      </c>
      <c r="F439" s="6">
        <v>3.5000000000000003E-2</v>
      </c>
      <c r="G439" s="11">
        <f>(C439*$V$4)/($V$5*$V$3)</f>
        <v>29.387755102040813</v>
      </c>
      <c r="H439" s="11">
        <f>G439*COS(RADIANS(D439))</f>
        <v>29.275925821471702</v>
      </c>
      <c r="I439" s="11">
        <f>G439*SIN(RADIANS(D439))</f>
        <v>2.5613116236046478</v>
      </c>
      <c r="J439" s="11">
        <v>0.27929999999999999</v>
      </c>
      <c r="K439" s="11">
        <v>0</v>
      </c>
      <c r="L439" s="11">
        <f>-(F439*G439*$V$3)/J439</f>
        <v>-3.6826760779499765</v>
      </c>
      <c r="M439" s="11">
        <f>ABS(L439/$V$6)</f>
        <v>1.0736664950291477E-2</v>
      </c>
      <c r="N439" s="11">
        <f>L439*SIN(RADIANS(K439))</f>
        <v>0</v>
      </c>
      <c r="O439" s="11">
        <f>L439*COS(RADIANS(K439))</f>
        <v>-3.6826760779499765</v>
      </c>
      <c r="P439" s="1">
        <v>4.6304793557739528</v>
      </c>
      <c r="Q439" s="1">
        <v>0.64498185000313657</v>
      </c>
      <c r="R439" s="1">
        <f>P439/Q439</f>
        <v>7.1792397813232025</v>
      </c>
    </row>
    <row r="440" spans="1:18" x14ac:dyDescent="0.35">
      <c r="A440" s="14">
        <v>2744</v>
      </c>
      <c r="B440" s="6">
        <v>0.25</v>
      </c>
      <c r="C440" s="6">
        <v>2000000</v>
      </c>
      <c r="D440" s="6">
        <v>15</v>
      </c>
      <c r="E440" s="6">
        <v>0.125</v>
      </c>
      <c r="F440" s="6">
        <v>2.5000000000000001E-2</v>
      </c>
      <c r="G440" s="11">
        <f>(C440*$V$4)/($V$5*$V$3)</f>
        <v>29.387755102040813</v>
      </c>
      <c r="H440" s="11">
        <f>G440*COS(RADIANS(D440))</f>
        <v>28.386391629719554</v>
      </c>
      <c r="I440" s="11">
        <f>G440*SIN(RADIANS(D440))</f>
        <v>7.6061107132169354</v>
      </c>
      <c r="J440" s="11">
        <v>0.19020000000000001</v>
      </c>
      <c r="K440" s="11">
        <v>46</v>
      </c>
      <c r="L440" s="11">
        <f>-(F440*G440*$V$3)/J440</f>
        <v>-3.8627438357046282</v>
      </c>
      <c r="M440" s="11">
        <f>ABS(L440/$V$6)</f>
        <v>1.1261643835873551E-2</v>
      </c>
      <c r="N440" s="11">
        <f>L440*SIN(RADIANS(K440))</f>
        <v>-2.7786253795351223</v>
      </c>
      <c r="O440" s="11">
        <f>L440*COS(RADIANS(K440))</f>
        <v>-2.6832873384111138</v>
      </c>
      <c r="P440" s="1">
        <v>2.1265753368331692</v>
      </c>
      <c r="Q440" s="1">
        <v>0.57442482542974171</v>
      </c>
      <c r="R440" s="1">
        <f>P440/Q440</f>
        <v>3.7020951092115917</v>
      </c>
    </row>
    <row r="441" spans="1:18" x14ac:dyDescent="0.35">
      <c r="A441" s="14">
        <v>2745</v>
      </c>
      <c r="B441" s="6">
        <v>0.75</v>
      </c>
      <c r="C441" s="6">
        <v>4000000</v>
      </c>
      <c r="D441" s="6">
        <v>0</v>
      </c>
      <c r="E441" s="6">
        <v>0.375</v>
      </c>
      <c r="F441" s="6">
        <v>0.15</v>
      </c>
      <c r="G441" s="11">
        <f>(C441*$V$4)/($V$5*$V$3)</f>
        <v>58.775510204081627</v>
      </c>
      <c r="H441" s="11">
        <f>G441*COS(RADIANS(D441))</f>
        <v>58.775510204081627</v>
      </c>
      <c r="I441" s="11">
        <f>G441*SIN(RADIANS(D441))</f>
        <v>0</v>
      </c>
      <c r="J441" s="11">
        <v>0.29299999999999998</v>
      </c>
      <c r="K441" s="12">
        <v>57</v>
      </c>
      <c r="L441" s="11">
        <f>-(F441*G441*$V$3)/J441</f>
        <v>-30.089851640314826</v>
      </c>
      <c r="M441" s="11">
        <f>ABS(L441/$V$6)</f>
        <v>8.7725514986340597E-2</v>
      </c>
      <c r="N441" s="11">
        <f>L441*SIN(RADIANS(K441))</f>
        <v>-25.235472964576385</v>
      </c>
      <c r="O441" s="11">
        <f>L441*COS(RADIANS(K441))</f>
        <v>-16.388107761126395</v>
      </c>
      <c r="P441" s="1">
        <v>5.5932116633976756</v>
      </c>
      <c r="Q441" s="1">
        <v>-0.88413454306208938</v>
      </c>
      <c r="R441" s="1">
        <f>P441/Q441</f>
        <v>-6.3261996800015154</v>
      </c>
    </row>
    <row r="442" spans="1:18" x14ac:dyDescent="0.35">
      <c r="A442" s="14">
        <v>2746</v>
      </c>
      <c r="B442" s="6">
        <v>0.75</v>
      </c>
      <c r="C442" s="6">
        <v>2000000</v>
      </c>
      <c r="D442" s="6">
        <v>20</v>
      </c>
      <c r="E442" s="6">
        <v>0.25</v>
      </c>
      <c r="F442" s="6">
        <v>7.4999999999999997E-2</v>
      </c>
      <c r="G442" s="11">
        <f>(C442*$V$4)/($V$5*$V$3)</f>
        <v>29.387755102040813</v>
      </c>
      <c r="H442" s="11">
        <f>G442*COS(RADIANS(D442))</f>
        <v>27.615456610851183</v>
      </c>
      <c r="I442" s="11">
        <f>G442*SIN(RADIANS(D442))</f>
        <v>10.051204212019652</v>
      </c>
      <c r="J442" s="12">
        <v>0.28370000000000001</v>
      </c>
      <c r="K442" s="11">
        <v>38</v>
      </c>
      <c r="L442" s="11">
        <f>-(F442*G442*$V$3)/J442</f>
        <v>-7.769057570155308</v>
      </c>
      <c r="M442" s="11">
        <f>ABS(L442/$V$6)</f>
        <v>2.2650313615613142E-2</v>
      </c>
      <c r="N442" s="11">
        <f>L442*SIN(RADIANS(K442))</f>
        <v>-4.7831094455317906</v>
      </c>
      <c r="O442" s="11">
        <f>L442*COS(RADIANS(K442))</f>
        <v>-6.1221009106720921</v>
      </c>
      <c r="P442" s="1">
        <v>3.8558803608374084</v>
      </c>
      <c r="Q442" s="1">
        <v>0.73943650866599797</v>
      </c>
      <c r="R442" s="1">
        <f>P442/Q442</f>
        <v>5.2146199378141631</v>
      </c>
    </row>
    <row r="443" spans="1:18" x14ac:dyDescent="0.35">
      <c r="A443" s="14">
        <v>2747</v>
      </c>
      <c r="B443" s="6">
        <v>0.75</v>
      </c>
      <c r="C443" s="6">
        <v>6000000</v>
      </c>
      <c r="D443" s="6">
        <v>20</v>
      </c>
      <c r="E443" s="6">
        <v>0.25</v>
      </c>
      <c r="F443" s="6">
        <v>0.05</v>
      </c>
      <c r="G443" s="11">
        <f>(C443*$V$4)/($V$5*$V$3)</f>
        <v>88.16326530612244</v>
      </c>
      <c r="H443" s="11">
        <f>G443*COS(RADIANS(D443))</f>
        <v>82.846369832553549</v>
      </c>
      <c r="I443" s="11">
        <f>G443*SIN(RADIANS(D443))</f>
        <v>30.153612636058952</v>
      </c>
      <c r="J443" s="12">
        <v>0.28370000000000001</v>
      </c>
      <c r="K443" s="11">
        <v>38</v>
      </c>
      <c r="L443" s="11">
        <f>-(F443*G443*$V$3)/J443</f>
        <v>-15.538115140310616</v>
      </c>
      <c r="M443" s="11">
        <f>ABS(L443/$V$6)</f>
        <v>4.5300627231226284E-2</v>
      </c>
      <c r="N443" s="11">
        <f>L443*SIN(RADIANS(K443))</f>
        <v>-9.5662188910635813</v>
      </c>
      <c r="O443" s="11">
        <f>L443*COS(RADIANS(K443))</f>
        <v>-12.244201821344184</v>
      </c>
      <c r="P443" s="1">
        <v>3.122334449908061</v>
      </c>
      <c r="Q443" s="1">
        <v>1.055169052221026</v>
      </c>
      <c r="R443" s="1">
        <f>P443/Q443</f>
        <v>2.9590845593280597</v>
      </c>
    </row>
    <row r="444" spans="1:18" x14ac:dyDescent="0.35">
      <c r="A444" s="14">
        <v>2748</v>
      </c>
      <c r="B444" s="6">
        <v>0.25</v>
      </c>
      <c r="C444" s="6">
        <v>2000000</v>
      </c>
      <c r="D444" s="6">
        <v>5</v>
      </c>
      <c r="E444" s="6">
        <v>0</v>
      </c>
      <c r="F444" s="6">
        <v>2.5000000000000001E-2</v>
      </c>
      <c r="G444" s="11">
        <f>(C444*$V$4)/($V$5*$V$3)</f>
        <v>29.387755102040813</v>
      </c>
      <c r="H444" s="11">
        <f>G444*COS(RADIANS(D444))</f>
        <v>29.275925821471702</v>
      </c>
      <c r="I444" s="11">
        <f>G444*SIN(RADIANS(D444))</f>
        <v>2.5613116236046478</v>
      </c>
      <c r="J444" s="12">
        <v>0.18990000000000001</v>
      </c>
      <c r="K444" s="11">
        <v>0</v>
      </c>
      <c r="L444" s="11">
        <f>-(F444*G444*$V$3)/J444</f>
        <v>-3.86884611664571</v>
      </c>
      <c r="M444" s="11">
        <f>ABS(L444/$V$6)</f>
        <v>1.1279434742407318E-2</v>
      </c>
      <c r="N444" s="11">
        <f>L444*SIN(RADIANS(K444))</f>
        <v>0</v>
      </c>
      <c r="O444" s="11">
        <f>L444*COS(RADIANS(K444))</f>
        <v>-3.86884611664571</v>
      </c>
      <c r="P444" s="1">
        <v>2.0087542652904014</v>
      </c>
      <c r="Q444" s="1">
        <v>0.32245021244082706</v>
      </c>
      <c r="R444" s="1">
        <f>P444/Q444</f>
        <v>6.229657130894366</v>
      </c>
    </row>
    <row r="445" spans="1:18" x14ac:dyDescent="0.35">
      <c r="A445" s="14">
        <v>2749</v>
      </c>
      <c r="B445" s="6">
        <v>1</v>
      </c>
      <c r="C445" s="6">
        <v>2000000</v>
      </c>
      <c r="D445" s="6">
        <v>5</v>
      </c>
      <c r="E445" s="6">
        <v>0.25</v>
      </c>
      <c r="F445" s="6">
        <v>0</v>
      </c>
      <c r="G445" s="11">
        <f>(C445*$V$4)/($V$5*$V$3)</f>
        <v>29.387755102040813</v>
      </c>
      <c r="H445" s="11">
        <f>G445*COS(RADIANS(D445))</f>
        <v>29.275925821471702</v>
      </c>
      <c r="I445" s="11">
        <f>G445*SIN(RADIANS(D445))</f>
        <v>2.5613116236046478</v>
      </c>
      <c r="J445" s="13">
        <v>0.33379999999999999</v>
      </c>
      <c r="K445" s="12">
        <v>30</v>
      </c>
      <c r="L445" s="11">
        <f>-(F445*G445*$V$3)/J445</f>
        <v>0</v>
      </c>
      <c r="M445" s="11">
        <f>ABS(L445/$V$6)</f>
        <v>0</v>
      </c>
      <c r="N445" s="11">
        <f>L445*SIN(RADIANS(K445))</f>
        <v>0</v>
      </c>
      <c r="O445" s="11">
        <f>L445*COS(RADIANS(K445))</f>
        <v>0</v>
      </c>
      <c r="P445" s="1">
        <v>6.7454891903027017</v>
      </c>
      <c r="Q445" s="1">
        <v>1.1476825022619483</v>
      </c>
      <c r="R445" s="1">
        <f>P445/Q445</f>
        <v>5.8774871769920072</v>
      </c>
    </row>
    <row r="446" spans="1:18" x14ac:dyDescent="0.35">
      <c r="A446" s="14">
        <v>2750</v>
      </c>
      <c r="B446" s="6">
        <v>0.1</v>
      </c>
      <c r="C446" s="6">
        <v>2000000</v>
      </c>
      <c r="D446" s="6">
        <v>30</v>
      </c>
      <c r="E446" s="6">
        <v>0.375</v>
      </c>
      <c r="F446" s="6">
        <v>0.05</v>
      </c>
      <c r="G446" s="11">
        <f>(C446*$V$4)/($V$5*$V$3)</f>
        <v>29.387755102040813</v>
      </c>
      <c r="H446" s="11">
        <f>G446*COS(RADIANS(D446))</f>
        <v>25.450542478563094</v>
      </c>
      <c r="I446" s="11">
        <f>G446*SIN(RADIANS(D446))</f>
        <v>14.693877551020405</v>
      </c>
      <c r="J446" s="12">
        <v>0.16789999999999999</v>
      </c>
      <c r="K446" s="11">
        <v>85</v>
      </c>
      <c r="L446" s="11">
        <f>-(F446*G446*$V$3)/J446</f>
        <v>-8.7515649499823756</v>
      </c>
      <c r="M446" s="11">
        <f>ABS(L446/$V$6)</f>
        <v>2.5514766618024418E-2</v>
      </c>
      <c r="N446" s="11">
        <f>L446*SIN(RADIANS(K446))</f>
        <v>-8.718262603177994</v>
      </c>
      <c r="O446" s="11">
        <f>L446*COS(RADIANS(K446))</f>
        <v>-0.7627491434200856</v>
      </c>
      <c r="P446" s="1">
        <v>1.5129082884065348</v>
      </c>
      <c r="Q446" s="1">
        <v>1.1170607289395611</v>
      </c>
      <c r="R446" s="1">
        <f>P446/Q446</f>
        <v>1.3543652992284103</v>
      </c>
    </row>
    <row r="447" spans="1:18" x14ac:dyDescent="0.35">
      <c r="A447" s="14">
        <v>2751</v>
      </c>
      <c r="B447" s="6">
        <v>0.25</v>
      </c>
      <c r="C447" s="6">
        <v>2000000</v>
      </c>
      <c r="D447" s="6">
        <v>0</v>
      </c>
      <c r="E447" s="6">
        <v>0.125</v>
      </c>
      <c r="F447" s="6">
        <v>0</v>
      </c>
      <c r="G447" s="11">
        <f>(C447*$V$4)/($V$5*$V$3)</f>
        <v>29.387755102040813</v>
      </c>
      <c r="H447" s="11">
        <f>G447*COS(RADIANS(D447))</f>
        <v>29.387755102040813</v>
      </c>
      <c r="I447" s="11">
        <f>G447*SIN(RADIANS(D447))</f>
        <v>0</v>
      </c>
      <c r="J447" s="11">
        <v>0.19020000000000001</v>
      </c>
      <c r="K447" s="11">
        <v>46</v>
      </c>
      <c r="L447" s="11">
        <f>-(F447*G447*$V$3)/J447</f>
        <v>0</v>
      </c>
      <c r="M447" s="11">
        <f>ABS(L447/$V$6)</f>
        <v>0</v>
      </c>
      <c r="N447" s="11">
        <f>L447*SIN(RADIANS(K447))</f>
        <v>0</v>
      </c>
      <c r="O447" s="11">
        <f>L447*COS(RADIANS(K447))</f>
        <v>0</v>
      </c>
      <c r="P447" s="1">
        <v>2.2784062416936521</v>
      </c>
      <c r="Q447" s="1">
        <v>0.26517875057357976</v>
      </c>
      <c r="R447" s="1">
        <f>P447/Q447</f>
        <v>8.5919638612274767</v>
      </c>
    </row>
    <row r="448" spans="1:18" x14ac:dyDescent="0.35">
      <c r="A448" s="14">
        <v>2752</v>
      </c>
      <c r="B448" s="6">
        <v>0.25</v>
      </c>
      <c r="C448" s="6">
        <v>6000000</v>
      </c>
      <c r="D448" s="6">
        <v>20</v>
      </c>
      <c r="E448" s="6">
        <v>0.375</v>
      </c>
      <c r="F448" s="6">
        <v>0</v>
      </c>
      <c r="G448" s="11">
        <f>(C448*$V$4)/($V$5*$V$3)</f>
        <v>88.16326530612244</v>
      </c>
      <c r="H448" s="11">
        <f>G448*COS(RADIANS(D448))</f>
        <v>82.846369832553549</v>
      </c>
      <c r="I448" s="11">
        <f>G448*SIN(RADIANS(D448))</f>
        <v>30.153612636058952</v>
      </c>
      <c r="J448" s="11">
        <v>0.1976</v>
      </c>
      <c r="K448" s="12">
        <v>78</v>
      </c>
      <c r="L448" s="11">
        <f>-(F448*G448*$V$3)/J448</f>
        <v>0</v>
      </c>
      <c r="M448" s="11">
        <f>ABS(L448/$V$6)</f>
        <v>0</v>
      </c>
      <c r="N448" s="11">
        <f>L448*SIN(RADIANS(K448))</f>
        <v>0</v>
      </c>
      <c r="O448" s="11">
        <f>L448*COS(RADIANS(K448))</f>
        <v>0</v>
      </c>
      <c r="P448" s="1">
        <v>2.8078482281454753</v>
      </c>
      <c r="Q448" s="1">
        <v>1.0132605947780617</v>
      </c>
      <c r="R448" s="1">
        <f>P448/Q448</f>
        <v>2.771101770478392</v>
      </c>
    </row>
    <row r="449" spans="1:18" x14ac:dyDescent="0.35">
      <c r="A449" s="14">
        <v>2753</v>
      </c>
      <c r="B449" s="6">
        <v>0.5</v>
      </c>
      <c r="C449" s="6">
        <v>6000000</v>
      </c>
      <c r="D449" s="6">
        <v>15</v>
      </c>
      <c r="E449" s="6">
        <v>0.125</v>
      </c>
      <c r="F449" s="6">
        <v>0.05</v>
      </c>
      <c r="G449" s="11">
        <f>(C449*$V$4)/($V$5*$V$3)</f>
        <v>88.16326530612244</v>
      </c>
      <c r="H449" s="11">
        <f>G449*COS(RADIANS(D449))</f>
        <v>85.159174889158663</v>
      </c>
      <c r="I449" s="11">
        <f>G449*SIN(RADIANS(D449))</f>
        <v>22.818332139650806</v>
      </c>
      <c r="J449" s="12">
        <v>0.23300000000000001</v>
      </c>
      <c r="K449" s="11">
        <v>27</v>
      </c>
      <c r="L449" s="11">
        <f>-(F449*G449*$V$3)/J449</f>
        <v>-18.919155645090651</v>
      </c>
      <c r="M449" s="11">
        <f>ABS(L449/$V$6)</f>
        <v>5.5157888178106858E-2</v>
      </c>
      <c r="N449" s="11">
        <f>L449*SIN(RADIANS(K449))</f>
        <v>-8.5891169259649711</v>
      </c>
      <c r="O449" s="11">
        <f>L449*COS(RADIANS(K449))</f>
        <v>-16.857091111910961</v>
      </c>
      <c r="P449" s="1">
        <v>4.6580819344296183</v>
      </c>
      <c r="Q449" s="1">
        <v>0.81777083053585653</v>
      </c>
      <c r="R449" s="1">
        <f>P449/Q449</f>
        <v>5.6960724942675451</v>
      </c>
    </row>
    <row r="450" spans="1:18" x14ac:dyDescent="0.35">
      <c r="A450" s="14">
        <v>2754</v>
      </c>
      <c r="B450" s="6">
        <v>0.1</v>
      </c>
      <c r="C450" s="6">
        <v>4000000</v>
      </c>
      <c r="D450" s="6">
        <v>5</v>
      </c>
      <c r="E450" s="6">
        <v>0.25</v>
      </c>
      <c r="F450" s="6">
        <v>0</v>
      </c>
      <c r="G450" s="11">
        <f>(C450*$V$4)/($V$5*$V$3)</f>
        <v>58.775510204081627</v>
      </c>
      <c r="H450" s="11">
        <f>G450*COS(RADIANS(D450))</f>
        <v>58.551851642943404</v>
      </c>
      <c r="I450" s="11">
        <f>G450*SIN(RADIANS(D450))</f>
        <v>5.1226232472092956</v>
      </c>
      <c r="J450" s="11">
        <v>0.1661</v>
      </c>
      <c r="K450" s="12">
        <v>80</v>
      </c>
      <c r="L450" s="11">
        <f>-(F450*G450*$V$3)/J450</f>
        <v>0</v>
      </c>
      <c r="M450" s="11">
        <f>ABS(L450/$V$6)</f>
        <v>0</v>
      </c>
      <c r="N450" s="11">
        <f>L450*SIN(RADIANS(K450))</f>
        <v>0</v>
      </c>
      <c r="O450" s="11">
        <f>L450*COS(RADIANS(K450))</f>
        <v>0</v>
      </c>
      <c r="P450" s="1">
        <v>1.5046734117481202</v>
      </c>
      <c r="Q450" s="1">
        <v>0.35393231732394426</v>
      </c>
      <c r="R450" s="1">
        <f>P450/Q450</f>
        <v>4.2513026872619122</v>
      </c>
    </row>
    <row r="451" spans="1:18" x14ac:dyDescent="0.35">
      <c r="A451" s="14">
        <v>2755</v>
      </c>
      <c r="B451" s="6">
        <v>0.75</v>
      </c>
      <c r="C451" s="6">
        <v>2000000</v>
      </c>
      <c r="D451" s="6">
        <v>0</v>
      </c>
      <c r="E451" s="6">
        <v>0.25</v>
      </c>
      <c r="F451" s="6">
        <v>2.5000000000000001E-2</v>
      </c>
      <c r="G451" s="11">
        <f>(C451*$V$4)/($V$5*$V$3)</f>
        <v>29.387755102040813</v>
      </c>
      <c r="H451" s="11">
        <f>G451*COS(RADIANS(D451))</f>
        <v>29.387755102040813</v>
      </c>
      <c r="I451" s="11">
        <f>G451*SIN(RADIANS(D451))</f>
        <v>0</v>
      </c>
      <c r="J451" s="12">
        <v>0.28370000000000001</v>
      </c>
      <c r="K451" s="11">
        <v>38</v>
      </c>
      <c r="L451" s="11">
        <f>-(F451*G451*$V$3)/J451</f>
        <v>-2.589685856718436</v>
      </c>
      <c r="M451" s="11">
        <f>ABS(L451/$V$6)</f>
        <v>7.5501045385377146E-3</v>
      </c>
      <c r="N451" s="11">
        <f>L451*SIN(RADIANS(K451))</f>
        <v>-1.5943698151772636</v>
      </c>
      <c r="O451" s="11">
        <f>L451*COS(RADIANS(K451))</f>
        <v>-2.0407003035573639</v>
      </c>
      <c r="P451" s="1">
        <v>3.9130132092304302</v>
      </c>
      <c r="Q451" s="1">
        <v>-7.6196479492190397E-2</v>
      </c>
      <c r="R451" s="1">
        <f>P451/Q451</f>
        <v>-51.354251998368071</v>
      </c>
    </row>
    <row r="452" spans="1:18" x14ac:dyDescent="0.35">
      <c r="A452" s="14">
        <v>2756</v>
      </c>
      <c r="B452" s="6">
        <v>0.75</v>
      </c>
      <c r="C452" s="6">
        <v>4000000</v>
      </c>
      <c r="D452" s="6">
        <v>15</v>
      </c>
      <c r="E452" s="6">
        <v>0</v>
      </c>
      <c r="F452" s="6">
        <v>0.15</v>
      </c>
      <c r="G452" s="11">
        <f>(C452*$V$4)/($V$5*$V$3)</f>
        <v>58.775510204081627</v>
      </c>
      <c r="H452" s="11">
        <f>G452*COS(RADIANS(D452))</f>
        <v>56.772783259439109</v>
      </c>
      <c r="I452" s="11">
        <f>G452*SIN(RADIANS(D452))</f>
        <v>15.212221426433871</v>
      </c>
      <c r="J452" s="11">
        <v>0.27929999999999999</v>
      </c>
      <c r="K452" s="11">
        <v>0</v>
      </c>
      <c r="L452" s="11">
        <f>-(F452*G452*$V$3)/J452</f>
        <v>-31.565794953856944</v>
      </c>
      <c r="M452" s="11">
        <f>ABS(L452/$V$6)</f>
        <v>9.2028556716784088E-2</v>
      </c>
      <c r="N452" s="11">
        <f>L452*SIN(RADIANS(K452))</f>
        <v>0</v>
      </c>
      <c r="O452" s="11">
        <f>L452*COS(RADIANS(K452))</f>
        <v>-31.565794953856944</v>
      </c>
      <c r="P452" s="1">
        <v>7.3777824002891599</v>
      </c>
      <c r="Q452" s="1">
        <v>1.0086836003705846</v>
      </c>
      <c r="R452" s="1">
        <f>P452/Q452</f>
        <v>7.3142682180800849</v>
      </c>
    </row>
    <row r="453" spans="1:18" x14ac:dyDescent="0.35">
      <c r="A453" s="14">
        <v>2757</v>
      </c>
      <c r="B453" s="6">
        <v>1</v>
      </c>
      <c r="C453" s="6">
        <v>6000000</v>
      </c>
      <c r="D453" s="6">
        <v>30</v>
      </c>
      <c r="E453" s="6">
        <v>0.25</v>
      </c>
      <c r="F453" s="6">
        <v>2.5000000000000001E-2</v>
      </c>
      <c r="G453" s="11">
        <f>(C453*$V$4)/($V$5*$V$3)</f>
        <v>88.16326530612244</v>
      </c>
      <c r="H453" s="11">
        <f>G453*COS(RADIANS(D453))</f>
        <v>76.351627435689281</v>
      </c>
      <c r="I453" s="11">
        <f>G453*SIN(RADIANS(D453))</f>
        <v>44.081632653061213</v>
      </c>
      <c r="J453" s="13">
        <v>0.33379999999999999</v>
      </c>
      <c r="K453" s="12">
        <v>30</v>
      </c>
      <c r="L453" s="11">
        <f>-(F453*G453*$V$3)/J453</f>
        <v>-6.6030006969834067</v>
      </c>
      <c r="M453" s="11">
        <f>ABS(L453/$V$6)</f>
        <v>1.9250730894995356E-2</v>
      </c>
      <c r="N453" s="11">
        <f>L453*SIN(RADIANS(K453))</f>
        <v>-3.3015003484917029</v>
      </c>
      <c r="O453" s="11">
        <f>L453*COS(RADIANS(K453))</f>
        <v>-5.718366344793985</v>
      </c>
      <c r="P453" s="1">
        <v>4.6217335437329288</v>
      </c>
      <c r="Q453" s="1">
        <v>1.403492458939877</v>
      </c>
      <c r="R453" s="1">
        <f>P453/Q453</f>
        <v>3.2930234247385544</v>
      </c>
    </row>
    <row r="454" spans="1:18" x14ac:dyDescent="0.35">
      <c r="A454" s="14">
        <v>2758</v>
      </c>
      <c r="B454" s="6">
        <v>1</v>
      </c>
      <c r="C454" s="6">
        <v>4000000</v>
      </c>
      <c r="D454" s="6">
        <v>30</v>
      </c>
      <c r="E454" s="6">
        <v>0</v>
      </c>
      <c r="F454" s="6">
        <v>1.4999999999999999E-2</v>
      </c>
      <c r="G454" s="11">
        <f>(C454*$V$4)/($V$5*$V$3)</f>
        <v>58.775510204081627</v>
      </c>
      <c r="H454" s="11">
        <f>G454*COS(RADIANS(D454))</f>
        <v>50.901084957126187</v>
      </c>
      <c r="I454" s="11">
        <f>G454*SIN(RADIANS(D454))</f>
        <v>29.38775510204081</v>
      </c>
      <c r="J454" s="11">
        <v>0.33379999999999999</v>
      </c>
      <c r="K454" s="12">
        <v>0</v>
      </c>
      <c r="L454" s="11">
        <f>-(F454*G454*$V$3)/J454</f>
        <v>-2.6412002787933626</v>
      </c>
      <c r="M454" s="11">
        <f>ABS(L454/$V$6)</f>
        <v>7.7002923579981416E-3</v>
      </c>
      <c r="N454" s="11">
        <f>L454*SIN(RADIANS(K454))</f>
        <v>0</v>
      </c>
      <c r="O454" s="11">
        <f>L454*COS(RADIANS(K454))</f>
        <v>-2.6412002787933626</v>
      </c>
      <c r="P454" s="1">
        <v>0.15835298407923751</v>
      </c>
      <c r="Q454" s="1">
        <v>1.8817082765378388</v>
      </c>
      <c r="R454" s="1">
        <f>P454/Q454</f>
        <v>8.4153843639669629E-2</v>
      </c>
    </row>
    <row r="455" spans="1:18" x14ac:dyDescent="0.35">
      <c r="A455" s="14">
        <v>2759</v>
      </c>
      <c r="B455" s="6">
        <v>1</v>
      </c>
      <c r="C455" s="6">
        <v>4000000</v>
      </c>
      <c r="D455" s="6">
        <v>10</v>
      </c>
      <c r="E455" s="6">
        <v>0.375</v>
      </c>
      <c r="F455" s="6">
        <v>2.5000000000000001E-2</v>
      </c>
      <c r="G455" s="11">
        <f>(C455*$V$4)/($V$5*$V$3)</f>
        <v>58.775510204081627</v>
      </c>
      <c r="H455" s="11">
        <f>G455*COS(RADIANS(D455))</f>
        <v>57.882578136227728</v>
      </c>
      <c r="I455" s="11">
        <f>G455*SIN(RADIANS(D455))</f>
        <v>10.206260238382843</v>
      </c>
      <c r="J455" s="12">
        <v>0.33379999999999999</v>
      </c>
      <c r="K455" s="11">
        <v>49</v>
      </c>
      <c r="L455" s="11">
        <f>-(F455*G455*$V$3)/J455</f>
        <v>-4.4020004646556048</v>
      </c>
      <c r="M455" s="11">
        <f>ABS(L455/$V$6)</f>
        <v>1.283382059666357E-2</v>
      </c>
      <c r="N455" s="11">
        <f>L455*SIN(RADIANS(K455))</f>
        <v>-3.3222319228206789</v>
      </c>
      <c r="O455" s="11">
        <f>L455*COS(RADIANS(K455))</f>
        <v>-2.8879721504577178</v>
      </c>
      <c r="P455" s="1">
        <v>5.1310163001904581</v>
      </c>
      <c r="Q455" s="1">
        <v>0.17981672703291937</v>
      </c>
      <c r="R455" s="1">
        <f>P455/Q455</f>
        <v>28.53469966256873</v>
      </c>
    </row>
    <row r="456" spans="1:18" x14ac:dyDescent="0.35">
      <c r="A456" s="14">
        <v>2760</v>
      </c>
      <c r="B456" s="6">
        <v>0.75</v>
      </c>
      <c r="C456" s="6">
        <v>2000000</v>
      </c>
      <c r="D456" s="6">
        <v>15</v>
      </c>
      <c r="E456" s="6">
        <v>0.375</v>
      </c>
      <c r="F456" s="6">
        <v>3.5000000000000003E-2</v>
      </c>
      <c r="G456" s="11">
        <f>(C456*$V$4)/($V$5*$V$3)</f>
        <v>29.387755102040813</v>
      </c>
      <c r="H456" s="11">
        <f>G456*COS(RADIANS(D456))</f>
        <v>28.386391629719554</v>
      </c>
      <c r="I456" s="11">
        <f>G456*SIN(RADIANS(D456))</f>
        <v>7.6061107132169354</v>
      </c>
      <c r="J456" s="11">
        <v>0.29299999999999998</v>
      </c>
      <c r="K456" s="12">
        <v>57</v>
      </c>
      <c r="L456" s="11">
        <f>-(F456*G456*$V$3)/J456</f>
        <v>-3.5104826913700631</v>
      </c>
      <c r="M456" s="11">
        <f>ABS(L456/$V$6)</f>
        <v>1.023464341507307E-2</v>
      </c>
      <c r="N456" s="11">
        <f>L456*SIN(RADIANS(K456))</f>
        <v>-2.9441385125339115</v>
      </c>
      <c r="O456" s="11">
        <f>L456*COS(RADIANS(K456))</f>
        <v>-1.9119459054647463</v>
      </c>
      <c r="P456" s="1">
        <v>4.0291274285163929</v>
      </c>
      <c r="Q456" s="1">
        <v>0.49799637443915357</v>
      </c>
      <c r="R456" s="1">
        <f>P456/Q456</f>
        <v>8.0906762284243925</v>
      </c>
    </row>
    <row r="457" spans="1:18" x14ac:dyDescent="0.35">
      <c r="A457" s="14">
        <v>2761</v>
      </c>
      <c r="B457" s="6">
        <v>0.75</v>
      </c>
      <c r="C457" s="6">
        <v>4000000</v>
      </c>
      <c r="D457" s="6">
        <v>15</v>
      </c>
      <c r="E457" s="6">
        <v>0.375</v>
      </c>
      <c r="F457" s="6">
        <v>2.5000000000000001E-2</v>
      </c>
      <c r="G457" s="11">
        <f>(C457*$V$4)/($V$5*$V$3)</f>
        <v>58.775510204081627</v>
      </c>
      <c r="H457" s="11">
        <f>G457*COS(RADIANS(D457))</f>
        <v>56.772783259439109</v>
      </c>
      <c r="I457" s="11">
        <f>G457*SIN(RADIANS(D457))</f>
        <v>15.212221426433871</v>
      </c>
      <c r="J457" s="11">
        <v>0.29299999999999998</v>
      </c>
      <c r="K457" s="12">
        <v>57</v>
      </c>
      <c r="L457" s="11">
        <f>-(F457*G457*$V$3)/J457</f>
        <v>-5.0149752733858044</v>
      </c>
      <c r="M457" s="11">
        <f>ABS(L457/$V$6)</f>
        <v>1.46209191643901E-2</v>
      </c>
      <c r="N457" s="11">
        <f>L457*SIN(RADIANS(K457))</f>
        <v>-4.2059121607627308</v>
      </c>
      <c r="O457" s="11">
        <f>L457*COS(RADIANS(K457))</f>
        <v>-2.7313512935210662</v>
      </c>
      <c r="P457" s="1">
        <v>4.2239683372279702</v>
      </c>
      <c r="Q457" s="1">
        <v>0.41210579303628231</v>
      </c>
      <c r="R457" s="1">
        <f>P457/Q457</f>
        <v>10.249718418435547</v>
      </c>
    </row>
    <row r="458" spans="1:18" x14ac:dyDescent="0.35">
      <c r="A458" s="14">
        <v>2762</v>
      </c>
      <c r="B458" s="6">
        <v>0.1</v>
      </c>
      <c r="C458" s="6">
        <v>2000000</v>
      </c>
      <c r="D458" s="6">
        <v>30</v>
      </c>
      <c r="E458" s="6">
        <v>0.375</v>
      </c>
      <c r="F458" s="6">
        <v>3.5000000000000003E-2</v>
      </c>
      <c r="G458" s="11">
        <f>(C458*$V$4)/($V$5*$V$3)</f>
        <v>29.387755102040813</v>
      </c>
      <c r="H458" s="11">
        <f>G458*COS(RADIANS(D458))</f>
        <v>25.450542478563094</v>
      </c>
      <c r="I458" s="11">
        <f>G458*SIN(RADIANS(D458))</f>
        <v>14.693877551020405</v>
      </c>
      <c r="J458" s="12">
        <v>0.16789999999999999</v>
      </c>
      <c r="K458" s="11">
        <v>85</v>
      </c>
      <c r="L458" s="11">
        <f>-(F458*G458*$V$3)/J458</f>
        <v>-6.126095464987662</v>
      </c>
      <c r="M458" s="11">
        <f>ABS(L458/$V$6)</f>
        <v>1.7860336632617092E-2</v>
      </c>
      <c r="N458" s="11">
        <f>L458*SIN(RADIANS(K458))</f>
        <v>-6.1027838222245956</v>
      </c>
      <c r="O458" s="11">
        <f>L458*COS(RADIANS(K458))</f>
        <v>-0.53392440039405986</v>
      </c>
      <c r="P458" s="1">
        <v>1.4653518547958226</v>
      </c>
      <c r="Q458" s="1">
        <v>1.0914347781048279</v>
      </c>
      <c r="R458" s="1">
        <f>P458/Q458</f>
        <v>1.3425922319795105</v>
      </c>
    </row>
    <row r="459" spans="1:18" x14ac:dyDescent="0.35">
      <c r="A459" s="14">
        <v>2763</v>
      </c>
      <c r="B459" s="6">
        <v>0.75</v>
      </c>
      <c r="C459" s="6">
        <v>2000000</v>
      </c>
      <c r="D459" s="6">
        <v>0</v>
      </c>
      <c r="E459" s="6">
        <v>0</v>
      </c>
      <c r="F459" s="6">
        <v>7.4999999999999997E-2</v>
      </c>
      <c r="G459" s="11">
        <f>(C459*$V$4)/($V$5*$V$3)</f>
        <v>29.387755102040813</v>
      </c>
      <c r="H459" s="11">
        <f>G459*COS(RADIANS(D459))</f>
        <v>29.387755102040813</v>
      </c>
      <c r="I459" s="11">
        <f>G459*SIN(RADIANS(D459))</f>
        <v>0</v>
      </c>
      <c r="J459" s="11">
        <v>0.27929999999999999</v>
      </c>
      <c r="K459" s="11">
        <v>0</v>
      </c>
      <c r="L459" s="11">
        <f>-(F459*G459*$V$3)/J459</f>
        <v>-7.891448738464236</v>
      </c>
      <c r="M459" s="11">
        <f>ABS(L459/$V$6)</f>
        <v>2.3007139179196022E-2</v>
      </c>
      <c r="N459" s="11">
        <f>L459*SIN(RADIANS(K459))</f>
        <v>0</v>
      </c>
      <c r="O459" s="11">
        <f>L459*COS(RADIANS(K459))</f>
        <v>-7.891448738464236</v>
      </c>
      <c r="P459" s="1">
        <v>2.6556394408760102</v>
      </c>
      <c r="Q459" s="1">
        <v>0.79704322349153578</v>
      </c>
      <c r="R459" s="1">
        <f>P459/Q459</f>
        <v>3.3318637717571811</v>
      </c>
    </row>
    <row r="460" spans="1:18" x14ac:dyDescent="0.35">
      <c r="A460" s="14">
        <v>2496</v>
      </c>
      <c r="B460" s="6">
        <v>1</v>
      </c>
      <c r="C460" s="6">
        <v>6000000</v>
      </c>
      <c r="D460" s="6">
        <v>10</v>
      </c>
      <c r="E460" s="6">
        <v>0</v>
      </c>
      <c r="F460" s="6">
        <v>0.15</v>
      </c>
      <c r="G460" s="11">
        <f>(C460*$V$4)/($V$5*$V$3)</f>
        <v>88.16326530612244</v>
      </c>
      <c r="H460" s="11">
        <f>G460*COS(RADIANS(D460))</f>
        <v>86.823867204341596</v>
      </c>
      <c r="I460" s="11">
        <f>G460*SIN(RADIANS(D460))</f>
        <v>15.309390357574264</v>
      </c>
      <c r="J460" s="20">
        <v>0.33379999999999999</v>
      </c>
      <c r="K460" s="19">
        <v>0</v>
      </c>
      <c r="L460" s="11">
        <f>-(F460*G460*$V$3)/J460</f>
        <v>-39.618004181900439</v>
      </c>
      <c r="M460" s="11">
        <f>ABS(L460/$V$6)</f>
        <v>0.11550438536997212</v>
      </c>
      <c r="N460" s="11">
        <f>L460*SIN(RADIANS(K460))</f>
        <v>0</v>
      </c>
      <c r="O460" s="11">
        <f>L460*COS(RADIANS(K460))</f>
        <v>-39.618004181900439</v>
      </c>
      <c r="P460" s="1">
        <v>2.1457465956352157</v>
      </c>
      <c r="Q460" s="1">
        <v>1.4108702122182486</v>
      </c>
      <c r="R460" s="1">
        <f>P460/Q460</f>
        <v>1.520867459708823</v>
      </c>
    </row>
    <row r="461" spans="1:18" x14ac:dyDescent="0.35">
      <c r="A461" s="14">
        <v>2765</v>
      </c>
      <c r="B461" s="6">
        <v>0.1</v>
      </c>
      <c r="C461" s="6">
        <v>6000000</v>
      </c>
      <c r="D461" s="6">
        <v>10</v>
      </c>
      <c r="E461" s="6">
        <v>0.125</v>
      </c>
      <c r="F461" s="6">
        <v>0.05</v>
      </c>
      <c r="G461" s="11">
        <f>(C461*$V$4)/($V$5*$V$3)</f>
        <v>88.16326530612244</v>
      </c>
      <c r="H461" s="11">
        <f>G461*COS(RADIANS(D461))</f>
        <v>86.823867204341596</v>
      </c>
      <c r="I461" s="11">
        <f>G461*SIN(RADIANS(D461))</f>
        <v>15.309390357574264</v>
      </c>
      <c r="J461" s="12">
        <v>0.1658</v>
      </c>
      <c r="K461" s="11">
        <v>69</v>
      </c>
      <c r="L461" s="11">
        <f>-(F461*G461*$V$3)/J461</f>
        <v>-26.587233204500134</v>
      </c>
      <c r="M461" s="11">
        <f>ABS(L461/$V$6)</f>
        <v>7.7513799430029548E-2</v>
      </c>
      <c r="N461" s="11">
        <f>L461*SIN(RADIANS(K461))</f>
        <v>-24.821320514437797</v>
      </c>
      <c r="O461" s="11">
        <f>L461*COS(RADIANS(K461))</f>
        <v>-9.5280122475794382</v>
      </c>
      <c r="P461" s="1">
        <v>1.5574896142399741</v>
      </c>
      <c r="Q461" s="1">
        <v>0.45694947510718481</v>
      </c>
      <c r="R461" s="1">
        <f>P461/Q461</f>
        <v>3.4084503847490799</v>
      </c>
    </row>
    <row r="462" spans="1:18" x14ac:dyDescent="0.35">
      <c r="A462" s="14">
        <v>2766</v>
      </c>
      <c r="B462" s="6">
        <v>0.25</v>
      </c>
      <c r="C462" s="6">
        <v>4000000</v>
      </c>
      <c r="D462" s="6">
        <v>15</v>
      </c>
      <c r="E462" s="6">
        <v>0.375</v>
      </c>
      <c r="F462" s="6">
        <v>0.05</v>
      </c>
      <c r="G462" s="11">
        <f>(C462*$V$4)/($V$5*$V$3)</f>
        <v>58.775510204081627</v>
      </c>
      <c r="H462" s="11">
        <f>G462*COS(RADIANS(D462))</f>
        <v>56.772783259439109</v>
      </c>
      <c r="I462" s="11">
        <f>G462*SIN(RADIANS(D462))</f>
        <v>15.212221426433871</v>
      </c>
      <c r="J462" s="11">
        <v>0.1976</v>
      </c>
      <c r="K462" s="12">
        <v>78</v>
      </c>
      <c r="L462" s="11">
        <f>-(F462*G462*$V$3)/J462</f>
        <v>-14.872345699413367</v>
      </c>
      <c r="M462" s="11">
        <f>ABS(L462/$V$6)</f>
        <v>4.3359608453100197E-2</v>
      </c>
      <c r="N462" s="11">
        <f>L462*SIN(RADIANS(K462))</f>
        <v>-14.547349263164916</v>
      </c>
      <c r="O462" s="11">
        <f>L462*COS(RADIANS(K462))</f>
        <v>-3.0921345407912666</v>
      </c>
      <c r="P462" s="1">
        <v>2.5174047555819428</v>
      </c>
      <c r="Q462" s="1">
        <v>0.52721807170227664</v>
      </c>
      <c r="R462" s="1">
        <f>P462/Q462</f>
        <v>4.774883280183797</v>
      </c>
    </row>
    <row r="463" spans="1:18" x14ac:dyDescent="0.35">
      <c r="A463" s="14">
        <v>2767</v>
      </c>
      <c r="B463" s="6">
        <v>0.5</v>
      </c>
      <c r="C463" s="6">
        <v>2000000</v>
      </c>
      <c r="D463" s="6">
        <v>10</v>
      </c>
      <c r="E463" s="6">
        <v>0.125</v>
      </c>
      <c r="F463" s="6">
        <v>3.5000000000000003E-2</v>
      </c>
      <c r="G463" s="11">
        <f>(C463*$V$4)/($V$5*$V$3)</f>
        <v>29.387755102040813</v>
      </c>
      <c r="H463" s="11">
        <f>G463*COS(RADIANS(D463))</f>
        <v>28.941289068113864</v>
      </c>
      <c r="I463" s="11">
        <f>G463*SIN(RADIANS(D463))</f>
        <v>5.1031301191914213</v>
      </c>
      <c r="J463" s="12">
        <v>0.23300000000000001</v>
      </c>
      <c r="K463" s="11">
        <v>27</v>
      </c>
      <c r="L463" s="11">
        <f>-(F463*G463*$V$3)/J463</f>
        <v>-4.414469650521152</v>
      </c>
      <c r="M463" s="11">
        <f>ABS(L463/$V$6)</f>
        <v>1.2870173908224933E-2</v>
      </c>
      <c r="N463" s="11">
        <f>L463*SIN(RADIANS(K463))</f>
        <v>-2.0041272827251602</v>
      </c>
      <c r="O463" s="11">
        <f>L463*COS(RADIANS(K463))</f>
        <v>-3.9333212594458908</v>
      </c>
      <c r="P463" s="1">
        <v>4.1081529703855582</v>
      </c>
      <c r="Q463" s="1">
        <v>0.56120593218975512</v>
      </c>
      <c r="R463" s="1">
        <f>P463/Q463</f>
        <v>7.3202237088907109</v>
      </c>
    </row>
    <row r="464" spans="1:18" x14ac:dyDescent="0.35">
      <c r="A464" s="14">
        <v>2768</v>
      </c>
      <c r="B464" s="6">
        <v>1</v>
      </c>
      <c r="C464" s="6">
        <v>6000000</v>
      </c>
      <c r="D464" s="6">
        <v>30</v>
      </c>
      <c r="E464" s="6">
        <v>0.125</v>
      </c>
      <c r="F464" s="6">
        <v>0.1</v>
      </c>
      <c r="G464" s="11">
        <f>(C464*$V$4)/($V$5*$V$3)</f>
        <v>88.16326530612244</v>
      </c>
      <c r="H464" s="11">
        <f>G464*COS(RADIANS(D464))</f>
        <v>76.351627435689281</v>
      </c>
      <c r="I464" s="11">
        <f>G464*SIN(RADIANS(D464))</f>
        <v>44.081632653061213</v>
      </c>
      <c r="J464" s="11">
        <v>0.33379999999999999</v>
      </c>
      <c r="K464" s="12">
        <v>14</v>
      </c>
      <c r="L464" s="11">
        <f>-(F464*G464*$V$3)/J464</f>
        <v>-26.412002787933627</v>
      </c>
      <c r="M464" s="11">
        <f>ABS(L464/$V$6)</f>
        <v>7.7002923579981425E-2</v>
      </c>
      <c r="N464" s="11">
        <f>L464*SIN(RADIANS(K464))</f>
        <v>-6.3896417810406119</v>
      </c>
      <c r="O464" s="11">
        <f>L464*COS(RADIANS(K464))</f>
        <v>-25.627453427521701</v>
      </c>
      <c r="P464" s="1">
        <v>2.7749753531547783</v>
      </c>
      <c r="Q464" s="1">
        <v>1.349441423792634</v>
      </c>
      <c r="R464" s="1">
        <f>P464/Q464</f>
        <v>2.056388150110029</v>
      </c>
    </row>
    <row r="465" spans="1:18" x14ac:dyDescent="0.35">
      <c r="A465" s="14">
        <v>2769</v>
      </c>
      <c r="B465" s="6">
        <v>0.25</v>
      </c>
      <c r="C465" s="6">
        <v>4000000</v>
      </c>
      <c r="D465" s="6">
        <v>20</v>
      </c>
      <c r="E465" s="6">
        <v>0.375</v>
      </c>
      <c r="F465" s="6">
        <v>3.5000000000000003E-2</v>
      </c>
      <c r="G465" s="11">
        <f>(C465*$V$4)/($V$5*$V$3)</f>
        <v>58.775510204081627</v>
      </c>
      <c r="H465" s="11">
        <f>G465*COS(RADIANS(D465))</f>
        <v>55.230913221702366</v>
      </c>
      <c r="I465" s="11">
        <f>G465*SIN(RADIANS(D465))</f>
        <v>20.102408424039304</v>
      </c>
      <c r="J465" s="11">
        <v>0.1976</v>
      </c>
      <c r="K465" s="12">
        <v>78</v>
      </c>
      <c r="L465" s="11">
        <f>-(F465*G465*$V$3)/J465</f>
        <v>-10.410641989589356</v>
      </c>
      <c r="M465" s="11">
        <f>ABS(L465/$V$6)</f>
        <v>3.0351725917170135E-2</v>
      </c>
      <c r="N465" s="11">
        <f>L465*SIN(RADIANS(K465))</f>
        <v>-10.183144484215441</v>
      </c>
      <c r="O465" s="11">
        <f>L465*COS(RADIANS(K465))</f>
        <v>-2.1644941785538863</v>
      </c>
      <c r="P465" s="1">
        <v>2.4482452750558408</v>
      </c>
      <c r="Q465" s="1">
        <v>0.60894102309484821</v>
      </c>
      <c r="R465" s="1">
        <f>P465/Q465</f>
        <v>4.0204965377648794</v>
      </c>
    </row>
    <row r="466" spans="1:18" x14ac:dyDescent="0.35">
      <c r="A466" s="14">
        <v>2770</v>
      </c>
      <c r="B466" s="6">
        <v>0.5</v>
      </c>
      <c r="C466" s="6">
        <v>2000000</v>
      </c>
      <c r="D466" s="6">
        <v>10</v>
      </c>
      <c r="E466" s="6">
        <v>0</v>
      </c>
      <c r="F466" s="6">
        <v>0</v>
      </c>
      <c r="G466" s="11">
        <f>(C466*$V$4)/($V$5*$V$3)</f>
        <v>29.387755102040813</v>
      </c>
      <c r="H466" s="11">
        <f>G466*COS(RADIANS(D466))</f>
        <v>28.941289068113864</v>
      </c>
      <c r="I466" s="11">
        <f>G466*SIN(RADIANS(D466))</f>
        <v>5.1031301191914213</v>
      </c>
      <c r="J466" s="12">
        <v>0.23230000000000001</v>
      </c>
      <c r="K466" s="11">
        <v>0</v>
      </c>
      <c r="L466" s="11">
        <f>-(F466*G466*$V$3)/J466</f>
        <v>0</v>
      </c>
      <c r="M466" s="11">
        <f>ABS(L466/$V$6)</f>
        <v>0</v>
      </c>
      <c r="N466" s="11">
        <f>L466*SIN(RADIANS(K466))</f>
        <v>0</v>
      </c>
      <c r="O466" s="11">
        <f>L466*COS(RADIANS(K466))</f>
        <v>0</v>
      </c>
      <c r="P466" s="1">
        <v>3.7808811533984792</v>
      </c>
      <c r="Q466" s="1">
        <v>0.87186585195637001</v>
      </c>
      <c r="R466" s="1">
        <f>P466/Q466</f>
        <v>4.3365400134832699</v>
      </c>
    </row>
    <row r="467" spans="1:18" x14ac:dyDescent="0.35">
      <c r="A467" s="14">
        <v>2546</v>
      </c>
      <c r="B467" s="6">
        <v>1</v>
      </c>
      <c r="C467" s="6">
        <v>6000000</v>
      </c>
      <c r="D467" s="6">
        <v>30</v>
      </c>
      <c r="E467" s="6">
        <v>0.25</v>
      </c>
      <c r="F467" s="6">
        <v>0.15</v>
      </c>
      <c r="G467" s="11">
        <f>(C467*$V$4)/($V$5*$V$3)</f>
        <v>88.16326530612244</v>
      </c>
      <c r="H467" s="11">
        <f>G467*COS(RADIANS(D467))</f>
        <v>76.351627435689281</v>
      </c>
      <c r="I467" s="11">
        <f>G467*SIN(RADIANS(D467))</f>
        <v>44.081632653061213</v>
      </c>
      <c r="J467" s="21">
        <v>0.33379999999999999</v>
      </c>
      <c r="K467" s="12">
        <v>30</v>
      </c>
      <c r="L467" s="11">
        <f>-(F467*G467*$V$3)/J467</f>
        <v>-39.618004181900439</v>
      </c>
      <c r="M467" s="11">
        <f>ABS(L467/$V$6)</f>
        <v>0.11550438536997212</v>
      </c>
      <c r="N467" s="11">
        <f>L467*SIN(RADIANS(K467))</f>
        <v>-19.809002090950216</v>
      </c>
      <c r="O467" s="11">
        <f>L467*COS(RADIANS(K467))</f>
        <v>-34.31019806876391</v>
      </c>
      <c r="P467" s="1">
        <v>5.8228715004843909</v>
      </c>
      <c r="Q467" s="1">
        <v>1.2861667365143632</v>
      </c>
      <c r="R467" s="1">
        <f>P467/Q467</f>
        <v>4.5273068686762485</v>
      </c>
    </row>
    <row r="468" spans="1:18" x14ac:dyDescent="0.35">
      <c r="A468" s="14">
        <v>2772</v>
      </c>
      <c r="B468" s="6">
        <v>0.75</v>
      </c>
      <c r="C468" s="6">
        <v>6000000</v>
      </c>
      <c r="D468" s="6">
        <v>10</v>
      </c>
      <c r="E468" s="6">
        <v>0.25</v>
      </c>
      <c r="F468" s="6">
        <v>3.5000000000000003E-2</v>
      </c>
      <c r="G468" s="11">
        <f>(C468*$V$4)/($V$5*$V$3)</f>
        <v>88.16326530612244</v>
      </c>
      <c r="H468" s="11">
        <f>G468*COS(RADIANS(D468))</f>
        <v>86.823867204341596</v>
      </c>
      <c r="I468" s="11">
        <f>G468*SIN(RADIANS(D468))</f>
        <v>15.309390357574264</v>
      </c>
      <c r="J468" s="12">
        <v>0.28370000000000001</v>
      </c>
      <c r="K468" s="11">
        <v>38</v>
      </c>
      <c r="L468" s="11">
        <f>-(F468*G468*$V$3)/J468</f>
        <v>-10.876680598217433</v>
      </c>
      <c r="M468" s="11">
        <f>ABS(L468/$V$6)</f>
        <v>3.1710439061858407E-2</v>
      </c>
      <c r="N468" s="11">
        <f>L468*SIN(RADIANS(K468))</f>
        <v>-6.6963532237445085</v>
      </c>
      <c r="O468" s="11">
        <f>L468*COS(RADIANS(K468))</f>
        <v>-8.5709412749409299</v>
      </c>
      <c r="P468" s="1">
        <v>3.3609169258267193</v>
      </c>
      <c r="Q468" s="1">
        <v>0.44616264297741365</v>
      </c>
      <c r="R468" s="1">
        <f>P468/Q468</f>
        <v>7.5329411341972463</v>
      </c>
    </row>
    <row r="469" spans="1:18" x14ac:dyDescent="0.35">
      <c r="A469" s="14">
        <v>2651</v>
      </c>
      <c r="B469" s="6">
        <v>1</v>
      </c>
      <c r="C469" s="6">
        <v>6000000</v>
      </c>
      <c r="D469" s="6">
        <v>20</v>
      </c>
      <c r="E469" s="6">
        <v>0.125</v>
      </c>
      <c r="F469" s="6">
        <v>0.15</v>
      </c>
      <c r="G469" s="11">
        <f>(C469*$V$4)/($V$5*$V$3)</f>
        <v>88.16326530612244</v>
      </c>
      <c r="H469" s="11">
        <f>G469*COS(RADIANS(D469))</f>
        <v>82.846369832553549</v>
      </c>
      <c r="I469" s="11">
        <f>G469*SIN(RADIANS(D469))</f>
        <v>30.153612636058952</v>
      </c>
      <c r="J469" s="20">
        <v>0.33379999999999999</v>
      </c>
      <c r="K469" s="19">
        <v>14</v>
      </c>
      <c r="L469" s="11">
        <f>-(F469*G469*$V$3)/J469</f>
        <v>-39.618004181900439</v>
      </c>
      <c r="M469" s="11">
        <f>ABS(L469/$V$6)</f>
        <v>0.11550438536997212</v>
      </c>
      <c r="N469" s="11">
        <f>L469*SIN(RADIANS(K469))</f>
        <v>-9.5844626715609174</v>
      </c>
      <c r="O469" s="11">
        <f>L469*COS(RADIANS(K469))</f>
        <v>-38.441180141282551</v>
      </c>
      <c r="P469" s="1">
        <v>3.9500481761697839</v>
      </c>
      <c r="Q469" s="1">
        <v>0.83869544216720693</v>
      </c>
      <c r="R469" s="1">
        <f>P469/Q469</f>
        <v>4.7097527631279066</v>
      </c>
    </row>
    <row r="470" spans="1:18" x14ac:dyDescent="0.35">
      <c r="A470" s="14">
        <v>2774</v>
      </c>
      <c r="B470" s="6">
        <v>0.1</v>
      </c>
      <c r="C470" s="6">
        <v>6000000</v>
      </c>
      <c r="D470" s="6">
        <v>10</v>
      </c>
      <c r="E470" s="6">
        <v>0</v>
      </c>
      <c r="F470" s="6">
        <v>1.4999999999999999E-2</v>
      </c>
      <c r="G470" s="11">
        <f>(C470*$V$4)/($V$5*$V$3)</f>
        <v>88.16326530612244</v>
      </c>
      <c r="H470" s="11">
        <f>G470*COS(RADIANS(D470))</f>
        <v>86.823867204341596</v>
      </c>
      <c r="I470" s="11">
        <f>G470*SIN(RADIANS(D470))</f>
        <v>15.309390357574264</v>
      </c>
      <c r="J470" s="11">
        <v>0.16569999999999999</v>
      </c>
      <c r="K470" s="12">
        <v>0</v>
      </c>
      <c r="L470" s="11">
        <f>-(F470*G470*$V$3)/J470</f>
        <v>-7.980983582328526</v>
      </c>
      <c r="M470" s="11">
        <f>ABS(L470/$V$6)</f>
        <v>2.3268173709412612E-2</v>
      </c>
      <c r="N470" s="11">
        <f>L470*SIN(RADIANS(K470))</f>
        <v>0</v>
      </c>
      <c r="O470" s="11">
        <f>L470*COS(RADIANS(K470))</f>
        <v>-7.980983582328526</v>
      </c>
      <c r="P470" s="1">
        <v>1.1548225442637607</v>
      </c>
      <c r="Q470" s="1">
        <v>0.40390388127274807</v>
      </c>
      <c r="R470" s="1">
        <f>P470/Q470</f>
        <v>2.8591518868914574</v>
      </c>
    </row>
    <row r="471" spans="1:18" x14ac:dyDescent="0.35">
      <c r="A471" s="14">
        <v>2775</v>
      </c>
      <c r="B471" s="6">
        <v>0.5</v>
      </c>
      <c r="C471" s="6">
        <v>4000000</v>
      </c>
      <c r="D471" s="6">
        <v>20</v>
      </c>
      <c r="E471" s="6">
        <v>0.375</v>
      </c>
      <c r="F471" s="6">
        <v>3.5000000000000003E-2</v>
      </c>
      <c r="G471" s="11">
        <f>(C471*$V$4)/($V$5*$V$3)</f>
        <v>58.775510204081627</v>
      </c>
      <c r="H471" s="11">
        <f>G471*COS(RADIANS(D471))</f>
        <v>55.230913221702366</v>
      </c>
      <c r="I471" s="11">
        <f>G471*SIN(RADIANS(D471))</f>
        <v>20.102408424039304</v>
      </c>
      <c r="J471" s="12">
        <v>0.24809999999999999</v>
      </c>
      <c r="K471" s="11">
        <v>67</v>
      </c>
      <c r="L471" s="11">
        <f>-(F471*G471*$V$3)/J471</f>
        <v>-8.2915874935221971</v>
      </c>
      <c r="M471" s="11">
        <f>ABS(L471/$V$6)</f>
        <v>2.4173724470910197E-2</v>
      </c>
      <c r="N471" s="11">
        <f>L471*SIN(RADIANS(K471))</f>
        <v>-7.6324465306127376</v>
      </c>
      <c r="O471" s="11">
        <f>L471*COS(RADIANS(K471))</f>
        <v>-3.2397813383114764</v>
      </c>
      <c r="P471" s="1">
        <v>3.366324225010509</v>
      </c>
      <c r="Q471" s="1">
        <v>0.69561602997205796</v>
      </c>
      <c r="R471" s="1">
        <f>P471/Q471</f>
        <v>4.8393425107609005</v>
      </c>
    </row>
    <row r="472" spans="1:18" x14ac:dyDescent="0.35">
      <c r="A472" s="14">
        <v>2776</v>
      </c>
      <c r="B472" s="6">
        <v>0.5</v>
      </c>
      <c r="C472" s="6">
        <v>4000000</v>
      </c>
      <c r="D472" s="6">
        <v>5</v>
      </c>
      <c r="E472" s="6">
        <v>0</v>
      </c>
      <c r="F472" s="6">
        <v>7.4999999999999997E-2</v>
      </c>
      <c r="G472" s="11">
        <f>(C472*$V$4)/($V$5*$V$3)</f>
        <v>58.775510204081627</v>
      </c>
      <c r="H472" s="11">
        <f>G472*COS(RADIANS(D472))</f>
        <v>58.551851642943404</v>
      </c>
      <c r="I472" s="11">
        <f>G472*SIN(RADIANS(D472))</f>
        <v>5.1226232472092956</v>
      </c>
      <c r="J472" s="12">
        <v>0.23230000000000001</v>
      </c>
      <c r="K472" s="11">
        <v>0</v>
      </c>
      <c r="L472" s="11">
        <f>-(F472*G472*$V$3)/J472</f>
        <v>-18.976165584615249</v>
      </c>
      <c r="M472" s="11">
        <f>ABS(L472/$V$6)</f>
        <v>5.532409791433017E-2</v>
      </c>
      <c r="N472" s="11">
        <f>L472*SIN(RADIANS(K472))</f>
        <v>0</v>
      </c>
      <c r="O472" s="11">
        <f>L472*COS(RADIANS(K472))</f>
        <v>-18.976165584615249</v>
      </c>
      <c r="P472" s="1">
        <v>4.6366982209922325</v>
      </c>
      <c r="Q472" s="1">
        <v>0.38245454613765117</v>
      </c>
      <c r="R472" s="1">
        <f>P472/Q472</f>
        <v>12.12352753501697</v>
      </c>
    </row>
    <row r="473" spans="1:18" x14ac:dyDescent="0.35">
      <c r="A473" s="14">
        <v>2777</v>
      </c>
      <c r="B473" s="6">
        <v>0.5</v>
      </c>
      <c r="C473" s="6">
        <v>2000000</v>
      </c>
      <c r="D473" s="6">
        <v>30</v>
      </c>
      <c r="E473" s="6">
        <v>0.125</v>
      </c>
      <c r="F473" s="6">
        <v>0.15</v>
      </c>
      <c r="G473" s="11">
        <f>(C473*$V$4)/($V$5*$V$3)</f>
        <v>29.387755102040813</v>
      </c>
      <c r="H473" s="11">
        <f>G473*COS(RADIANS(D473))</f>
        <v>25.450542478563094</v>
      </c>
      <c r="I473" s="11">
        <f>G473*SIN(RADIANS(D473))</f>
        <v>14.693877551020405</v>
      </c>
      <c r="J473" s="12">
        <v>0.23300000000000001</v>
      </c>
      <c r="K473" s="11">
        <v>27</v>
      </c>
      <c r="L473" s="11">
        <f>-(F473*G473*$V$3)/J473</f>
        <v>-18.919155645090651</v>
      </c>
      <c r="M473" s="11">
        <f>ABS(L473/$V$6)</f>
        <v>5.5157888178106858E-2</v>
      </c>
      <c r="N473" s="11">
        <f>L473*SIN(RADIANS(K473))</f>
        <v>-8.5891169259649711</v>
      </c>
      <c r="O473" s="11">
        <f>L473*COS(RADIANS(K473))</f>
        <v>-16.857091111910961</v>
      </c>
      <c r="P473" s="1">
        <v>5.4068280845350634</v>
      </c>
      <c r="Q473" s="1">
        <v>1.5375076063928419</v>
      </c>
      <c r="R473" s="1">
        <f>P473/Q473</f>
        <v>3.5166187549602199</v>
      </c>
    </row>
    <row r="474" spans="1:18" x14ac:dyDescent="0.35">
      <c r="A474" s="14">
        <v>2778</v>
      </c>
      <c r="B474" s="6">
        <v>0.75</v>
      </c>
      <c r="C474" s="6">
        <v>6000000</v>
      </c>
      <c r="D474" s="6">
        <v>15</v>
      </c>
      <c r="E474" s="6">
        <v>0.125</v>
      </c>
      <c r="F474" s="6">
        <v>0.05</v>
      </c>
      <c r="G474" s="11">
        <f>(C474*$V$4)/($V$5*$V$3)</f>
        <v>88.16326530612244</v>
      </c>
      <c r="H474" s="11">
        <f>G474*COS(RADIANS(D474))</f>
        <v>85.159174889158663</v>
      </c>
      <c r="I474" s="11">
        <f>G474*SIN(RADIANS(D474))</f>
        <v>22.818332139650806</v>
      </c>
      <c r="J474" s="12">
        <v>0.2802</v>
      </c>
      <c r="K474" s="11">
        <v>19</v>
      </c>
      <c r="L474" s="11">
        <f>-(F474*G474*$V$3)/J474</f>
        <v>-15.732202945417994</v>
      </c>
      <c r="M474" s="11">
        <f>ABS(L474/$V$6)</f>
        <v>4.5866480890431466E-2</v>
      </c>
      <c r="N474" s="11">
        <f>L474*SIN(RADIANS(K474))</f>
        <v>-5.1219042784851814</v>
      </c>
      <c r="O474" s="11">
        <f>L474*COS(RADIANS(K474))</f>
        <v>-14.875090119990999</v>
      </c>
      <c r="P474" s="1">
        <v>4.7350823445268899</v>
      </c>
      <c r="Q474" s="1">
        <v>0.74830229567501583</v>
      </c>
      <c r="R474" s="1">
        <f>P474/Q474</f>
        <v>6.3277666952171341</v>
      </c>
    </row>
    <row r="475" spans="1:18" x14ac:dyDescent="0.35">
      <c r="A475" s="14">
        <v>2801</v>
      </c>
      <c r="B475" s="6">
        <v>1</v>
      </c>
      <c r="C475" s="6">
        <v>6000000</v>
      </c>
      <c r="D475" s="6">
        <v>0</v>
      </c>
      <c r="E475" s="6">
        <v>0</v>
      </c>
      <c r="F475" s="6">
        <v>0.15</v>
      </c>
      <c r="G475" s="11">
        <f>(C475*$V$4)/($V$5*$V$3)</f>
        <v>88.16326530612244</v>
      </c>
      <c r="H475" s="11">
        <f>G475*COS(RADIANS(D475))</f>
        <v>88.16326530612244</v>
      </c>
      <c r="I475" s="11">
        <f>G475*SIN(RADIANS(D475))</f>
        <v>0</v>
      </c>
      <c r="J475" s="20">
        <v>0.33379999999999999</v>
      </c>
      <c r="K475" s="19">
        <v>0</v>
      </c>
      <c r="L475" s="11">
        <f>-(F475*G475*$V$3)/J475</f>
        <v>-39.618004181900439</v>
      </c>
      <c r="M475" s="11">
        <f>ABS(L475/$V$6)</f>
        <v>0.11550438536997212</v>
      </c>
      <c r="N475" s="11">
        <f>L475*SIN(RADIANS(K475))</f>
        <v>0</v>
      </c>
      <c r="O475" s="11">
        <f>L475*COS(RADIANS(K475))</f>
        <v>-39.618004181900439</v>
      </c>
      <c r="P475" s="1">
        <v>2.2106717318020705</v>
      </c>
      <c r="Q475" s="1">
        <v>1.2451762629620984</v>
      </c>
      <c r="R475" s="1">
        <f>P475/Q475</f>
        <v>1.7753885916064565</v>
      </c>
    </row>
    <row r="476" spans="1:18" x14ac:dyDescent="0.35">
      <c r="A476" s="14">
        <v>2543</v>
      </c>
      <c r="B476" s="6">
        <v>0.1</v>
      </c>
      <c r="C476" s="6">
        <v>6000000</v>
      </c>
      <c r="D476" s="6">
        <v>10</v>
      </c>
      <c r="E476" s="6">
        <v>0.375</v>
      </c>
      <c r="F476" s="6">
        <v>7.4999999999999997E-2</v>
      </c>
      <c r="G476" s="11">
        <f>(C476*$V$4)/($V$5*$V$3)</f>
        <v>88.16326530612244</v>
      </c>
      <c r="H476" s="11">
        <f>G476*COS(RADIANS(D476))</f>
        <v>86.823867204341596</v>
      </c>
      <c r="I476" s="11">
        <f>G476*SIN(RADIANS(D476))</f>
        <v>15.309390357574264</v>
      </c>
      <c r="J476" s="12">
        <v>0.16789999999999999</v>
      </c>
      <c r="K476" s="11">
        <v>85</v>
      </c>
      <c r="L476" s="11">
        <f>-(F476*G476*$V$3)/J476</f>
        <v>-39.382042274920686</v>
      </c>
      <c r="M476" s="11">
        <f>ABS(L476/$V$6)</f>
        <v>0.11481644978110987</v>
      </c>
      <c r="N476" s="11">
        <f>L476*SIN(RADIANS(K476))</f>
        <v>-39.232181714300971</v>
      </c>
      <c r="O476" s="11">
        <f>L476*COS(RADIANS(K476))</f>
        <v>-3.4323711453903849</v>
      </c>
      <c r="P476" s="1">
        <v>2.0146683731290862</v>
      </c>
      <c r="Q476" s="1">
        <v>0.51284976967520424</v>
      </c>
      <c r="R476" s="1">
        <f>P476/Q476</f>
        <v>3.9283792101632553</v>
      </c>
    </row>
    <row r="477" spans="1:18" x14ac:dyDescent="0.35">
      <c r="A477" s="14">
        <v>2781</v>
      </c>
      <c r="B477" s="6">
        <v>0.75</v>
      </c>
      <c r="C477" s="6">
        <v>4000000</v>
      </c>
      <c r="D477" s="6">
        <v>0</v>
      </c>
      <c r="E477" s="6">
        <v>0.125</v>
      </c>
      <c r="F477" s="6">
        <v>0.1</v>
      </c>
      <c r="G477" s="11">
        <f>(C477*$V$4)/($V$5*$V$3)</f>
        <v>58.775510204081627</v>
      </c>
      <c r="H477" s="11">
        <f>G477*COS(RADIANS(D477))</f>
        <v>58.775510204081627</v>
      </c>
      <c r="I477" s="11">
        <f>G477*SIN(RADIANS(D477))</f>
        <v>0</v>
      </c>
      <c r="J477" s="12">
        <v>0.2802</v>
      </c>
      <c r="K477" s="11">
        <v>19</v>
      </c>
      <c r="L477" s="11">
        <f>-(F477*G477*$V$3)/J477</f>
        <v>-20.976270593890657</v>
      </c>
      <c r="M477" s="11">
        <f>ABS(L477/$V$6)</f>
        <v>6.1155307853908623E-2</v>
      </c>
      <c r="N477" s="11">
        <f>L477*SIN(RADIANS(K477))</f>
        <v>-6.8292057046469079</v>
      </c>
      <c r="O477" s="11">
        <f>L477*COS(RADIANS(K477))</f>
        <v>-19.833453493321329</v>
      </c>
      <c r="P477" s="1">
        <v>3.5794221058004787</v>
      </c>
      <c r="Q477" s="1">
        <v>0.19817671742900478</v>
      </c>
      <c r="R477" s="1">
        <f>P477/Q477</f>
        <v>18.061769072760921</v>
      </c>
    </row>
    <row r="478" spans="1:18" x14ac:dyDescent="0.35">
      <c r="A478" s="14">
        <v>2782</v>
      </c>
      <c r="B478" s="6">
        <v>0.25</v>
      </c>
      <c r="C478" s="6">
        <v>4000000</v>
      </c>
      <c r="D478" s="6">
        <v>20</v>
      </c>
      <c r="E478" s="6">
        <v>0.25</v>
      </c>
      <c r="F478" s="6">
        <v>0.1</v>
      </c>
      <c r="G478" s="11">
        <f>(C478*$V$4)/($V$5*$V$3)</f>
        <v>58.775510204081627</v>
      </c>
      <c r="H478" s="11">
        <f>G478*COS(RADIANS(D478))</f>
        <v>55.230913221702366</v>
      </c>
      <c r="I478" s="11">
        <f>G478*SIN(RADIANS(D478))</f>
        <v>20.102408424039304</v>
      </c>
      <c r="J478" s="12">
        <v>0.1913</v>
      </c>
      <c r="K478" s="11">
        <v>67</v>
      </c>
      <c r="L478" s="11">
        <f>-(F478*G478*$V$3)/J478</f>
        <v>-30.724260430779733</v>
      </c>
      <c r="M478" s="11">
        <f>ABS(L478/$V$6)</f>
        <v>8.9575103296733918E-2</v>
      </c>
      <c r="N478" s="11">
        <f>L478*SIN(RADIANS(K478))</f>
        <v>-28.281830845269511</v>
      </c>
      <c r="O478" s="11">
        <f>L478*COS(RADIANS(K478))</f>
        <v>-12.004924950116903</v>
      </c>
      <c r="P478" s="1">
        <v>2.5431953217836245</v>
      </c>
      <c r="Q478" s="1">
        <v>0.67934034188763592</v>
      </c>
      <c r="R478" s="1">
        <f>P478/Q478</f>
        <v>3.7436247562113327</v>
      </c>
    </row>
    <row r="479" spans="1:18" x14ac:dyDescent="0.35">
      <c r="A479" s="14">
        <v>2783</v>
      </c>
      <c r="B479" s="6">
        <v>0.25</v>
      </c>
      <c r="C479" s="6">
        <v>2000000</v>
      </c>
      <c r="D479" s="6">
        <v>10</v>
      </c>
      <c r="E479" s="6">
        <v>0.25</v>
      </c>
      <c r="F479" s="6">
        <v>0</v>
      </c>
      <c r="G479" s="11">
        <f>(C479*$V$4)/($V$5*$V$3)</f>
        <v>29.387755102040813</v>
      </c>
      <c r="H479" s="11">
        <f>G479*COS(RADIANS(D479))</f>
        <v>28.941289068113864</v>
      </c>
      <c r="I479" s="11">
        <f>G479*SIN(RADIANS(D479))</f>
        <v>5.1031301191914213</v>
      </c>
      <c r="J479" s="12">
        <v>0.1913</v>
      </c>
      <c r="K479" s="11">
        <v>67</v>
      </c>
      <c r="L479" s="11">
        <f>-(F479*G479*$V$3)/J479</f>
        <v>0</v>
      </c>
      <c r="M479" s="11">
        <f>ABS(L479/$V$6)</f>
        <v>0</v>
      </c>
      <c r="N479" s="11">
        <f>L479*SIN(RADIANS(K479))</f>
        <v>0</v>
      </c>
      <c r="O479" s="11">
        <f>L479*COS(RADIANS(K479))</f>
        <v>0</v>
      </c>
      <c r="P479" s="1">
        <v>2.562796471498531</v>
      </c>
      <c r="Q479" s="1">
        <v>0.57075449505487674</v>
      </c>
      <c r="R479" s="1">
        <f>P479/Q479</f>
        <v>4.4901906050728941</v>
      </c>
    </row>
    <row r="480" spans="1:18" x14ac:dyDescent="0.35">
      <c r="A480" s="14">
        <v>2784</v>
      </c>
      <c r="B480" s="6">
        <v>0.25</v>
      </c>
      <c r="C480" s="6">
        <v>6000000</v>
      </c>
      <c r="D480" s="6">
        <v>0</v>
      </c>
      <c r="E480" s="6">
        <v>0</v>
      </c>
      <c r="F480" s="6">
        <v>3.5000000000000003E-2</v>
      </c>
      <c r="G480" s="11">
        <f>(C480*$V$4)/($V$5*$V$3)</f>
        <v>88.16326530612244</v>
      </c>
      <c r="H480" s="11">
        <f>G480*COS(RADIANS(D480))</f>
        <v>88.16326530612244</v>
      </c>
      <c r="I480" s="11">
        <f>G480*SIN(RADIANS(D480))</f>
        <v>0</v>
      </c>
      <c r="J480" s="12">
        <v>0.18990000000000001</v>
      </c>
      <c r="K480" s="11">
        <v>0</v>
      </c>
      <c r="L480" s="11">
        <f>-(F480*G480*$V$3)/J480</f>
        <v>-16.249153689911985</v>
      </c>
      <c r="M480" s="11">
        <f>ABS(L480/$V$6)</f>
        <v>4.7373625918110743E-2</v>
      </c>
      <c r="N480" s="11">
        <f>L480*SIN(RADIANS(K480))</f>
        <v>0</v>
      </c>
      <c r="O480" s="11">
        <f>L480*COS(RADIANS(K480))</f>
        <v>-16.249153689911985</v>
      </c>
      <c r="P480" s="1">
        <v>2.0500003225098182</v>
      </c>
      <c r="Q480" s="1">
        <v>0.19053726912584845</v>
      </c>
      <c r="R480" s="1">
        <f>P480/Q480</f>
        <v>10.759051664353436</v>
      </c>
    </row>
    <row r="481" spans="1:18" x14ac:dyDescent="0.35">
      <c r="A481" s="14">
        <v>2785</v>
      </c>
      <c r="B481" s="6">
        <v>1</v>
      </c>
      <c r="C481" s="6">
        <v>4000000</v>
      </c>
      <c r="D481" s="6">
        <v>10</v>
      </c>
      <c r="E481" s="6">
        <v>0.375</v>
      </c>
      <c r="F481" s="6">
        <v>0.05</v>
      </c>
      <c r="G481" s="11">
        <f>(C481*$V$4)/($V$5*$V$3)</f>
        <v>58.775510204081627</v>
      </c>
      <c r="H481" s="11">
        <f>G481*COS(RADIANS(D481))</f>
        <v>57.882578136227728</v>
      </c>
      <c r="I481" s="11">
        <f>G481*SIN(RADIANS(D481))</f>
        <v>10.206260238382843</v>
      </c>
      <c r="J481" s="12">
        <v>0.33379999999999999</v>
      </c>
      <c r="K481" s="11">
        <v>49</v>
      </c>
      <c r="L481" s="11">
        <f>-(F481*G481*$V$3)/J481</f>
        <v>-8.8040009293112096</v>
      </c>
      <c r="M481" s="11">
        <f>ABS(L481/$V$6)</f>
        <v>2.566764119332714E-2</v>
      </c>
      <c r="N481" s="11">
        <f>L481*SIN(RADIANS(K481))</f>
        <v>-6.6444638456413578</v>
      </c>
      <c r="O481" s="11">
        <f>L481*COS(RADIANS(K481))</f>
        <v>-5.7759443009154356</v>
      </c>
      <c r="P481" s="1">
        <v>5.1892317897816831</v>
      </c>
      <c r="Q481" s="1">
        <v>6.4341746762957425E-2</v>
      </c>
      <c r="R481" s="1">
        <f>P481/Q481</f>
        <v>80.651086593894078</v>
      </c>
    </row>
    <row r="482" spans="1:18" x14ac:dyDescent="0.35">
      <c r="A482" s="14">
        <v>2786</v>
      </c>
      <c r="B482" s="6">
        <v>0.25</v>
      </c>
      <c r="C482" s="6">
        <v>6000000</v>
      </c>
      <c r="D482" s="6">
        <v>15</v>
      </c>
      <c r="E482" s="6">
        <v>0</v>
      </c>
      <c r="F482" s="6">
        <v>0.05</v>
      </c>
      <c r="G482" s="11">
        <f>(C482*$V$4)/($V$5*$V$3)</f>
        <v>88.16326530612244</v>
      </c>
      <c r="H482" s="11">
        <f>G482*COS(RADIANS(D482))</f>
        <v>85.159174889158663</v>
      </c>
      <c r="I482" s="11">
        <f>G482*SIN(RADIANS(D482))</f>
        <v>22.818332139650806</v>
      </c>
      <c r="J482" s="12">
        <v>0.18990000000000001</v>
      </c>
      <c r="K482" s="11">
        <v>0</v>
      </c>
      <c r="L482" s="11">
        <f>-(F482*G482*$V$3)/J482</f>
        <v>-23.213076699874257</v>
      </c>
      <c r="M482" s="11">
        <f>ABS(L482/$V$6)</f>
        <v>6.7676608454443898E-2</v>
      </c>
      <c r="N482" s="11">
        <f>L482*SIN(RADIANS(K482))</f>
        <v>0</v>
      </c>
      <c r="O482" s="11">
        <f>L482*COS(RADIANS(K482))</f>
        <v>-23.213076699874257</v>
      </c>
      <c r="P482" s="1">
        <v>2.2900506160611909</v>
      </c>
      <c r="Q482" s="1">
        <v>0.52736015038223261</v>
      </c>
      <c r="R482" s="1">
        <f>P482/Q482</f>
        <v>4.3424794505260849</v>
      </c>
    </row>
    <row r="483" spans="1:18" x14ac:dyDescent="0.35">
      <c r="A483" s="14">
        <v>2787</v>
      </c>
      <c r="B483" s="6">
        <v>0.1</v>
      </c>
      <c r="C483" s="6">
        <v>2000000</v>
      </c>
      <c r="D483" s="6">
        <v>30</v>
      </c>
      <c r="E483" s="6">
        <v>0.125</v>
      </c>
      <c r="F483" s="6">
        <v>7.4999999999999997E-2</v>
      </c>
      <c r="G483" s="11">
        <f>(C483*$V$4)/($V$5*$V$3)</f>
        <v>29.387755102040813</v>
      </c>
      <c r="H483" s="11">
        <f>G483*COS(RADIANS(D483))</f>
        <v>25.450542478563094</v>
      </c>
      <c r="I483" s="11">
        <f>G483*SIN(RADIANS(D483))</f>
        <v>14.693877551020405</v>
      </c>
      <c r="J483" s="12">
        <v>0.1658</v>
      </c>
      <c r="K483" s="11">
        <v>69</v>
      </c>
      <c r="L483" s="11">
        <f>-(F483*G483*$V$3)/J483</f>
        <v>-13.293616602250067</v>
      </c>
      <c r="M483" s="11">
        <f>ABS(L483/$V$6)</f>
        <v>3.8756899715014774E-2</v>
      </c>
      <c r="N483" s="11">
        <f>L483*SIN(RADIANS(K483))</f>
        <v>-12.410660257218899</v>
      </c>
      <c r="O483" s="11">
        <f>L483*COS(RADIANS(K483))</f>
        <v>-4.7640061237897191</v>
      </c>
      <c r="P483" s="1">
        <v>1.2363008540069889</v>
      </c>
      <c r="Q483" s="1">
        <v>0.94460993453839537</v>
      </c>
      <c r="R483" s="1">
        <f>P483/Q483</f>
        <v>1.3087951002877549</v>
      </c>
    </row>
    <row r="484" spans="1:18" x14ac:dyDescent="0.35">
      <c r="A484" s="14">
        <v>2788</v>
      </c>
      <c r="B484" s="6">
        <v>0.75</v>
      </c>
      <c r="C484" s="6">
        <v>6000000</v>
      </c>
      <c r="D484" s="6">
        <v>30</v>
      </c>
      <c r="E484" s="6">
        <v>0.125</v>
      </c>
      <c r="F484" s="6">
        <v>7.4999999999999997E-2</v>
      </c>
      <c r="G484" s="11">
        <f>(C484*$V$4)/($V$5*$V$3)</f>
        <v>88.16326530612244</v>
      </c>
      <c r="H484" s="11">
        <f>G484*COS(RADIANS(D484))</f>
        <v>76.351627435689281</v>
      </c>
      <c r="I484" s="11">
        <f>G484*SIN(RADIANS(D484))</f>
        <v>44.081632653061213</v>
      </c>
      <c r="J484" s="12">
        <v>0.2802</v>
      </c>
      <c r="K484" s="11">
        <v>19</v>
      </c>
      <c r="L484" s="11">
        <f>-(F484*G484*$V$3)/J484</f>
        <v>-23.59830441812699</v>
      </c>
      <c r="M484" s="11">
        <f>ABS(L484/$V$6)</f>
        <v>6.8799721335647199E-2</v>
      </c>
      <c r="N484" s="11">
        <f>L484*SIN(RADIANS(K484))</f>
        <v>-7.6828564177277707</v>
      </c>
      <c r="O484" s="11">
        <f>L484*COS(RADIANS(K484))</f>
        <v>-22.312635179986497</v>
      </c>
      <c r="P484" s="1">
        <v>5.963794549138389</v>
      </c>
      <c r="Q484" s="1">
        <v>1.664670267707286</v>
      </c>
      <c r="R484" s="1">
        <f>P484/Q484</f>
        <v>3.5825680705838479</v>
      </c>
    </row>
    <row r="485" spans="1:18" x14ac:dyDescent="0.35">
      <c r="A485" s="14">
        <v>2789</v>
      </c>
      <c r="B485" s="6">
        <v>1</v>
      </c>
      <c r="C485" s="6">
        <v>4000000</v>
      </c>
      <c r="D485" s="6">
        <v>0</v>
      </c>
      <c r="E485" s="6">
        <v>0.375</v>
      </c>
      <c r="F485" s="6">
        <v>0.1</v>
      </c>
      <c r="G485" s="11">
        <f>(C485*$V$4)/($V$5*$V$3)</f>
        <v>58.775510204081627</v>
      </c>
      <c r="H485" s="11">
        <f>G485*COS(RADIANS(D485))</f>
        <v>58.775510204081627</v>
      </c>
      <c r="I485" s="11">
        <f>G485*SIN(RADIANS(D485))</f>
        <v>0</v>
      </c>
      <c r="J485" s="12">
        <v>0.33379999999999999</v>
      </c>
      <c r="K485" s="11">
        <v>49</v>
      </c>
      <c r="L485" s="11">
        <f>-(F485*G485*$V$3)/J485</f>
        <v>-17.608001858622419</v>
      </c>
      <c r="M485" s="11">
        <f>ABS(L485/$V$6)</f>
        <v>5.1335282386654281E-2</v>
      </c>
      <c r="N485" s="11">
        <f>L485*SIN(RADIANS(K485))</f>
        <v>-13.288927691282716</v>
      </c>
      <c r="O485" s="11">
        <f>L485*COS(RADIANS(K485))</f>
        <v>-11.551888601830871</v>
      </c>
      <c r="P485" s="1">
        <v>6.0187041620066903</v>
      </c>
      <c r="Q485" s="1">
        <v>-0.95874526796321213</v>
      </c>
      <c r="R485" s="1">
        <f>P485/Q485</f>
        <v>-6.277688519697219</v>
      </c>
    </row>
    <row r="486" spans="1:18" x14ac:dyDescent="0.35">
      <c r="A486" s="14">
        <v>2790</v>
      </c>
      <c r="B486" s="6">
        <v>0.5</v>
      </c>
      <c r="C486" s="6">
        <v>6000000</v>
      </c>
      <c r="D486" s="6">
        <v>30</v>
      </c>
      <c r="E486" s="6">
        <v>0</v>
      </c>
      <c r="F486" s="6">
        <v>0</v>
      </c>
      <c r="G486" s="11">
        <f>(C486*$V$4)/($V$5*$V$3)</f>
        <v>88.16326530612244</v>
      </c>
      <c r="H486" s="11">
        <f>G486*COS(RADIANS(D486))</f>
        <v>76.351627435689281</v>
      </c>
      <c r="I486" s="11">
        <f>G486*SIN(RADIANS(D486))</f>
        <v>44.081632653061213</v>
      </c>
      <c r="J486" s="12">
        <v>0.23230000000000001</v>
      </c>
      <c r="K486" s="11">
        <v>0</v>
      </c>
      <c r="L486" s="11">
        <f>-(F486*G486*$V$3)/J486</f>
        <v>0</v>
      </c>
      <c r="M486" s="11">
        <f>ABS(L486/$V$6)</f>
        <v>0</v>
      </c>
      <c r="N486" s="11">
        <f>L486*SIN(RADIANS(K486))</f>
        <v>0</v>
      </c>
      <c r="O486" s="11">
        <f>L486*COS(RADIANS(K486))</f>
        <v>0</v>
      </c>
      <c r="P486" s="1">
        <v>2.9178129609835799</v>
      </c>
      <c r="Q486" s="1">
        <v>1.4953892768310326</v>
      </c>
      <c r="R486" s="1">
        <f>P486/Q486</f>
        <v>1.9512062886841672</v>
      </c>
    </row>
    <row r="487" spans="1:18" x14ac:dyDescent="0.35">
      <c r="A487" s="14">
        <v>2791</v>
      </c>
      <c r="B487" s="6">
        <v>0.25</v>
      </c>
      <c r="C487" s="6">
        <v>6000000</v>
      </c>
      <c r="D487" s="6">
        <v>10</v>
      </c>
      <c r="E487" s="6">
        <v>0</v>
      </c>
      <c r="F487" s="6">
        <v>2.5000000000000001E-2</v>
      </c>
      <c r="G487" s="11">
        <f>(C487*$V$4)/($V$5*$V$3)</f>
        <v>88.16326530612244</v>
      </c>
      <c r="H487" s="11">
        <f>G487*COS(RADIANS(D487))</f>
        <v>86.823867204341596</v>
      </c>
      <c r="I487" s="11">
        <f>G487*SIN(RADIANS(D487))</f>
        <v>15.309390357574264</v>
      </c>
      <c r="J487" s="12">
        <v>0.18990000000000001</v>
      </c>
      <c r="K487" s="11">
        <v>0</v>
      </c>
      <c r="L487" s="11">
        <f>-(F487*G487*$V$3)/J487</f>
        <v>-11.606538349937129</v>
      </c>
      <c r="M487" s="11">
        <f>ABS(L487/$V$6)</f>
        <v>3.3838304227221949E-2</v>
      </c>
      <c r="N487" s="11">
        <f>L487*SIN(RADIANS(K487))</f>
        <v>0</v>
      </c>
      <c r="O487" s="11">
        <f>L487*COS(RADIANS(K487))</f>
        <v>-11.606538349937129</v>
      </c>
      <c r="P487" s="1">
        <v>2.0516309878156029</v>
      </c>
      <c r="Q487" s="1">
        <v>0.43114858927778649</v>
      </c>
      <c r="R487" s="1">
        <f>P487/Q487</f>
        <v>4.7585241813089851</v>
      </c>
    </row>
    <row r="488" spans="1:18" x14ac:dyDescent="0.35">
      <c r="A488" s="14">
        <v>2792</v>
      </c>
      <c r="B488" s="6">
        <v>0.1</v>
      </c>
      <c r="C488" s="6">
        <v>4000000</v>
      </c>
      <c r="D488" s="6">
        <v>10</v>
      </c>
      <c r="E488" s="6">
        <v>0.25</v>
      </c>
      <c r="F488" s="6">
        <v>2.5000000000000001E-2</v>
      </c>
      <c r="G488" s="11">
        <f>(C488*$V$4)/($V$5*$V$3)</f>
        <v>58.775510204081627</v>
      </c>
      <c r="H488" s="11">
        <f>G488*COS(RADIANS(D488))</f>
        <v>57.882578136227728</v>
      </c>
      <c r="I488" s="11">
        <f>G488*SIN(RADIANS(D488))</f>
        <v>10.206260238382843</v>
      </c>
      <c r="J488" s="11">
        <v>0.1661</v>
      </c>
      <c r="K488" s="12">
        <v>80</v>
      </c>
      <c r="L488" s="11">
        <f>-(F488*G488*$V$3)/J488</f>
        <v>-8.8464043052500951</v>
      </c>
      <c r="M488" s="11">
        <f>ABS(L488/$V$6)</f>
        <v>2.5791266196064418E-2</v>
      </c>
      <c r="N488" s="11">
        <f>L488*SIN(RADIANS(K488))</f>
        <v>-8.7120075460908701</v>
      </c>
      <c r="O488" s="11">
        <f>L488*COS(RADIANS(K488))</f>
        <v>-1.5361619865115665</v>
      </c>
      <c r="P488" s="1">
        <v>1.5767236120856691</v>
      </c>
      <c r="Q488" s="1">
        <v>0.48204038124333842</v>
      </c>
      <c r="R488" s="1">
        <f>P488/Q488</f>
        <v>3.2709367792357722</v>
      </c>
    </row>
    <row r="489" spans="1:18" x14ac:dyDescent="0.35">
      <c r="A489" s="14">
        <v>2793</v>
      </c>
      <c r="B489" s="6">
        <v>0.1</v>
      </c>
      <c r="C489" s="6">
        <v>4000000</v>
      </c>
      <c r="D489" s="6">
        <v>0</v>
      </c>
      <c r="E489" s="6">
        <v>0.25</v>
      </c>
      <c r="F489" s="6">
        <v>0.05</v>
      </c>
      <c r="G489" s="11">
        <f>(C489*$V$4)/($V$5*$V$3)</f>
        <v>58.775510204081627</v>
      </c>
      <c r="H489" s="11">
        <f>G489*COS(RADIANS(D489))</f>
        <v>58.775510204081627</v>
      </c>
      <c r="I489" s="11">
        <f>G489*SIN(RADIANS(D489))</f>
        <v>0</v>
      </c>
      <c r="J489" s="11">
        <v>0.1661</v>
      </c>
      <c r="K489" s="12">
        <v>80</v>
      </c>
      <c r="L489" s="11">
        <f>-(F489*G489*$V$3)/J489</f>
        <v>-17.69280861050019</v>
      </c>
      <c r="M489" s="11">
        <f>ABS(L489/$V$6)</f>
        <v>5.1582532392128837E-2</v>
      </c>
      <c r="N489" s="11">
        <f>L489*SIN(RADIANS(K489))</f>
        <v>-17.42401509218174</v>
      </c>
      <c r="O489" s="11">
        <f>L489*COS(RADIANS(K489))</f>
        <v>-3.0723239730231331</v>
      </c>
      <c r="P489" s="1">
        <v>1.4384561463872623</v>
      </c>
      <c r="Q489" s="1">
        <v>0.22471872843907931</v>
      </c>
      <c r="R489" s="1">
        <f>P489/Q489</f>
        <v>6.4011404673697418</v>
      </c>
    </row>
    <row r="490" spans="1:18" x14ac:dyDescent="0.35">
      <c r="A490" s="14">
        <v>2794</v>
      </c>
      <c r="B490" s="6">
        <v>0.25</v>
      </c>
      <c r="C490" s="6">
        <v>2000000</v>
      </c>
      <c r="D490" s="6">
        <v>20</v>
      </c>
      <c r="E490" s="6">
        <v>0.125</v>
      </c>
      <c r="F490" s="6">
        <v>0</v>
      </c>
      <c r="G490" s="11">
        <f>(C490*$V$4)/($V$5*$V$3)</f>
        <v>29.387755102040813</v>
      </c>
      <c r="H490" s="11">
        <f>G490*COS(RADIANS(D490))</f>
        <v>27.615456610851183</v>
      </c>
      <c r="I490" s="11">
        <f>G490*SIN(RADIANS(D490))</f>
        <v>10.051204212019652</v>
      </c>
      <c r="J490" s="11">
        <v>0.19020000000000001</v>
      </c>
      <c r="K490" s="11">
        <v>46</v>
      </c>
      <c r="L490" s="11">
        <f>-(F490*G490*$V$3)/J490</f>
        <v>0</v>
      </c>
      <c r="M490" s="11">
        <f>ABS(L490/$V$6)</f>
        <v>0</v>
      </c>
      <c r="N490" s="11">
        <f>L490*SIN(RADIANS(K490))</f>
        <v>0</v>
      </c>
      <c r="O490" s="11">
        <f>L490*COS(RADIANS(K490))</f>
        <v>0</v>
      </c>
      <c r="P490" s="1">
        <v>2.3631284222510001</v>
      </c>
      <c r="Q490" s="1">
        <v>0.8364744473916037</v>
      </c>
      <c r="R490" s="1">
        <f>P490/Q490</f>
        <v>2.8251053330080724</v>
      </c>
    </row>
    <row r="491" spans="1:18" x14ac:dyDescent="0.35">
      <c r="A491" s="14">
        <v>2795</v>
      </c>
      <c r="B491" s="6">
        <v>1</v>
      </c>
      <c r="C491" s="6">
        <v>6000000</v>
      </c>
      <c r="D491" s="6">
        <v>15</v>
      </c>
      <c r="E491" s="6">
        <v>0</v>
      </c>
      <c r="F491" s="6">
        <v>0.05</v>
      </c>
      <c r="G491" s="11">
        <f>(C491*$V$4)/($V$5*$V$3)</f>
        <v>88.16326530612244</v>
      </c>
      <c r="H491" s="11">
        <f>G491*COS(RADIANS(D491))</f>
        <v>85.159174889158663</v>
      </c>
      <c r="I491" s="11">
        <f>G491*SIN(RADIANS(D491))</f>
        <v>22.818332139650806</v>
      </c>
      <c r="J491" s="11">
        <v>0.33379999999999999</v>
      </c>
      <c r="K491" s="12">
        <v>0</v>
      </c>
      <c r="L491" s="11">
        <f>-(F491*G491*$V$3)/J491</f>
        <v>-13.206001393966813</v>
      </c>
      <c r="M491" s="11">
        <f>ABS(L491/$V$6)</f>
        <v>3.8501461789990712E-2</v>
      </c>
      <c r="N491" s="11">
        <f>L491*SIN(RADIANS(K491))</f>
        <v>0</v>
      </c>
      <c r="O491" s="11">
        <f>L491*COS(RADIANS(K491))</f>
        <v>-13.206001393966813</v>
      </c>
      <c r="P491" s="1">
        <v>1.7838529819466564</v>
      </c>
      <c r="Q491" s="1">
        <v>1.7799961070532664</v>
      </c>
      <c r="R491" s="1">
        <f>P491/Q491</f>
        <v>1.0021667883868437</v>
      </c>
    </row>
    <row r="492" spans="1:18" x14ac:dyDescent="0.35">
      <c r="A492" s="14">
        <v>2796</v>
      </c>
      <c r="B492" s="6">
        <v>0.25</v>
      </c>
      <c r="C492" s="6">
        <v>4000000</v>
      </c>
      <c r="D492" s="6">
        <v>5</v>
      </c>
      <c r="E492" s="6">
        <v>0</v>
      </c>
      <c r="F492" s="6">
        <v>0</v>
      </c>
      <c r="G492" s="11">
        <f>(C492*$V$4)/($V$5*$V$3)</f>
        <v>58.775510204081627</v>
      </c>
      <c r="H492" s="11">
        <f>G492*COS(RADIANS(D492))</f>
        <v>58.551851642943404</v>
      </c>
      <c r="I492" s="11">
        <f>G492*SIN(RADIANS(D492))</f>
        <v>5.1226232472092956</v>
      </c>
      <c r="J492" s="12">
        <v>0.18990000000000001</v>
      </c>
      <c r="K492" s="11">
        <v>0</v>
      </c>
      <c r="L492" s="11">
        <f>-(F492*G492*$V$3)/J492</f>
        <v>0</v>
      </c>
      <c r="M492" s="11">
        <f>ABS(L492/$V$6)</f>
        <v>0</v>
      </c>
      <c r="N492" s="11">
        <f>L492*SIN(RADIANS(K492))</f>
        <v>0</v>
      </c>
      <c r="O492" s="11">
        <f>L492*COS(RADIANS(K492))</f>
        <v>0</v>
      </c>
      <c r="P492" s="1">
        <v>2.2605203800928955</v>
      </c>
      <c r="Q492" s="1">
        <v>0.38875748894749113</v>
      </c>
      <c r="R492" s="1">
        <f>P492/Q492</f>
        <v>5.8147314054655306</v>
      </c>
    </row>
    <row r="493" spans="1:18" x14ac:dyDescent="0.35">
      <c r="A493" s="14">
        <v>2797</v>
      </c>
      <c r="B493" s="6">
        <v>0.25</v>
      </c>
      <c r="C493" s="6">
        <v>2000000</v>
      </c>
      <c r="D493" s="6">
        <v>0</v>
      </c>
      <c r="E493" s="6">
        <v>0.125</v>
      </c>
      <c r="F493" s="6">
        <v>7.4999999999999997E-2</v>
      </c>
      <c r="G493" s="11">
        <f>(C493*$V$4)/($V$5*$V$3)</f>
        <v>29.387755102040813</v>
      </c>
      <c r="H493" s="11">
        <f>G493*COS(RADIANS(D493))</f>
        <v>29.387755102040813</v>
      </c>
      <c r="I493" s="11">
        <f>G493*SIN(RADIANS(D493))</f>
        <v>0</v>
      </c>
      <c r="J493" s="11">
        <v>0.19020000000000001</v>
      </c>
      <c r="K493" s="11">
        <v>46</v>
      </c>
      <c r="L493" s="11">
        <f>-(F493*G493*$V$3)/J493</f>
        <v>-11.588231507113885</v>
      </c>
      <c r="M493" s="11">
        <f>ABS(L493/$V$6)</f>
        <v>3.3784931507620658E-2</v>
      </c>
      <c r="N493" s="11">
        <f>L493*SIN(RADIANS(K493))</f>
        <v>-8.3358761386053679</v>
      </c>
      <c r="O493" s="11">
        <f>L493*COS(RADIANS(K493))</f>
        <v>-8.0498620152333409</v>
      </c>
      <c r="P493" s="1">
        <v>2.338021057767961</v>
      </c>
      <c r="Q493" s="1">
        <v>0.13865570307183397</v>
      </c>
      <c r="R493" s="1">
        <f>P493/Q493</f>
        <v>16.862061970553725</v>
      </c>
    </row>
    <row r="494" spans="1:18" x14ac:dyDescent="0.35">
      <c r="A494" s="14">
        <v>2798</v>
      </c>
      <c r="B494" s="6">
        <v>0.25</v>
      </c>
      <c r="C494" s="6">
        <v>6000000</v>
      </c>
      <c r="D494" s="6">
        <v>10</v>
      </c>
      <c r="E494" s="6">
        <v>0.125</v>
      </c>
      <c r="F494" s="6">
        <v>0</v>
      </c>
      <c r="G494" s="11">
        <f>(C494*$V$4)/($V$5*$V$3)</f>
        <v>88.16326530612244</v>
      </c>
      <c r="H494" s="11">
        <f>G494*COS(RADIANS(D494))</f>
        <v>86.823867204341596</v>
      </c>
      <c r="I494" s="11">
        <f>G494*SIN(RADIANS(D494))</f>
        <v>15.309390357574264</v>
      </c>
      <c r="J494" s="11">
        <v>0.19020000000000001</v>
      </c>
      <c r="K494" s="11">
        <v>46</v>
      </c>
      <c r="L494" s="11">
        <f>-(F494*G494*$V$3)/J494</f>
        <v>0</v>
      </c>
      <c r="M494" s="11">
        <f>ABS(L494/$V$6)</f>
        <v>0</v>
      </c>
      <c r="N494" s="11">
        <f>L494*SIN(RADIANS(K494))</f>
        <v>0</v>
      </c>
      <c r="O494" s="11">
        <f>L494*COS(RADIANS(K494))</f>
        <v>0</v>
      </c>
      <c r="P494" s="1">
        <v>2.3681086213168916</v>
      </c>
      <c r="Q494" s="1">
        <v>0.54698611019725962</v>
      </c>
      <c r="R494" s="1">
        <f>P494/Q494</f>
        <v>4.3293761526465095</v>
      </c>
    </row>
    <row r="495" spans="1:18" x14ac:dyDescent="0.35">
      <c r="A495" s="14">
        <v>2799</v>
      </c>
      <c r="B495" s="6">
        <v>0.25</v>
      </c>
      <c r="C495" s="6">
        <v>4000000</v>
      </c>
      <c r="D495" s="6">
        <v>10</v>
      </c>
      <c r="E495" s="6">
        <v>0.125</v>
      </c>
      <c r="F495" s="6">
        <v>0.05</v>
      </c>
      <c r="G495" s="11">
        <f>(C495*$V$4)/($V$5*$V$3)</f>
        <v>58.775510204081627</v>
      </c>
      <c r="H495" s="11">
        <f>G495*COS(RADIANS(D495))</f>
        <v>57.882578136227728</v>
      </c>
      <c r="I495" s="11">
        <f>G495*SIN(RADIANS(D495))</f>
        <v>10.206260238382843</v>
      </c>
      <c r="J495" s="11">
        <v>0.19020000000000001</v>
      </c>
      <c r="K495" s="11">
        <v>46</v>
      </c>
      <c r="L495" s="11">
        <f>-(F495*G495*$V$3)/J495</f>
        <v>-15.450975342818513</v>
      </c>
      <c r="M495" s="11">
        <f>ABS(L495/$V$6)</f>
        <v>4.5046575343494204E-2</v>
      </c>
      <c r="N495" s="11">
        <f>L495*SIN(RADIANS(K495))</f>
        <v>-11.114501518140489</v>
      </c>
      <c r="O495" s="11">
        <f>L495*COS(RADIANS(K495))</f>
        <v>-10.733149353644455</v>
      </c>
      <c r="P495" s="1">
        <v>2.2770297981409215</v>
      </c>
      <c r="Q495" s="1">
        <v>0.43516628878998365</v>
      </c>
      <c r="R495" s="1">
        <f>P495/Q495</f>
        <v>5.2325509967060952</v>
      </c>
    </row>
    <row r="496" spans="1:18" x14ac:dyDescent="0.35">
      <c r="A496" s="14">
        <v>2800</v>
      </c>
      <c r="B496" s="6">
        <v>0.75</v>
      </c>
      <c r="C496" s="6">
        <v>4000000</v>
      </c>
      <c r="D496" s="6">
        <v>20</v>
      </c>
      <c r="E496" s="6">
        <v>0.125</v>
      </c>
      <c r="F496" s="6">
        <v>0</v>
      </c>
      <c r="G496" s="11">
        <f>(C496*$V$4)/($V$5*$V$3)</f>
        <v>58.775510204081627</v>
      </c>
      <c r="H496" s="11">
        <f>G496*COS(RADIANS(D496))</f>
        <v>55.230913221702366</v>
      </c>
      <c r="I496" s="11">
        <f>G496*SIN(RADIANS(D496))</f>
        <v>20.102408424039304</v>
      </c>
      <c r="J496" s="12">
        <v>0.2802</v>
      </c>
      <c r="K496" s="11">
        <v>19</v>
      </c>
      <c r="L496" s="11">
        <f>-(F496*G496*$V$3)/J496</f>
        <v>0</v>
      </c>
      <c r="M496" s="11">
        <f>ABS(L496/$V$6)</f>
        <v>0</v>
      </c>
      <c r="N496" s="11">
        <f>L496*SIN(RADIANS(K496))</f>
        <v>0</v>
      </c>
      <c r="O496" s="11">
        <f>L496*COS(RADIANS(K496))</f>
        <v>0</v>
      </c>
      <c r="P496" s="1">
        <v>4.8294810598180549</v>
      </c>
      <c r="Q496" s="1">
        <v>1.9563238585565272</v>
      </c>
      <c r="R496" s="1">
        <f>P496/Q496</f>
        <v>2.4686511073792685</v>
      </c>
    </row>
    <row r="497" spans="1:18" x14ac:dyDescent="0.35">
      <c r="A497" s="14">
        <v>2541</v>
      </c>
      <c r="B497" s="6">
        <v>0.5</v>
      </c>
      <c r="C497" s="6">
        <v>6000000</v>
      </c>
      <c r="D497" s="6">
        <v>30</v>
      </c>
      <c r="E497" s="6">
        <v>0</v>
      </c>
      <c r="F497" s="6">
        <v>0.1</v>
      </c>
      <c r="G497" s="11">
        <f>(C497*$V$4)/($V$5*$V$3)</f>
        <v>88.16326530612244</v>
      </c>
      <c r="H497" s="11">
        <f>G497*COS(RADIANS(D497))</f>
        <v>76.351627435689281</v>
      </c>
      <c r="I497" s="11">
        <f>G497*SIN(RADIANS(D497))</f>
        <v>44.081632653061213</v>
      </c>
      <c r="J497" s="19">
        <v>0.23230000000000001</v>
      </c>
      <c r="K497" s="20">
        <v>0</v>
      </c>
      <c r="L497" s="11">
        <f>-(F497*G497*$V$3)/J497</f>
        <v>-37.952331169230497</v>
      </c>
      <c r="M497" s="11">
        <f>ABS(L497/$V$6)</f>
        <v>0.11064819582866034</v>
      </c>
      <c r="N497" s="11">
        <f>L497*SIN(RADIANS(K497))</f>
        <v>0</v>
      </c>
      <c r="O497" s="11">
        <f>L497*COS(RADIANS(K497))</f>
        <v>-37.952331169230497</v>
      </c>
      <c r="P497" s="1">
        <v>4.5010512145815103</v>
      </c>
      <c r="Q497" s="1">
        <v>1.439917649980001</v>
      </c>
      <c r="R497" s="1">
        <f>P497/Q497</f>
        <v>3.1259087730774224</v>
      </c>
    </row>
    <row r="498" spans="1:18" x14ac:dyDescent="0.35">
      <c r="A498" s="14">
        <v>2802</v>
      </c>
      <c r="B498" s="6">
        <v>0.1</v>
      </c>
      <c r="C498" s="6">
        <v>2000000</v>
      </c>
      <c r="D498" s="6">
        <v>10</v>
      </c>
      <c r="E498" s="6">
        <v>0</v>
      </c>
      <c r="F498" s="6">
        <v>0.15</v>
      </c>
      <c r="G498" s="11">
        <f>(C498*$V$4)/($V$5*$V$3)</f>
        <v>29.387755102040813</v>
      </c>
      <c r="H498" s="11">
        <f>G498*COS(RADIANS(D498))</f>
        <v>28.941289068113864</v>
      </c>
      <c r="I498" s="11">
        <f>G498*SIN(RADIANS(D498))</f>
        <v>5.1031301191914213</v>
      </c>
      <c r="J498" s="11">
        <v>0.16569999999999999</v>
      </c>
      <c r="K498" s="12">
        <v>0</v>
      </c>
      <c r="L498" s="11">
        <f>-(F498*G498*$V$3)/J498</f>
        <v>-26.603278607761752</v>
      </c>
      <c r="M498" s="11">
        <f>ABS(L498/$V$6)</f>
        <v>7.7560579031375365E-2</v>
      </c>
      <c r="N498" s="11">
        <f>L498*SIN(RADIANS(K498))</f>
        <v>0</v>
      </c>
      <c r="O498" s="11">
        <f>L498*COS(RADIANS(K498))</f>
        <v>-26.603278607761752</v>
      </c>
      <c r="P498" s="1">
        <v>1.6901060096211253</v>
      </c>
      <c r="Q498" s="1">
        <v>0.38791327740645087</v>
      </c>
      <c r="R498" s="1">
        <f>P498/Q498</f>
        <v>4.3569171463297263</v>
      </c>
    </row>
    <row r="499" spans="1:18" x14ac:dyDescent="0.35">
      <c r="A499" s="14">
        <v>2803</v>
      </c>
      <c r="B499" s="6">
        <v>0.25</v>
      </c>
      <c r="C499" s="6">
        <v>6000000</v>
      </c>
      <c r="D499" s="6">
        <v>15</v>
      </c>
      <c r="E499" s="6">
        <v>0</v>
      </c>
      <c r="F499" s="6">
        <v>3.5000000000000003E-2</v>
      </c>
      <c r="G499" s="11">
        <f>(C499*$V$4)/($V$5*$V$3)</f>
        <v>88.16326530612244</v>
      </c>
      <c r="H499" s="11">
        <f>G499*COS(RADIANS(D499))</f>
        <v>85.159174889158663</v>
      </c>
      <c r="I499" s="11">
        <f>G499*SIN(RADIANS(D499))</f>
        <v>22.818332139650806</v>
      </c>
      <c r="J499" s="12">
        <v>0.18990000000000001</v>
      </c>
      <c r="K499" s="11">
        <v>0</v>
      </c>
      <c r="L499" s="11">
        <f>-(F499*G499*$V$3)/J499</f>
        <v>-16.249153689911985</v>
      </c>
      <c r="M499" s="11">
        <f>ABS(L499/$V$6)</f>
        <v>4.7373625918110743E-2</v>
      </c>
      <c r="N499" s="11">
        <f>L499*SIN(RADIANS(K499))</f>
        <v>0</v>
      </c>
      <c r="O499" s="11">
        <f>L499*COS(RADIANS(K499))</f>
        <v>-16.249153689911985</v>
      </c>
      <c r="P499" s="1">
        <v>2.1695470840034394</v>
      </c>
      <c r="Q499" s="1">
        <v>0.53681459069086901</v>
      </c>
      <c r="R499" s="1">
        <f>P499/Q499</f>
        <v>4.041520334257827</v>
      </c>
    </row>
    <row r="500" spans="1:18" x14ac:dyDescent="0.35">
      <c r="A500" s="14">
        <v>2369</v>
      </c>
      <c r="B500" s="6">
        <v>0.5</v>
      </c>
      <c r="C500" s="6">
        <v>6000000</v>
      </c>
      <c r="D500" s="6">
        <v>10</v>
      </c>
      <c r="E500" s="6">
        <v>0.125</v>
      </c>
      <c r="F500" s="6">
        <v>0.1</v>
      </c>
      <c r="G500" s="11">
        <f>(C500*$V$4)/($V$5*$V$3)</f>
        <v>88.16326530612244</v>
      </c>
      <c r="H500" s="11">
        <f>G500*COS(RADIANS(D500))</f>
        <v>86.823867204341596</v>
      </c>
      <c r="I500" s="11">
        <f>G500*SIN(RADIANS(D500))</f>
        <v>15.309390357574264</v>
      </c>
      <c r="J500" s="12">
        <v>0.23300000000000001</v>
      </c>
      <c r="K500" s="11">
        <v>27</v>
      </c>
      <c r="L500" s="11">
        <f>-(F500*G500*$V$3)/J500</f>
        <v>-37.838311290181302</v>
      </c>
      <c r="M500" s="11">
        <f>ABS(L500/$V$6)</f>
        <v>0.11031577635621372</v>
      </c>
      <c r="N500" s="11">
        <f>L500*SIN(RADIANS(K500))</f>
        <v>-17.178233851929942</v>
      </c>
      <c r="O500" s="11">
        <f>L500*COS(RADIANS(K500))</f>
        <v>-33.714182223821922</v>
      </c>
      <c r="P500" s="1">
        <v>4.0812321426205305</v>
      </c>
      <c r="Q500" s="1">
        <v>0.41839066424914612</v>
      </c>
      <c r="R500" s="1">
        <f>P500/Q500</f>
        <v>9.7545965800761998</v>
      </c>
    </row>
    <row r="501" spans="1:18" x14ac:dyDescent="0.35">
      <c r="A501" s="14">
        <v>2805</v>
      </c>
      <c r="B501" s="6">
        <v>1</v>
      </c>
      <c r="C501" s="6">
        <v>6000000</v>
      </c>
      <c r="D501" s="6">
        <v>30</v>
      </c>
      <c r="E501" s="6">
        <v>0.375</v>
      </c>
      <c r="F501" s="6">
        <v>3.5000000000000003E-2</v>
      </c>
      <c r="G501" s="11">
        <f>(C501*$V$4)/($V$5*$V$3)</f>
        <v>88.16326530612244</v>
      </c>
      <c r="H501" s="11">
        <f>G501*COS(RADIANS(D501))</f>
        <v>76.351627435689281</v>
      </c>
      <c r="I501" s="11">
        <f>G501*SIN(RADIANS(D501))</f>
        <v>44.081632653061213</v>
      </c>
      <c r="J501" s="12">
        <v>0.33379999999999999</v>
      </c>
      <c r="K501" s="11">
        <v>49</v>
      </c>
      <c r="L501" s="11">
        <f>-(F501*G501*$V$3)/J501</f>
        <v>-9.2442009757767707</v>
      </c>
      <c r="M501" s="11">
        <f>ABS(L501/$V$6)</f>
        <v>2.6951023252993502E-2</v>
      </c>
      <c r="N501" s="11">
        <f>L501*SIN(RADIANS(K501))</f>
        <v>-6.9766870379234263</v>
      </c>
      <c r="O501" s="11">
        <f>L501*COS(RADIANS(K501))</f>
        <v>-6.0647415159612077</v>
      </c>
      <c r="P501" s="1">
        <v>5.2890606432037011</v>
      </c>
      <c r="Q501" s="1">
        <v>1.4875355703633752</v>
      </c>
      <c r="R501" s="1">
        <f>P501/Q501</f>
        <v>3.5555859964489382</v>
      </c>
    </row>
    <row r="502" spans="1:18" x14ac:dyDescent="0.35">
      <c r="A502" s="14">
        <v>2806</v>
      </c>
      <c r="B502" s="6">
        <v>0.1</v>
      </c>
      <c r="C502" s="6">
        <v>6000000</v>
      </c>
      <c r="D502" s="6">
        <v>5</v>
      </c>
      <c r="E502" s="6">
        <v>0.375</v>
      </c>
      <c r="F502" s="6">
        <v>3.5000000000000003E-2</v>
      </c>
      <c r="G502" s="11">
        <f>(C502*$V$4)/($V$5*$V$3)</f>
        <v>88.16326530612244</v>
      </c>
      <c r="H502" s="11">
        <f>G502*COS(RADIANS(D502))</f>
        <v>87.827777464415107</v>
      </c>
      <c r="I502" s="11">
        <f>G502*SIN(RADIANS(D502))</f>
        <v>7.6839348708139434</v>
      </c>
      <c r="J502" s="12">
        <v>0.16789999999999999</v>
      </c>
      <c r="K502" s="11">
        <v>85</v>
      </c>
      <c r="L502" s="11">
        <f>-(F502*G502*$V$3)/J502</f>
        <v>-18.378286394962991</v>
      </c>
      <c r="M502" s="11">
        <f>ABS(L502/$V$6)</f>
        <v>5.3581009897851285E-2</v>
      </c>
      <c r="N502" s="11">
        <f>L502*SIN(RADIANS(K502))</f>
        <v>-18.308351466673791</v>
      </c>
      <c r="O502" s="11">
        <f>L502*COS(RADIANS(K502))</f>
        <v>-1.6017732011821799</v>
      </c>
      <c r="P502" s="1">
        <v>1.7819084290821778</v>
      </c>
      <c r="Q502" s="1">
        <v>0.33455214945233391</v>
      </c>
      <c r="R502" s="1">
        <f>P502/Q502</f>
        <v>5.3262501287144151</v>
      </c>
    </row>
    <row r="503" spans="1:18" x14ac:dyDescent="0.35">
      <c r="A503" s="14">
        <v>2829</v>
      </c>
      <c r="B503" s="6">
        <v>0.5</v>
      </c>
      <c r="C503" s="6">
        <v>4000000</v>
      </c>
      <c r="D503" s="6">
        <v>0</v>
      </c>
      <c r="E503" s="6">
        <v>0.25</v>
      </c>
      <c r="F503" s="6">
        <v>0.15</v>
      </c>
      <c r="G503" s="11">
        <f>(C503*$V$4)/($V$5*$V$3)</f>
        <v>58.775510204081627</v>
      </c>
      <c r="H503" s="11">
        <f>G503*COS(RADIANS(D503))</f>
        <v>58.775510204081627</v>
      </c>
      <c r="I503" s="11">
        <f>G503*SIN(RADIANS(D503))</f>
        <v>0</v>
      </c>
      <c r="J503" s="11">
        <v>0.23580000000000001</v>
      </c>
      <c r="K503" s="11">
        <v>49</v>
      </c>
      <c r="L503" s="11">
        <f>-(F503*G503*$V$3)/J503</f>
        <v>-37.389001402087544</v>
      </c>
      <c r="M503" s="11">
        <f>ABS(L503/$V$6)</f>
        <v>0.10900583499150887</v>
      </c>
      <c r="N503" s="11">
        <f>L503*SIN(RADIANS(K503))</f>
        <v>-28.217837553118123</v>
      </c>
      <c r="O503" s="11">
        <f>L503*COS(RADIANS(K503))</f>
        <v>-24.529391954778269</v>
      </c>
      <c r="P503" s="1">
        <v>5.3251282231692656</v>
      </c>
      <c r="Q503" s="1">
        <v>-0.42864081446858776</v>
      </c>
      <c r="R503" s="1">
        <f>P503/Q503</f>
        <v>-12.423287851790672</v>
      </c>
    </row>
    <row r="504" spans="1:18" x14ac:dyDescent="0.35">
      <c r="A504" s="14">
        <v>2808</v>
      </c>
      <c r="B504" s="6">
        <v>1</v>
      </c>
      <c r="C504" s="6">
        <v>2000000</v>
      </c>
      <c r="D504" s="6">
        <v>5</v>
      </c>
      <c r="E504" s="6">
        <v>0.375</v>
      </c>
      <c r="F504" s="6">
        <v>3.5000000000000003E-2</v>
      </c>
      <c r="G504" s="11">
        <f>(C504*$V$4)/($V$5*$V$3)</f>
        <v>29.387755102040813</v>
      </c>
      <c r="H504" s="11">
        <f>G504*COS(RADIANS(D504))</f>
        <v>29.275925821471702</v>
      </c>
      <c r="I504" s="11">
        <f>G504*SIN(RADIANS(D504))</f>
        <v>2.5613116236046478</v>
      </c>
      <c r="J504" s="12">
        <v>0.33379999999999999</v>
      </c>
      <c r="K504" s="11">
        <v>49</v>
      </c>
      <c r="L504" s="11">
        <f>-(F504*G504*$V$3)/J504</f>
        <v>-3.0814003252589233</v>
      </c>
      <c r="M504" s="11">
        <f>ABS(L504/$V$6)</f>
        <v>8.983674417664499E-3</v>
      </c>
      <c r="N504" s="11">
        <f>L504*SIN(RADIANS(K504))</f>
        <v>-2.325562345974475</v>
      </c>
      <c r="O504" s="11">
        <f>L504*COS(RADIANS(K504))</f>
        <v>-2.0215805053204026</v>
      </c>
      <c r="P504" s="1">
        <v>4.639232188012028</v>
      </c>
      <c r="Q504" s="1">
        <v>-0.15343667626961741</v>
      </c>
      <c r="R504" s="1">
        <f>P504/Q504</f>
        <v>-30.235484115023549</v>
      </c>
    </row>
    <row r="505" spans="1:18" x14ac:dyDescent="0.35">
      <c r="A505" s="14">
        <v>2809</v>
      </c>
      <c r="B505" s="6">
        <v>0.5</v>
      </c>
      <c r="C505" s="6">
        <v>4000000</v>
      </c>
      <c r="D505" s="6">
        <v>30</v>
      </c>
      <c r="E505" s="6">
        <v>0.125</v>
      </c>
      <c r="F505" s="6">
        <v>1.4999999999999999E-2</v>
      </c>
      <c r="G505" s="11">
        <f>(C505*$V$4)/($V$5*$V$3)</f>
        <v>58.775510204081627</v>
      </c>
      <c r="H505" s="11">
        <f>G505*COS(RADIANS(D505))</f>
        <v>50.901084957126187</v>
      </c>
      <c r="I505" s="11">
        <f>G505*SIN(RADIANS(D505))</f>
        <v>29.38775510204081</v>
      </c>
      <c r="J505" s="12">
        <v>0.23300000000000001</v>
      </c>
      <c r="K505" s="11">
        <v>27</v>
      </c>
      <c r="L505" s="11">
        <f>-(F505*G505*$V$3)/J505</f>
        <v>-3.7838311290181301</v>
      </c>
      <c r="M505" s="11">
        <f>ABS(L505/$V$6)</f>
        <v>1.1031577635621371E-2</v>
      </c>
      <c r="N505" s="11">
        <f>L505*SIN(RADIANS(K505))</f>
        <v>-1.7178233851929943</v>
      </c>
      <c r="O505" s="11">
        <f>L505*COS(RADIANS(K505))</f>
        <v>-3.371418222382192</v>
      </c>
      <c r="P505" s="1">
        <v>2.9380891687265875</v>
      </c>
      <c r="Q505" s="1">
        <v>1.2141932736023957</v>
      </c>
      <c r="R505" s="1">
        <f>P505/Q505</f>
        <v>2.4197870574670186</v>
      </c>
    </row>
    <row r="506" spans="1:18" x14ac:dyDescent="0.35">
      <c r="A506" s="14">
        <v>2810</v>
      </c>
      <c r="B506" s="6">
        <v>0.25</v>
      </c>
      <c r="C506" s="6">
        <v>6000000</v>
      </c>
      <c r="D506" s="6">
        <v>15</v>
      </c>
      <c r="E506" s="6">
        <v>0.375</v>
      </c>
      <c r="F506" s="6">
        <v>2.5000000000000001E-2</v>
      </c>
      <c r="G506" s="11">
        <f>(C506*$V$4)/($V$5*$V$3)</f>
        <v>88.16326530612244</v>
      </c>
      <c r="H506" s="11">
        <f>G506*COS(RADIANS(D506))</f>
        <v>85.159174889158663</v>
      </c>
      <c r="I506" s="11">
        <f>G506*SIN(RADIANS(D506))</f>
        <v>22.818332139650806</v>
      </c>
      <c r="J506" s="11">
        <v>0.1976</v>
      </c>
      <c r="K506" s="12">
        <v>78</v>
      </c>
      <c r="L506" s="11">
        <f>-(F506*G506*$V$3)/J506</f>
        <v>-11.154259274560026</v>
      </c>
      <c r="M506" s="11">
        <f>ABS(L506/$V$6)</f>
        <v>3.251970633982515E-2</v>
      </c>
      <c r="N506" s="11">
        <f>L506*SIN(RADIANS(K506))</f>
        <v>-10.910511947373688</v>
      </c>
      <c r="O506" s="11">
        <f>L506*COS(RADIANS(K506))</f>
        <v>-2.3191009055934502</v>
      </c>
      <c r="P506" s="1">
        <v>2.1932458544853701</v>
      </c>
      <c r="Q506" s="1">
        <v>0.48795996293746663</v>
      </c>
      <c r="R506" s="1">
        <f>P506/Q506</f>
        <v>4.4947250206395326</v>
      </c>
    </row>
    <row r="507" spans="1:18" x14ac:dyDescent="0.35">
      <c r="A507" s="14">
        <v>2811</v>
      </c>
      <c r="B507" s="6">
        <v>1</v>
      </c>
      <c r="C507" s="6">
        <v>4000000</v>
      </c>
      <c r="D507" s="6">
        <v>20</v>
      </c>
      <c r="E507" s="6">
        <v>0.25</v>
      </c>
      <c r="F507" s="6">
        <v>0.05</v>
      </c>
      <c r="G507" s="11">
        <f>(C507*$V$4)/($V$5*$V$3)</f>
        <v>58.775510204081627</v>
      </c>
      <c r="H507" s="11">
        <f>G507*COS(RADIANS(D507))</f>
        <v>55.230913221702366</v>
      </c>
      <c r="I507" s="11">
        <f>G507*SIN(RADIANS(D507))</f>
        <v>20.102408424039304</v>
      </c>
      <c r="J507" s="13">
        <v>0.33379999999999999</v>
      </c>
      <c r="K507" s="12">
        <v>30</v>
      </c>
      <c r="L507" s="11">
        <f>-(F507*G507*$V$3)/J507</f>
        <v>-8.8040009293112096</v>
      </c>
      <c r="M507" s="11">
        <f>ABS(L507/$V$6)</f>
        <v>2.566764119332714E-2</v>
      </c>
      <c r="N507" s="11">
        <f>L507*SIN(RADIANS(K507))</f>
        <v>-4.4020004646556039</v>
      </c>
      <c r="O507" s="11">
        <f>L507*COS(RADIANS(K507))</f>
        <v>-7.6244884597253142</v>
      </c>
      <c r="P507" s="1">
        <v>3.5575681424166645</v>
      </c>
      <c r="Q507" s="1">
        <v>1.3011377435966769</v>
      </c>
      <c r="R507" s="1">
        <f>P507/Q507</f>
        <v>2.734197943242072</v>
      </c>
    </row>
    <row r="508" spans="1:18" x14ac:dyDescent="0.35">
      <c r="A508" s="14">
        <v>2812</v>
      </c>
      <c r="B508" s="6">
        <v>0.75</v>
      </c>
      <c r="C508" s="6">
        <v>6000000</v>
      </c>
      <c r="D508" s="6">
        <v>20</v>
      </c>
      <c r="E508" s="6">
        <v>0.25</v>
      </c>
      <c r="F508" s="6">
        <v>0</v>
      </c>
      <c r="G508" s="11">
        <f>(C508*$V$4)/($V$5*$V$3)</f>
        <v>88.16326530612244</v>
      </c>
      <c r="H508" s="11">
        <f>G508*COS(RADIANS(D508))</f>
        <v>82.846369832553549</v>
      </c>
      <c r="I508" s="11">
        <f>G508*SIN(RADIANS(D508))</f>
        <v>30.153612636058952</v>
      </c>
      <c r="J508" s="12">
        <v>0.28370000000000001</v>
      </c>
      <c r="K508" s="11">
        <v>38</v>
      </c>
      <c r="L508" s="11">
        <f>-(F508*G508*$V$3)/J508</f>
        <v>0</v>
      </c>
      <c r="M508" s="11">
        <f>ABS(L508/$V$6)</f>
        <v>0</v>
      </c>
      <c r="N508" s="11">
        <f>L508*SIN(RADIANS(K508))</f>
        <v>0</v>
      </c>
      <c r="O508" s="11">
        <f>L508*COS(RADIANS(K508))</f>
        <v>0</v>
      </c>
      <c r="P508" s="1">
        <v>5.6842132096106504</v>
      </c>
      <c r="Q508" s="1">
        <v>1.9996949290264339</v>
      </c>
      <c r="R508" s="1">
        <f>P508/Q508</f>
        <v>2.8425401930573737</v>
      </c>
    </row>
    <row r="509" spans="1:18" x14ac:dyDescent="0.35">
      <c r="A509" s="14">
        <v>2813</v>
      </c>
      <c r="B509" s="6">
        <v>1</v>
      </c>
      <c r="C509" s="6">
        <v>2000000</v>
      </c>
      <c r="D509" s="6">
        <v>0</v>
      </c>
      <c r="E509" s="6">
        <v>0.375</v>
      </c>
      <c r="F509" s="6">
        <v>0</v>
      </c>
      <c r="G509" s="11">
        <f>(C509*$V$4)/($V$5*$V$3)</f>
        <v>29.387755102040813</v>
      </c>
      <c r="H509" s="11">
        <f>G509*COS(RADIANS(D509))</f>
        <v>29.387755102040813</v>
      </c>
      <c r="I509" s="11">
        <f>G509*SIN(RADIANS(D509))</f>
        <v>0</v>
      </c>
      <c r="J509" s="12">
        <v>0.33379999999999999</v>
      </c>
      <c r="K509" s="11">
        <v>49</v>
      </c>
      <c r="L509" s="11">
        <f>-(F509*G509*$V$3)/J509</f>
        <v>0</v>
      </c>
      <c r="M509" s="11">
        <f>ABS(L509/$V$6)</f>
        <v>0</v>
      </c>
      <c r="N509" s="11">
        <f>L509*SIN(RADIANS(K509))</f>
        <v>0</v>
      </c>
      <c r="O509" s="11">
        <f>L509*COS(RADIANS(K509))</f>
        <v>0</v>
      </c>
      <c r="P509" s="1">
        <v>5.8459772426402381</v>
      </c>
      <c r="Q509" s="1">
        <v>0.33416439550520832</v>
      </c>
      <c r="R509" s="1">
        <f>P509/Q509</f>
        <v>17.494315137320253</v>
      </c>
    </row>
    <row r="510" spans="1:18" x14ac:dyDescent="0.35">
      <c r="A510" s="14">
        <v>2814</v>
      </c>
      <c r="B510" s="6">
        <v>0.75</v>
      </c>
      <c r="C510" s="6">
        <v>2000000</v>
      </c>
      <c r="D510" s="6">
        <v>20</v>
      </c>
      <c r="E510" s="6">
        <v>0.125</v>
      </c>
      <c r="F510" s="6">
        <v>3.5000000000000003E-2</v>
      </c>
      <c r="G510" s="11">
        <f>(C510*$V$4)/($V$5*$V$3)</f>
        <v>29.387755102040813</v>
      </c>
      <c r="H510" s="11">
        <f>G510*COS(RADIANS(D510))</f>
        <v>27.615456610851183</v>
      </c>
      <c r="I510" s="11">
        <f>G510*SIN(RADIANS(D510))</f>
        <v>10.051204212019652</v>
      </c>
      <c r="J510" s="12">
        <v>0.2802</v>
      </c>
      <c r="K510" s="11">
        <v>19</v>
      </c>
      <c r="L510" s="11">
        <f>-(F510*G510*$V$3)/J510</f>
        <v>-3.6708473539308653</v>
      </c>
      <c r="M510" s="11">
        <f>ABS(L510/$V$6)</f>
        <v>1.0702178874434009E-2</v>
      </c>
      <c r="N510" s="11">
        <f>L510*SIN(RADIANS(K510))</f>
        <v>-1.1951109983132089</v>
      </c>
      <c r="O510" s="11">
        <f>L510*COS(RADIANS(K510))</f>
        <v>-3.470854361331233</v>
      </c>
      <c r="P510" s="1">
        <v>2.3645946190097198</v>
      </c>
      <c r="Q510" s="1">
        <v>1.1449013586270591</v>
      </c>
      <c r="R510" s="1">
        <f>P510/Q510</f>
        <v>2.0653260660335757</v>
      </c>
    </row>
    <row r="511" spans="1:18" x14ac:dyDescent="0.35">
      <c r="A511" s="14">
        <v>2815</v>
      </c>
      <c r="B511" s="6">
        <v>0.1</v>
      </c>
      <c r="C511" s="6">
        <v>4000000</v>
      </c>
      <c r="D511" s="6">
        <v>0</v>
      </c>
      <c r="E511" s="6">
        <v>0.375</v>
      </c>
      <c r="F511" s="6">
        <v>2.5000000000000001E-2</v>
      </c>
      <c r="G511" s="11">
        <f>(C511*$V$4)/($V$5*$V$3)</f>
        <v>58.775510204081627</v>
      </c>
      <c r="H511" s="11">
        <f>G511*COS(RADIANS(D511))</f>
        <v>58.775510204081627</v>
      </c>
      <c r="I511" s="11">
        <f>G511*SIN(RADIANS(D511))</f>
        <v>0</v>
      </c>
      <c r="J511" s="12">
        <v>0.16789999999999999</v>
      </c>
      <c r="K511" s="11">
        <v>85</v>
      </c>
      <c r="L511" s="11">
        <f>-(F511*G511*$V$3)/J511</f>
        <v>-8.7515649499823756</v>
      </c>
      <c r="M511" s="11">
        <f>ABS(L511/$V$6)</f>
        <v>2.5514766618024418E-2</v>
      </c>
      <c r="N511" s="11">
        <f>L511*SIN(RADIANS(K511))</f>
        <v>-8.718262603177994</v>
      </c>
      <c r="O511" s="11">
        <f>L511*COS(RADIANS(K511))</f>
        <v>-0.7627491434200856</v>
      </c>
      <c r="P511" s="1">
        <v>1.4694596440432959</v>
      </c>
      <c r="Q511" s="1">
        <v>0.19558403241419037</v>
      </c>
      <c r="R511" s="1">
        <f>P511/Q511</f>
        <v>7.5131881979578257</v>
      </c>
    </row>
    <row r="512" spans="1:18" x14ac:dyDescent="0.35">
      <c r="A512" s="14">
        <v>2816</v>
      </c>
      <c r="B512" s="6">
        <v>1</v>
      </c>
      <c r="C512" s="6">
        <v>2000000</v>
      </c>
      <c r="D512" s="6">
        <v>0</v>
      </c>
      <c r="E512" s="6">
        <v>0</v>
      </c>
      <c r="F512" s="6">
        <v>1.4999999999999999E-2</v>
      </c>
      <c r="G512" s="11">
        <f>(C512*$V$4)/($V$5*$V$3)</f>
        <v>29.387755102040813</v>
      </c>
      <c r="H512" s="11">
        <f>G512*COS(RADIANS(D512))</f>
        <v>29.387755102040813</v>
      </c>
      <c r="I512" s="11">
        <f>G512*SIN(RADIANS(D512))</f>
        <v>0</v>
      </c>
      <c r="J512" s="11">
        <v>0.33379999999999999</v>
      </c>
      <c r="K512" s="12">
        <v>0</v>
      </c>
      <c r="L512" s="11">
        <f>-(F512*G512*$V$3)/J512</f>
        <v>-1.3206001393966813</v>
      </c>
      <c r="M512" s="11">
        <f>ABS(L512/$V$6)</f>
        <v>3.8501461789990708E-3</v>
      </c>
      <c r="N512" s="11">
        <f>L512*SIN(RADIANS(K512))</f>
        <v>0</v>
      </c>
      <c r="O512" s="11">
        <f>L512*COS(RADIANS(K512))</f>
        <v>-1.3206001393966813</v>
      </c>
      <c r="P512" s="1">
        <v>1.2831739626251453</v>
      </c>
      <c r="Q512" s="1">
        <v>2.1995755496640181</v>
      </c>
      <c r="R512" s="1">
        <f>P512/Q512</f>
        <v>0.58337344349056264</v>
      </c>
    </row>
    <row r="513" spans="1:18" x14ac:dyDescent="0.35">
      <c r="A513" s="14">
        <v>2817</v>
      </c>
      <c r="B513" s="6">
        <v>0.25</v>
      </c>
      <c r="C513" s="6">
        <v>2000000</v>
      </c>
      <c r="D513" s="6">
        <v>20</v>
      </c>
      <c r="E513" s="6">
        <v>0</v>
      </c>
      <c r="F513" s="6">
        <v>2.5000000000000001E-2</v>
      </c>
      <c r="G513" s="11">
        <f>(C513*$V$4)/($V$5*$V$3)</f>
        <v>29.387755102040813</v>
      </c>
      <c r="H513" s="11">
        <f>G513*COS(RADIANS(D513))</f>
        <v>27.615456610851183</v>
      </c>
      <c r="I513" s="11">
        <f>G513*SIN(RADIANS(D513))</f>
        <v>10.051204212019652</v>
      </c>
      <c r="J513" s="12">
        <v>0.18990000000000001</v>
      </c>
      <c r="K513" s="11">
        <v>0</v>
      </c>
      <c r="L513" s="11">
        <f>-(F513*G513*$V$3)/J513</f>
        <v>-3.86884611664571</v>
      </c>
      <c r="M513" s="11">
        <f>ABS(L513/$V$6)</f>
        <v>1.1279434742407318E-2</v>
      </c>
      <c r="N513" s="11">
        <f>L513*SIN(RADIANS(K513))</f>
        <v>0</v>
      </c>
      <c r="O513" s="11">
        <f>L513*COS(RADIANS(K513))</f>
        <v>-3.86884611664571</v>
      </c>
      <c r="P513" s="1">
        <v>2.0823564173154945</v>
      </c>
      <c r="Q513" s="1">
        <v>0.65352300402856478</v>
      </c>
      <c r="R513" s="1">
        <f>P513/Q513</f>
        <v>3.186355192516646</v>
      </c>
    </row>
    <row r="514" spans="1:18" x14ac:dyDescent="0.35">
      <c r="A514" s="14">
        <v>2818</v>
      </c>
      <c r="B514" s="6">
        <v>0.1</v>
      </c>
      <c r="C514" s="6">
        <v>4000000</v>
      </c>
      <c r="D514" s="6">
        <v>30</v>
      </c>
      <c r="E514" s="6">
        <v>0.125</v>
      </c>
      <c r="F514" s="6">
        <v>1.4999999999999999E-2</v>
      </c>
      <c r="G514" s="11">
        <f>(C514*$V$4)/($V$5*$V$3)</f>
        <v>58.775510204081627</v>
      </c>
      <c r="H514" s="11">
        <f>G514*COS(RADIANS(D514))</f>
        <v>50.901084957126187</v>
      </c>
      <c r="I514" s="11">
        <f>G514*SIN(RADIANS(D514))</f>
        <v>29.38775510204081</v>
      </c>
      <c r="J514" s="12">
        <v>0.1658</v>
      </c>
      <c r="K514" s="11">
        <v>69</v>
      </c>
      <c r="L514" s="11">
        <f>-(F514*G514*$V$3)/J514</f>
        <v>-5.3174466409000267</v>
      </c>
      <c r="M514" s="11">
        <f>ABS(L514/$V$6)</f>
        <v>1.5502759886005909E-2</v>
      </c>
      <c r="N514" s="11">
        <f>L514*SIN(RADIANS(K514))</f>
        <v>-4.9642641028875598</v>
      </c>
      <c r="O514" s="11">
        <f>L514*COS(RADIANS(K514))</f>
        <v>-1.9056024495158879</v>
      </c>
      <c r="P514" s="1">
        <v>1.036713256976904</v>
      </c>
      <c r="Q514" s="1">
        <v>0.89489596005068628</v>
      </c>
      <c r="R514" s="1">
        <f>P514/Q514</f>
        <v>1.1584735022361541</v>
      </c>
    </row>
    <row r="515" spans="1:18" x14ac:dyDescent="0.35">
      <c r="A515" s="14">
        <v>2819</v>
      </c>
      <c r="B515" s="6">
        <v>0.5</v>
      </c>
      <c r="C515" s="6">
        <v>6000000</v>
      </c>
      <c r="D515" s="6">
        <v>20</v>
      </c>
      <c r="E515" s="6">
        <v>0.125</v>
      </c>
      <c r="F515" s="6">
        <v>1.4999999999999999E-2</v>
      </c>
      <c r="G515" s="11">
        <f>(C515*$V$4)/($V$5*$V$3)</f>
        <v>88.16326530612244</v>
      </c>
      <c r="H515" s="11">
        <f>G515*COS(RADIANS(D515))</f>
        <v>82.846369832553549</v>
      </c>
      <c r="I515" s="11">
        <f>G515*SIN(RADIANS(D515))</f>
        <v>30.153612636058952</v>
      </c>
      <c r="J515" s="12">
        <v>0.23300000000000001</v>
      </c>
      <c r="K515" s="11">
        <v>27</v>
      </c>
      <c r="L515" s="11">
        <f>-(F515*G515*$V$3)/J515</f>
        <v>-5.6757466935271959</v>
      </c>
      <c r="M515" s="11">
        <f>ABS(L515/$V$6)</f>
        <v>1.6547366453432057E-2</v>
      </c>
      <c r="N515" s="11">
        <f>L515*SIN(RADIANS(K515))</f>
        <v>-2.5767350777894915</v>
      </c>
      <c r="O515" s="11">
        <f>L515*COS(RADIANS(K515))</f>
        <v>-5.0571273335732885</v>
      </c>
      <c r="P515" s="1">
        <v>3.3070013465773229</v>
      </c>
      <c r="Q515" s="1">
        <v>0.95595729779552929</v>
      </c>
      <c r="R515" s="1">
        <f>P515/Q515</f>
        <v>3.4593609507489327</v>
      </c>
    </row>
    <row r="516" spans="1:18" x14ac:dyDescent="0.35">
      <c r="A516" s="14">
        <v>2820</v>
      </c>
      <c r="B516" s="6">
        <v>0.1</v>
      </c>
      <c r="C516" s="6">
        <v>2000000</v>
      </c>
      <c r="D516" s="6">
        <v>30</v>
      </c>
      <c r="E516" s="6">
        <v>0.25</v>
      </c>
      <c r="F516" s="6">
        <v>1.4999999999999999E-2</v>
      </c>
      <c r="G516" s="11">
        <f>(C516*$V$4)/($V$5*$V$3)</f>
        <v>29.387755102040813</v>
      </c>
      <c r="H516" s="11">
        <f>G516*COS(RADIANS(D516))</f>
        <v>25.450542478563094</v>
      </c>
      <c r="I516" s="11">
        <f>G516*SIN(RADIANS(D516))</f>
        <v>14.693877551020405</v>
      </c>
      <c r="J516" s="11">
        <v>0.1661</v>
      </c>
      <c r="K516" s="12">
        <v>80</v>
      </c>
      <c r="L516" s="11">
        <f>-(F516*G516*$V$3)/J516</f>
        <v>-2.6539212915750285</v>
      </c>
      <c r="M516" s="11">
        <f>ABS(L516/$V$6)</f>
        <v>7.7373798588193255E-3</v>
      </c>
      <c r="N516" s="11">
        <f>L516*SIN(RADIANS(K516))</f>
        <v>-2.6136022638272607</v>
      </c>
      <c r="O516" s="11">
        <f>L516*COS(RADIANS(K516))</f>
        <v>-0.46084859595347</v>
      </c>
      <c r="P516" s="1">
        <v>1.2364733267981383</v>
      </c>
      <c r="Q516" s="1">
        <v>0.97441837180552793</v>
      </c>
      <c r="R516" s="1">
        <f>P516/Q516</f>
        <v>1.2689347436122753</v>
      </c>
    </row>
    <row r="517" spans="1:18" x14ac:dyDescent="0.35">
      <c r="A517" s="14">
        <v>2821</v>
      </c>
      <c r="B517" s="6">
        <v>0.25</v>
      </c>
      <c r="C517" s="6">
        <v>6000000</v>
      </c>
      <c r="D517" s="6">
        <v>20</v>
      </c>
      <c r="E517" s="6">
        <v>0.25</v>
      </c>
      <c r="F517" s="6">
        <v>0.05</v>
      </c>
      <c r="G517" s="11">
        <f>(C517*$V$4)/($V$5*$V$3)</f>
        <v>88.16326530612244</v>
      </c>
      <c r="H517" s="11">
        <f>G517*COS(RADIANS(D517))</f>
        <v>82.846369832553549</v>
      </c>
      <c r="I517" s="11">
        <f>G517*SIN(RADIANS(D517))</f>
        <v>30.153612636058952</v>
      </c>
      <c r="J517" s="12">
        <v>0.1913</v>
      </c>
      <c r="K517" s="11">
        <v>67</v>
      </c>
      <c r="L517" s="11">
        <f>-(F517*G517*$V$3)/J517</f>
        <v>-23.043195323084799</v>
      </c>
      <c r="M517" s="11">
        <f>ABS(L517/$V$6)</f>
        <v>6.7181327472550428E-2</v>
      </c>
      <c r="N517" s="11">
        <f>L517*SIN(RADIANS(K517))</f>
        <v>-21.211373133952133</v>
      </c>
      <c r="O517" s="11">
        <f>L517*COS(RADIANS(K517))</f>
        <v>-9.0036937125876779</v>
      </c>
      <c r="P517" s="1">
        <v>2.1976496939522416</v>
      </c>
      <c r="Q517" s="1">
        <v>0.64362624902225196</v>
      </c>
      <c r="R517" s="1">
        <f>P517/Q517</f>
        <v>3.4144811484782416</v>
      </c>
    </row>
    <row r="518" spans="1:18" x14ac:dyDescent="0.35">
      <c r="A518" s="14">
        <v>2822</v>
      </c>
      <c r="B518" s="6">
        <v>0.25</v>
      </c>
      <c r="C518" s="6">
        <v>6000000</v>
      </c>
      <c r="D518" s="6">
        <v>20</v>
      </c>
      <c r="E518" s="6">
        <v>0.25</v>
      </c>
      <c r="F518" s="6">
        <v>0</v>
      </c>
      <c r="G518" s="11">
        <f>(C518*$V$4)/($V$5*$V$3)</f>
        <v>88.16326530612244</v>
      </c>
      <c r="H518" s="11">
        <f>G518*COS(RADIANS(D518))</f>
        <v>82.846369832553549</v>
      </c>
      <c r="I518" s="11">
        <f>G518*SIN(RADIANS(D518))</f>
        <v>30.153612636058952</v>
      </c>
      <c r="J518" s="12">
        <v>0.1913</v>
      </c>
      <c r="K518" s="11">
        <v>67</v>
      </c>
      <c r="L518" s="11">
        <f>-(F518*G518*$V$3)/J518</f>
        <v>0</v>
      </c>
      <c r="M518" s="11">
        <f>ABS(L518/$V$6)</f>
        <v>0</v>
      </c>
      <c r="N518" s="11">
        <f>L518*SIN(RADIANS(K518))</f>
        <v>0</v>
      </c>
      <c r="O518" s="11">
        <f>L518*COS(RADIANS(K518))</f>
        <v>0</v>
      </c>
      <c r="P518" s="1">
        <v>2.5826333080225541</v>
      </c>
      <c r="Q518" s="1">
        <v>0.90037157989524108</v>
      </c>
      <c r="R518" s="1">
        <f>P518/Q518</f>
        <v>2.8684082946321401</v>
      </c>
    </row>
    <row r="519" spans="1:18" x14ac:dyDescent="0.35">
      <c r="A519" s="14">
        <v>2823</v>
      </c>
      <c r="B519" s="6">
        <v>0.25</v>
      </c>
      <c r="C519" s="6">
        <v>2000000</v>
      </c>
      <c r="D519" s="6">
        <v>15</v>
      </c>
      <c r="E519" s="6">
        <v>0.375</v>
      </c>
      <c r="F519" s="6">
        <v>3.5000000000000003E-2</v>
      </c>
      <c r="G519" s="11">
        <f>(C519*$V$4)/($V$5*$V$3)</f>
        <v>29.387755102040813</v>
      </c>
      <c r="H519" s="11">
        <f>G519*COS(RADIANS(D519))</f>
        <v>28.386391629719554</v>
      </c>
      <c r="I519" s="11">
        <f>G519*SIN(RADIANS(D519))</f>
        <v>7.6061107132169354</v>
      </c>
      <c r="J519" s="11">
        <v>0.1976</v>
      </c>
      <c r="K519" s="12">
        <v>78</v>
      </c>
      <c r="L519" s="11">
        <f>-(F519*G519*$V$3)/J519</f>
        <v>-5.2053209947946781</v>
      </c>
      <c r="M519" s="11">
        <f>ABS(L519/$V$6)</f>
        <v>1.5175862958585067E-2</v>
      </c>
      <c r="N519" s="11">
        <f>L519*SIN(RADIANS(K519))</f>
        <v>-5.0915722421077207</v>
      </c>
      <c r="O519" s="11">
        <f>L519*COS(RADIANS(K519))</f>
        <v>-1.0822470892769431</v>
      </c>
      <c r="P519" s="1">
        <v>2.3286662080151093</v>
      </c>
      <c r="Q519" s="1">
        <v>0.45554234395278109</v>
      </c>
      <c r="R519" s="1">
        <f>P519/Q519</f>
        <v>5.1118545595763223</v>
      </c>
    </row>
    <row r="520" spans="1:18" x14ac:dyDescent="0.35">
      <c r="A520" s="14">
        <v>2824</v>
      </c>
      <c r="B520" s="6">
        <v>0.1</v>
      </c>
      <c r="C520" s="6">
        <v>2000000</v>
      </c>
      <c r="D520" s="6">
        <v>0</v>
      </c>
      <c r="E520" s="6">
        <v>0</v>
      </c>
      <c r="F520" s="6">
        <v>7.4999999999999997E-2</v>
      </c>
      <c r="G520" s="11">
        <f>(C520*$V$4)/($V$5*$V$3)</f>
        <v>29.387755102040813</v>
      </c>
      <c r="H520" s="11">
        <f>G520*COS(RADIANS(D520))</f>
        <v>29.387755102040813</v>
      </c>
      <c r="I520" s="11">
        <f>G520*SIN(RADIANS(D520))</f>
        <v>0</v>
      </c>
      <c r="J520" s="11">
        <v>0.16569999999999999</v>
      </c>
      <c r="K520" s="12">
        <v>0</v>
      </c>
      <c r="L520" s="11">
        <f>-(F520*G520*$V$3)/J520</f>
        <v>-13.301639303880876</v>
      </c>
      <c r="M520" s="11">
        <f>ABS(L520/$V$6)</f>
        <v>3.8780289515687683E-2</v>
      </c>
      <c r="N520" s="11">
        <f>L520*SIN(RADIANS(K520))</f>
        <v>0</v>
      </c>
      <c r="O520" s="11">
        <f>L520*COS(RADIANS(K520))</f>
        <v>-13.301639303880876</v>
      </c>
      <c r="P520" s="1">
        <v>1.2790483173782201</v>
      </c>
      <c r="Q520" s="1">
        <v>0.19722492865332414</v>
      </c>
      <c r="R520" s="1">
        <f>P520/Q520</f>
        <v>6.4852264169226377</v>
      </c>
    </row>
    <row r="521" spans="1:18" x14ac:dyDescent="0.35">
      <c r="A521" s="14">
        <v>2825</v>
      </c>
      <c r="B521" s="6">
        <v>0.25</v>
      </c>
      <c r="C521" s="6">
        <v>4000000</v>
      </c>
      <c r="D521" s="6">
        <v>20</v>
      </c>
      <c r="E521" s="6">
        <v>0.25</v>
      </c>
      <c r="F521" s="6">
        <v>3.5000000000000003E-2</v>
      </c>
      <c r="G521" s="11">
        <f>(C521*$V$4)/($V$5*$V$3)</f>
        <v>58.775510204081627</v>
      </c>
      <c r="H521" s="11">
        <f>G521*COS(RADIANS(D521))</f>
        <v>55.230913221702366</v>
      </c>
      <c r="I521" s="11">
        <f>G521*SIN(RADIANS(D521))</f>
        <v>20.102408424039304</v>
      </c>
      <c r="J521" s="12">
        <v>0.1913</v>
      </c>
      <c r="K521" s="11">
        <v>67</v>
      </c>
      <c r="L521" s="11">
        <f>-(F521*G521*$V$3)/J521</f>
        <v>-10.753491150772906</v>
      </c>
      <c r="M521" s="11">
        <f>ABS(L521/$V$6)</f>
        <v>3.1351286153856871E-2</v>
      </c>
      <c r="N521" s="11">
        <f>L521*SIN(RADIANS(K521))</f>
        <v>-9.8986407958443277</v>
      </c>
      <c r="O521" s="11">
        <f>L521*COS(RADIANS(K521))</f>
        <v>-4.2017237325409162</v>
      </c>
      <c r="P521" s="1">
        <v>2.231198024495801</v>
      </c>
      <c r="Q521" s="1">
        <v>0.65379965335137546</v>
      </c>
      <c r="R521" s="1">
        <f>P521/Q521</f>
        <v>3.4126632112126174</v>
      </c>
    </row>
    <row r="522" spans="1:18" x14ac:dyDescent="0.35">
      <c r="A522" s="14">
        <v>2868</v>
      </c>
      <c r="B522" s="6">
        <v>0.5</v>
      </c>
      <c r="C522" s="6">
        <v>4000000</v>
      </c>
      <c r="D522" s="6">
        <v>5</v>
      </c>
      <c r="E522" s="6">
        <v>0.25</v>
      </c>
      <c r="F522" s="6">
        <v>0.15</v>
      </c>
      <c r="G522" s="11">
        <f>(C522*$V$4)/($V$5*$V$3)</f>
        <v>58.775510204081627</v>
      </c>
      <c r="H522" s="11">
        <f>G522*COS(RADIANS(D522))</f>
        <v>58.551851642943404</v>
      </c>
      <c r="I522" s="11">
        <f>G522*SIN(RADIANS(D522))</f>
        <v>5.1226232472092956</v>
      </c>
      <c r="J522" s="20">
        <v>0.23580000000000001</v>
      </c>
      <c r="K522" s="11">
        <v>49</v>
      </c>
      <c r="L522" s="11">
        <f>-(F522*G522*$V$3)/J522</f>
        <v>-37.389001402087544</v>
      </c>
      <c r="M522" s="11">
        <f>ABS(L522/$V$6)</f>
        <v>0.10900583499150887</v>
      </c>
      <c r="N522" s="11">
        <f>L522*SIN(RADIANS(K522))</f>
        <v>-28.217837553118123</v>
      </c>
      <c r="O522" s="11">
        <f>L522*COS(RADIANS(K522))</f>
        <v>-24.529391954778269</v>
      </c>
      <c r="P522" s="1">
        <v>5.6536785568388925</v>
      </c>
      <c r="Q522" s="1">
        <v>-0.11561884559628147</v>
      </c>
      <c r="R522" s="1">
        <f>P522/Q522</f>
        <v>-48.899282186058485</v>
      </c>
    </row>
    <row r="523" spans="1:18" x14ac:dyDescent="0.35">
      <c r="A523" s="14">
        <v>2827</v>
      </c>
      <c r="B523" s="6">
        <v>1</v>
      </c>
      <c r="C523" s="6">
        <v>4000000</v>
      </c>
      <c r="D523" s="6">
        <v>30</v>
      </c>
      <c r="E523" s="6">
        <v>0.125</v>
      </c>
      <c r="F523" s="6">
        <v>2.5000000000000001E-2</v>
      </c>
      <c r="G523" s="11">
        <f>(C523*$V$4)/($V$5*$V$3)</f>
        <v>58.775510204081627</v>
      </c>
      <c r="H523" s="11">
        <f>G523*COS(RADIANS(D523))</f>
        <v>50.901084957126187</v>
      </c>
      <c r="I523" s="11">
        <f>G523*SIN(RADIANS(D523))</f>
        <v>29.38775510204081</v>
      </c>
      <c r="J523" s="11">
        <v>0.33379999999999999</v>
      </c>
      <c r="K523" s="12">
        <v>14</v>
      </c>
      <c r="L523" s="11">
        <f>-(F523*G523*$V$3)/J523</f>
        <v>-4.4020004646556048</v>
      </c>
      <c r="M523" s="11">
        <f>ABS(L523/$V$6)</f>
        <v>1.283382059666357E-2</v>
      </c>
      <c r="N523" s="11">
        <f>L523*SIN(RADIANS(K523))</f>
        <v>-1.0649402968401021</v>
      </c>
      <c r="O523" s="11">
        <f>L523*COS(RADIANS(K523))</f>
        <v>-4.2712422379202843</v>
      </c>
      <c r="P523" s="1">
        <v>3.521881986078542</v>
      </c>
      <c r="Q523" s="1">
        <v>1.3808144048369304</v>
      </c>
      <c r="R523" s="1">
        <f>P523/Q523</f>
        <v>2.5505831730474049</v>
      </c>
    </row>
    <row r="524" spans="1:18" x14ac:dyDescent="0.35">
      <c r="A524" s="14">
        <v>2828</v>
      </c>
      <c r="B524" s="6">
        <v>0.5</v>
      </c>
      <c r="C524" s="6">
        <v>6000000</v>
      </c>
      <c r="D524" s="6">
        <v>30</v>
      </c>
      <c r="E524" s="6">
        <v>0.25</v>
      </c>
      <c r="F524" s="6">
        <v>3.5000000000000003E-2</v>
      </c>
      <c r="G524" s="11">
        <f>(C524*$V$4)/($V$5*$V$3)</f>
        <v>88.16326530612244</v>
      </c>
      <c r="H524" s="11">
        <f>G524*COS(RADIANS(D524))</f>
        <v>76.351627435689281</v>
      </c>
      <c r="I524" s="11">
        <f>G524*SIN(RADIANS(D524))</f>
        <v>44.081632653061213</v>
      </c>
      <c r="J524" s="11">
        <v>0.23580000000000001</v>
      </c>
      <c r="K524" s="11">
        <v>49</v>
      </c>
      <c r="L524" s="11">
        <f>-(F524*G524*$V$3)/J524</f>
        <v>-13.086150490730644</v>
      </c>
      <c r="M524" s="11">
        <f>ABS(L524/$V$6)</f>
        <v>3.8152042247028117E-2</v>
      </c>
      <c r="N524" s="11">
        <f>L524*SIN(RADIANS(K524))</f>
        <v>-9.8762431435913456</v>
      </c>
      <c r="O524" s="11">
        <f>L524*COS(RADIANS(K524))</f>
        <v>-8.5852871841723957</v>
      </c>
      <c r="P524" s="1">
        <v>2.8598452801002323</v>
      </c>
      <c r="Q524" s="1">
        <v>1.0751170573740334</v>
      </c>
      <c r="R524" s="1">
        <f>P524/Q524</f>
        <v>2.6600315384125577</v>
      </c>
    </row>
    <row r="525" spans="1:18" x14ac:dyDescent="0.35">
      <c r="A525" s="14">
        <v>2711</v>
      </c>
      <c r="B525" s="6">
        <v>0.5</v>
      </c>
      <c r="C525" s="6">
        <v>6000000</v>
      </c>
      <c r="D525" s="6">
        <v>5</v>
      </c>
      <c r="E525" s="6">
        <v>0.375</v>
      </c>
      <c r="F525" s="6">
        <v>0.1</v>
      </c>
      <c r="G525" s="11">
        <f>(C525*$V$4)/($V$5*$V$3)</f>
        <v>88.16326530612244</v>
      </c>
      <c r="H525" s="11">
        <f>G525*COS(RADIANS(D525))</f>
        <v>87.827777464415107</v>
      </c>
      <c r="I525" s="11">
        <f>G525*SIN(RADIANS(D525))</f>
        <v>7.6839348708139434</v>
      </c>
      <c r="J525" s="19">
        <v>0.24809999999999999</v>
      </c>
      <c r="K525" s="11">
        <v>67</v>
      </c>
      <c r="L525" s="11">
        <f>-(F525*G525*$V$3)/J525</f>
        <v>-35.535374972237989</v>
      </c>
      <c r="M525" s="11">
        <f>ABS(L525/$V$6)</f>
        <v>0.10360167630390084</v>
      </c>
      <c r="N525" s="11">
        <f>L525*SIN(RADIANS(K525))</f>
        <v>-32.710485131197444</v>
      </c>
      <c r="O525" s="11">
        <f>L525*COS(RADIANS(K525))</f>
        <v>-13.884777164192043</v>
      </c>
      <c r="P525" s="1">
        <v>4.0225744492095936</v>
      </c>
      <c r="Q525" s="1">
        <v>-0.15858361625675393</v>
      </c>
      <c r="R525" s="1">
        <f>P525/Q525</f>
        <v>-25.365637032118542</v>
      </c>
    </row>
    <row r="526" spans="1:18" x14ac:dyDescent="0.35">
      <c r="A526" s="14">
        <v>2830</v>
      </c>
      <c r="B526" s="6">
        <v>0.1</v>
      </c>
      <c r="C526" s="6">
        <v>4000000</v>
      </c>
      <c r="D526" s="6">
        <v>30</v>
      </c>
      <c r="E526" s="6">
        <v>0</v>
      </c>
      <c r="F526" s="6">
        <v>7.4999999999999997E-2</v>
      </c>
      <c r="G526" s="11">
        <f>(C526*$V$4)/($V$5*$V$3)</f>
        <v>58.775510204081627</v>
      </c>
      <c r="H526" s="11">
        <f>G526*COS(RADIANS(D526))</f>
        <v>50.901084957126187</v>
      </c>
      <c r="I526" s="11">
        <f>G526*SIN(RADIANS(D526))</f>
        <v>29.38775510204081</v>
      </c>
      <c r="J526" s="11">
        <v>0.16569999999999999</v>
      </c>
      <c r="K526" s="12">
        <v>0</v>
      </c>
      <c r="L526" s="11">
        <f>-(F526*G526*$V$3)/J526</f>
        <v>-26.603278607761752</v>
      </c>
      <c r="M526" s="11">
        <f>ABS(L526/$V$6)</f>
        <v>7.7560579031375365E-2</v>
      </c>
      <c r="N526" s="11">
        <f>L526*SIN(RADIANS(K526))</f>
        <v>0</v>
      </c>
      <c r="O526" s="11">
        <f>L526*COS(RADIANS(K526))</f>
        <v>-26.603278607761752</v>
      </c>
      <c r="P526" s="1">
        <v>1.7469342694752357</v>
      </c>
      <c r="Q526" s="1">
        <v>1.0156740685071599</v>
      </c>
      <c r="R526" s="1">
        <f>P526/Q526</f>
        <v>1.7199752594283357</v>
      </c>
    </row>
    <row r="527" spans="1:18" x14ac:dyDescent="0.35">
      <c r="A527" s="14">
        <v>2831</v>
      </c>
      <c r="B527" s="6">
        <v>1</v>
      </c>
      <c r="C527" s="6">
        <v>2000000</v>
      </c>
      <c r="D527" s="6">
        <v>15</v>
      </c>
      <c r="E527" s="6">
        <v>0.125</v>
      </c>
      <c r="F527" s="6">
        <v>7.4999999999999997E-2</v>
      </c>
      <c r="G527" s="11">
        <f>(C527*$V$4)/($V$5*$V$3)</f>
        <v>29.387755102040813</v>
      </c>
      <c r="H527" s="11">
        <f>G527*COS(RADIANS(D527))</f>
        <v>28.386391629719554</v>
      </c>
      <c r="I527" s="11">
        <f>G527*SIN(RADIANS(D527))</f>
        <v>7.6061107132169354</v>
      </c>
      <c r="J527" s="11">
        <v>0.33379999999999999</v>
      </c>
      <c r="K527" s="12">
        <v>14</v>
      </c>
      <c r="L527" s="11">
        <f>-(F527*G527*$V$3)/J527</f>
        <v>-6.6030006969834067</v>
      </c>
      <c r="M527" s="11">
        <f>ABS(L527/$V$6)</f>
        <v>1.9250730894995356E-2</v>
      </c>
      <c r="N527" s="11">
        <f>L527*SIN(RADIANS(K527))</f>
        <v>-1.597410445260153</v>
      </c>
      <c r="O527" s="11">
        <f>L527*COS(RADIANS(K527))</f>
        <v>-6.4068633568804252</v>
      </c>
      <c r="P527" s="1">
        <v>2.9983847070769389</v>
      </c>
      <c r="Q527" s="1">
        <v>0.90993500878798728</v>
      </c>
      <c r="R527" s="1">
        <f>P527/Q527</f>
        <v>3.2951635865408884</v>
      </c>
    </row>
    <row r="528" spans="1:18" x14ac:dyDescent="0.35">
      <c r="A528" s="14">
        <v>2832</v>
      </c>
      <c r="B528" s="6">
        <v>0.75</v>
      </c>
      <c r="C528" s="6">
        <v>6000000</v>
      </c>
      <c r="D528" s="6">
        <v>0</v>
      </c>
      <c r="E528" s="6">
        <v>0.25</v>
      </c>
      <c r="F528" s="6">
        <v>2.5000000000000001E-2</v>
      </c>
      <c r="G528" s="11">
        <f>(C528*$V$4)/($V$5*$V$3)</f>
        <v>88.16326530612244</v>
      </c>
      <c r="H528" s="11">
        <f>G528*COS(RADIANS(D528))</f>
        <v>88.16326530612244</v>
      </c>
      <c r="I528" s="11">
        <f>G528*SIN(RADIANS(D528))</f>
        <v>0</v>
      </c>
      <c r="J528" s="12">
        <v>0.28370000000000001</v>
      </c>
      <c r="K528" s="11">
        <v>38</v>
      </c>
      <c r="L528" s="11">
        <f>-(F528*G528*$V$3)/J528</f>
        <v>-7.769057570155308</v>
      </c>
      <c r="M528" s="11">
        <f>ABS(L528/$V$6)</f>
        <v>2.2650313615613142E-2</v>
      </c>
      <c r="N528" s="11">
        <f>L528*SIN(RADIANS(K528))</f>
        <v>-4.7831094455317906</v>
      </c>
      <c r="O528" s="11">
        <f>L528*COS(RADIANS(K528))</f>
        <v>-6.1221009106720921</v>
      </c>
      <c r="P528" s="1">
        <v>3.9241233009124969</v>
      </c>
      <c r="Q528" s="1">
        <v>-6.7250035170610456E-2</v>
      </c>
      <c r="R528" s="1">
        <f>P528/Q528</f>
        <v>-58.351245333287402</v>
      </c>
    </row>
    <row r="529" spans="1:18" x14ac:dyDescent="0.35">
      <c r="A529" s="14">
        <v>2833</v>
      </c>
      <c r="B529" s="6">
        <v>0.75</v>
      </c>
      <c r="C529" s="6">
        <v>2000000</v>
      </c>
      <c r="D529" s="6">
        <v>20</v>
      </c>
      <c r="E529" s="6">
        <v>0</v>
      </c>
      <c r="F529" s="6">
        <v>7.4999999999999997E-2</v>
      </c>
      <c r="G529" s="11">
        <f>(C529*$V$4)/($V$5*$V$3)</f>
        <v>29.387755102040813</v>
      </c>
      <c r="H529" s="11">
        <f>G529*COS(RADIANS(D529))</f>
        <v>27.615456610851183</v>
      </c>
      <c r="I529" s="11">
        <f>G529*SIN(RADIANS(D529))</f>
        <v>10.051204212019652</v>
      </c>
      <c r="J529" s="11">
        <v>0.27929999999999999</v>
      </c>
      <c r="K529" s="11">
        <v>0</v>
      </c>
      <c r="L529" s="11">
        <f>-(F529*G529*$V$3)/J529</f>
        <v>-7.891448738464236</v>
      </c>
      <c r="M529" s="11">
        <f>ABS(L529/$V$6)</f>
        <v>2.3007139179196022E-2</v>
      </c>
      <c r="N529" s="11">
        <f>L529*SIN(RADIANS(K529))</f>
        <v>0</v>
      </c>
      <c r="O529" s="11">
        <f>L529*COS(RADIANS(K529))</f>
        <v>-7.891448738464236</v>
      </c>
      <c r="P529" s="1">
        <v>2.4379863994414253</v>
      </c>
      <c r="Q529" s="1">
        <v>1.1167130625894575</v>
      </c>
      <c r="R529" s="1">
        <f>P529/Q529</f>
        <v>2.1831806944105874</v>
      </c>
    </row>
    <row r="530" spans="1:18" x14ac:dyDescent="0.35">
      <c r="A530" s="14">
        <v>2834</v>
      </c>
      <c r="B530" s="6">
        <v>0.1</v>
      </c>
      <c r="C530" s="6">
        <v>4000000</v>
      </c>
      <c r="D530" s="6">
        <v>30</v>
      </c>
      <c r="E530" s="6">
        <v>0.125</v>
      </c>
      <c r="F530" s="6">
        <v>0.05</v>
      </c>
      <c r="G530" s="11">
        <f>(C530*$V$4)/($V$5*$V$3)</f>
        <v>58.775510204081627</v>
      </c>
      <c r="H530" s="11">
        <f>G530*COS(RADIANS(D530))</f>
        <v>50.901084957126187</v>
      </c>
      <c r="I530" s="11">
        <f>G530*SIN(RADIANS(D530))</f>
        <v>29.38775510204081</v>
      </c>
      <c r="J530" s="12">
        <v>0.1658</v>
      </c>
      <c r="K530" s="11">
        <v>69</v>
      </c>
      <c r="L530" s="11">
        <f>-(F530*G530*$V$3)/J530</f>
        <v>-17.724822136333422</v>
      </c>
      <c r="M530" s="11">
        <f>ABS(L530/$V$6)</f>
        <v>5.1675866286686363E-2</v>
      </c>
      <c r="N530" s="11">
        <f>L530*SIN(RADIANS(K530))</f>
        <v>-16.547547009625198</v>
      </c>
      <c r="O530" s="11">
        <f>L530*COS(RADIANS(K530))</f>
        <v>-6.3520081650529594</v>
      </c>
      <c r="P530" s="1">
        <v>1.1162741386230564</v>
      </c>
      <c r="Q530" s="1">
        <v>0.89881516601312417</v>
      </c>
      <c r="R530" s="1">
        <f>P530/Q530</f>
        <v>1.2419395898430545</v>
      </c>
    </row>
    <row r="531" spans="1:18" x14ac:dyDescent="0.35">
      <c r="A531" s="14">
        <v>2835</v>
      </c>
      <c r="B531" s="6">
        <v>0.75</v>
      </c>
      <c r="C531" s="6">
        <v>4000000</v>
      </c>
      <c r="D531" s="6">
        <v>5</v>
      </c>
      <c r="E531" s="6">
        <v>0.375</v>
      </c>
      <c r="F531" s="6">
        <v>7.4999999999999997E-2</v>
      </c>
      <c r="G531" s="11">
        <f>(C531*$V$4)/($V$5*$V$3)</f>
        <v>58.775510204081627</v>
      </c>
      <c r="H531" s="11">
        <f>G531*COS(RADIANS(D531))</f>
        <v>58.551851642943404</v>
      </c>
      <c r="I531" s="11">
        <f>G531*SIN(RADIANS(D531))</f>
        <v>5.1226232472092956</v>
      </c>
      <c r="J531" s="11">
        <v>0.29299999999999998</v>
      </c>
      <c r="K531" s="12">
        <v>57</v>
      </c>
      <c r="L531" s="11">
        <f>-(F531*G531*$V$3)/J531</f>
        <v>-15.044925820157413</v>
      </c>
      <c r="M531" s="11">
        <f>ABS(L531/$V$6)</f>
        <v>4.3862757493170298E-2</v>
      </c>
      <c r="N531" s="11">
        <f>L531*SIN(RADIANS(K531))</f>
        <v>-12.617736482288192</v>
      </c>
      <c r="O531" s="11">
        <f>L531*COS(RADIANS(K531))</f>
        <v>-8.1940538805631977</v>
      </c>
      <c r="P531" s="1">
        <v>4.9307131591990085</v>
      </c>
      <c r="Q531" s="1">
        <v>-0.35011679411710805</v>
      </c>
      <c r="R531" s="1">
        <f>P531/Q531</f>
        <v>-14.083052404363585</v>
      </c>
    </row>
    <row r="532" spans="1:18" x14ac:dyDescent="0.35">
      <c r="A532" s="14">
        <v>2836</v>
      </c>
      <c r="B532" s="6">
        <v>0.25</v>
      </c>
      <c r="C532" s="6">
        <v>2000000</v>
      </c>
      <c r="D532" s="6">
        <v>5</v>
      </c>
      <c r="E532" s="6">
        <v>0.125</v>
      </c>
      <c r="F532" s="6">
        <v>1.4999999999999999E-2</v>
      </c>
      <c r="G532" s="11">
        <f>(C532*$V$4)/($V$5*$V$3)</f>
        <v>29.387755102040813</v>
      </c>
      <c r="H532" s="11">
        <f>G532*COS(RADIANS(D532))</f>
        <v>29.275925821471702</v>
      </c>
      <c r="I532" s="11">
        <f>G532*SIN(RADIANS(D532))</f>
        <v>2.5613116236046478</v>
      </c>
      <c r="J532" s="11">
        <v>0.19020000000000001</v>
      </c>
      <c r="K532" s="11">
        <v>46</v>
      </c>
      <c r="L532" s="11">
        <f>-(F532*G532*$V$3)/J532</f>
        <v>-2.3176463014227768</v>
      </c>
      <c r="M532" s="11">
        <f>ABS(L532/$V$6)</f>
        <v>6.7569863015241307E-3</v>
      </c>
      <c r="N532" s="11">
        <f>L532*SIN(RADIANS(K532))</f>
        <v>-1.6671752277210734</v>
      </c>
      <c r="O532" s="11">
        <f>L532*COS(RADIANS(K532))</f>
        <v>-1.6099724030466682</v>
      </c>
      <c r="P532" s="1">
        <v>2.0706626631400291</v>
      </c>
      <c r="Q532" s="1">
        <v>0.34403751027827845</v>
      </c>
      <c r="R532" s="1">
        <f>P532/Q532</f>
        <v>6.0187119173870061</v>
      </c>
    </row>
    <row r="533" spans="1:18" x14ac:dyDescent="0.35">
      <c r="A533" s="14">
        <v>2837</v>
      </c>
      <c r="B533" s="6">
        <v>0.25</v>
      </c>
      <c r="C533" s="6">
        <v>4000000</v>
      </c>
      <c r="D533" s="6">
        <v>10</v>
      </c>
      <c r="E533" s="6">
        <v>0.125</v>
      </c>
      <c r="F533" s="6">
        <v>7.4999999999999997E-2</v>
      </c>
      <c r="G533" s="11">
        <f>(C533*$V$4)/($V$5*$V$3)</f>
        <v>58.775510204081627</v>
      </c>
      <c r="H533" s="11">
        <f>G533*COS(RADIANS(D533))</f>
        <v>57.882578136227728</v>
      </c>
      <c r="I533" s="11">
        <f>G533*SIN(RADIANS(D533))</f>
        <v>10.206260238382843</v>
      </c>
      <c r="J533" s="11">
        <v>0.19020000000000001</v>
      </c>
      <c r="K533" s="11">
        <v>46</v>
      </c>
      <c r="L533" s="11">
        <f>-(F533*G533*$V$3)/J533</f>
        <v>-23.176463014227771</v>
      </c>
      <c r="M533" s="11">
        <f>ABS(L533/$V$6)</f>
        <v>6.7569863015241316E-2</v>
      </c>
      <c r="N533" s="11">
        <f>L533*SIN(RADIANS(K533))</f>
        <v>-16.671752277210736</v>
      </c>
      <c r="O533" s="11">
        <f>L533*COS(RADIANS(K533))</f>
        <v>-16.099724030466682</v>
      </c>
      <c r="P533" s="1">
        <v>2.4985490607190131</v>
      </c>
      <c r="Q533" s="1">
        <v>0.41819109588818548</v>
      </c>
      <c r="R533" s="1">
        <f>P533/Q533</f>
        <v>5.9746586794546834</v>
      </c>
    </row>
    <row r="534" spans="1:18" x14ac:dyDescent="0.35">
      <c r="A534" s="14">
        <v>2838</v>
      </c>
      <c r="B534" s="6">
        <v>0.75</v>
      </c>
      <c r="C534" s="6">
        <v>2000000</v>
      </c>
      <c r="D534" s="6">
        <v>20</v>
      </c>
      <c r="E534" s="6">
        <v>0</v>
      </c>
      <c r="F534" s="6">
        <v>2.5000000000000001E-2</v>
      </c>
      <c r="G534" s="11">
        <f>(C534*$V$4)/($V$5*$V$3)</f>
        <v>29.387755102040813</v>
      </c>
      <c r="H534" s="11">
        <f>G534*COS(RADIANS(D534))</f>
        <v>27.615456610851183</v>
      </c>
      <c r="I534" s="11">
        <f>G534*SIN(RADIANS(D534))</f>
        <v>10.051204212019652</v>
      </c>
      <c r="J534" s="11">
        <v>0.27929999999999999</v>
      </c>
      <c r="K534" s="11">
        <v>0</v>
      </c>
      <c r="L534" s="11">
        <f>-(F534*G534*$V$3)/J534</f>
        <v>-2.630482912821412</v>
      </c>
      <c r="M534" s="11">
        <f>ABS(L534/$V$6)</f>
        <v>7.6690463930653412E-3</v>
      </c>
      <c r="N534" s="11">
        <f>L534*SIN(RADIANS(K534))</f>
        <v>0</v>
      </c>
      <c r="O534" s="11">
        <f>L534*COS(RADIANS(K534))</f>
        <v>-2.630482912821412</v>
      </c>
      <c r="P534" s="1">
        <v>0.63941222391579033</v>
      </c>
      <c r="Q534" s="1">
        <v>1.530833035253971</v>
      </c>
      <c r="R534" s="1">
        <f>P534/Q534</f>
        <v>0.4176890681025246</v>
      </c>
    </row>
    <row r="535" spans="1:18" x14ac:dyDescent="0.35">
      <c r="A535" s="14">
        <v>2839</v>
      </c>
      <c r="B535" s="6">
        <v>0.1</v>
      </c>
      <c r="C535" s="6">
        <v>2000000</v>
      </c>
      <c r="D535" s="6">
        <v>10</v>
      </c>
      <c r="E535" s="6">
        <v>0.25</v>
      </c>
      <c r="F535" s="6">
        <v>3.5000000000000003E-2</v>
      </c>
      <c r="G535" s="11">
        <f>(C535*$V$4)/($V$5*$V$3)</f>
        <v>29.387755102040813</v>
      </c>
      <c r="H535" s="11">
        <f>G535*COS(RADIANS(D535))</f>
        <v>28.941289068113864</v>
      </c>
      <c r="I535" s="11">
        <f>G535*SIN(RADIANS(D535))</f>
        <v>5.1031301191914213</v>
      </c>
      <c r="J535" s="11">
        <v>0.1661</v>
      </c>
      <c r="K535" s="12">
        <v>80</v>
      </c>
      <c r="L535" s="11">
        <f>-(F535*G535*$V$3)/J535</f>
        <v>-6.1924830136750657</v>
      </c>
      <c r="M535" s="11">
        <f>ABS(L535/$V$6)</f>
        <v>1.8053886337245091E-2</v>
      </c>
      <c r="N535" s="11">
        <f>L535*SIN(RADIANS(K535))</f>
        <v>-6.0984052822636077</v>
      </c>
      <c r="O535" s="11">
        <f>L535*COS(RADIANS(K535))</f>
        <v>-1.0753133905580965</v>
      </c>
      <c r="P535" s="1">
        <v>1.6174319816356277</v>
      </c>
      <c r="Q535" s="1">
        <v>0.48019653006354257</v>
      </c>
      <c r="R535" s="1">
        <f>P535/Q535</f>
        <v>3.3682708648927537</v>
      </c>
    </row>
    <row r="536" spans="1:18" x14ac:dyDescent="0.35">
      <c r="A536" s="14">
        <v>2840</v>
      </c>
      <c r="B536" s="6">
        <v>0.75</v>
      </c>
      <c r="C536" s="6">
        <v>6000000</v>
      </c>
      <c r="D536" s="6">
        <v>5</v>
      </c>
      <c r="E536" s="6">
        <v>0.375</v>
      </c>
      <c r="F536" s="6">
        <v>0</v>
      </c>
      <c r="G536" s="11">
        <f>(C536*$V$4)/($V$5*$V$3)</f>
        <v>88.16326530612244</v>
      </c>
      <c r="H536" s="11">
        <f>G536*COS(RADIANS(D536))</f>
        <v>87.827777464415107</v>
      </c>
      <c r="I536" s="11">
        <f>G536*SIN(RADIANS(D536))</f>
        <v>7.6839348708139434</v>
      </c>
      <c r="J536" s="11">
        <v>0.29299999999999998</v>
      </c>
      <c r="K536" s="12">
        <v>57</v>
      </c>
      <c r="L536" s="11">
        <f>-(F536*G536*$V$3)/J536</f>
        <v>0</v>
      </c>
      <c r="M536" s="11">
        <f>ABS(L536/$V$6)</f>
        <v>0</v>
      </c>
      <c r="N536" s="11">
        <f>L536*SIN(RADIANS(K536))</f>
        <v>0</v>
      </c>
      <c r="O536" s="11">
        <f>L536*COS(RADIANS(K536))</f>
        <v>0</v>
      </c>
      <c r="P536" s="1">
        <v>5.1090768075854793</v>
      </c>
      <c r="Q536" s="1">
        <v>0.67134345241319859</v>
      </c>
      <c r="R536" s="1">
        <f>P536/Q536</f>
        <v>7.6102281019059435</v>
      </c>
    </row>
    <row r="537" spans="1:18" x14ac:dyDescent="0.35">
      <c r="A537" s="14">
        <v>2841</v>
      </c>
      <c r="B537" s="6">
        <v>0.75</v>
      </c>
      <c r="C537" s="6">
        <v>6000000</v>
      </c>
      <c r="D537" s="6">
        <v>10</v>
      </c>
      <c r="E537" s="6">
        <v>0.25</v>
      </c>
      <c r="F537" s="6">
        <v>7.4999999999999997E-2</v>
      </c>
      <c r="G537" s="11">
        <f>(C537*$V$4)/($V$5*$V$3)</f>
        <v>88.16326530612244</v>
      </c>
      <c r="H537" s="11">
        <f>G537*COS(RADIANS(D537))</f>
        <v>86.823867204341596</v>
      </c>
      <c r="I537" s="11">
        <f>G537*SIN(RADIANS(D537))</f>
        <v>15.309390357574264</v>
      </c>
      <c r="J537" s="12">
        <v>0.28370000000000001</v>
      </c>
      <c r="K537" s="11">
        <v>38</v>
      </c>
      <c r="L537" s="11">
        <f>-(F537*G537*$V$3)/J537</f>
        <v>-23.307172710465924</v>
      </c>
      <c r="M537" s="11">
        <f>ABS(L537/$V$6)</f>
        <v>6.7950940846839433E-2</v>
      </c>
      <c r="N537" s="11">
        <f>L537*SIN(RADIANS(K537))</f>
        <v>-14.349328336595372</v>
      </c>
      <c r="O537" s="11">
        <f>L537*COS(RADIANS(K537))</f>
        <v>-18.366302732016276</v>
      </c>
      <c r="P537" s="1">
        <v>3.8602294681235363</v>
      </c>
      <c r="Q537" s="1">
        <v>0.34492724625616694</v>
      </c>
      <c r="R537" s="1">
        <f>P537/Q537</f>
        <v>11.191430975727158</v>
      </c>
    </row>
    <row r="538" spans="1:18" x14ac:dyDescent="0.35">
      <c r="A538" s="14">
        <v>2846</v>
      </c>
      <c r="B538" s="6">
        <v>0.5</v>
      </c>
      <c r="C538" s="6">
        <v>4000000</v>
      </c>
      <c r="D538" s="6">
        <v>20</v>
      </c>
      <c r="E538" s="6">
        <v>0.375</v>
      </c>
      <c r="F538" s="6">
        <v>0.15</v>
      </c>
      <c r="G538" s="11">
        <f>(C538*$V$4)/($V$5*$V$3)</f>
        <v>58.775510204081627</v>
      </c>
      <c r="H538" s="11">
        <f>G538*COS(RADIANS(D538))</f>
        <v>55.230913221702366</v>
      </c>
      <c r="I538" s="11">
        <f>G538*SIN(RADIANS(D538))</f>
        <v>20.102408424039304</v>
      </c>
      <c r="J538" s="12">
        <v>0.24809999999999999</v>
      </c>
      <c r="K538" s="11">
        <v>67</v>
      </c>
      <c r="L538" s="11">
        <f>-(F538*G538*$V$3)/J538</f>
        <v>-35.535374972237989</v>
      </c>
      <c r="M538" s="11">
        <f>ABS(L538/$V$6)</f>
        <v>0.10360167630390084</v>
      </c>
      <c r="N538" s="11">
        <f>L538*SIN(RADIANS(K538))</f>
        <v>-32.710485131197444</v>
      </c>
      <c r="O538" s="11">
        <f>L538*COS(RADIANS(K538))</f>
        <v>-13.884777164192043</v>
      </c>
      <c r="P538" s="1">
        <v>5.1255781805638296</v>
      </c>
      <c r="Q538" s="1">
        <v>0.60592003002294725</v>
      </c>
      <c r="R538" s="1">
        <f>P538/Q538</f>
        <v>8.4591661054177649</v>
      </c>
    </row>
    <row r="539" spans="1:18" x14ac:dyDescent="0.35">
      <c r="A539" s="14">
        <v>2843</v>
      </c>
      <c r="B539" s="6">
        <v>0.5</v>
      </c>
      <c r="C539" s="6">
        <v>4000000</v>
      </c>
      <c r="D539" s="6">
        <v>5</v>
      </c>
      <c r="E539" s="6">
        <v>0</v>
      </c>
      <c r="F539" s="6">
        <v>0.05</v>
      </c>
      <c r="G539" s="11">
        <f>(C539*$V$4)/($V$5*$V$3)</f>
        <v>58.775510204081627</v>
      </c>
      <c r="H539" s="11">
        <f>G539*COS(RADIANS(D539))</f>
        <v>58.551851642943404</v>
      </c>
      <c r="I539" s="11">
        <f>G539*SIN(RADIANS(D539))</f>
        <v>5.1226232472092956</v>
      </c>
      <c r="J539" s="12">
        <v>0.23230000000000001</v>
      </c>
      <c r="K539" s="11">
        <v>0</v>
      </c>
      <c r="L539" s="11">
        <f>-(F539*G539*$V$3)/J539</f>
        <v>-12.650777056410165</v>
      </c>
      <c r="M539" s="11">
        <f>ABS(L539/$V$6)</f>
        <v>3.6882731942886778E-2</v>
      </c>
      <c r="N539" s="11">
        <f>L539*SIN(RADIANS(K539))</f>
        <v>0</v>
      </c>
      <c r="O539" s="11">
        <f>L539*COS(RADIANS(K539))</f>
        <v>-12.650777056410165</v>
      </c>
      <c r="P539" s="1">
        <v>4.2517567839860568</v>
      </c>
      <c r="Q539" s="1">
        <v>0.41619239973845462</v>
      </c>
      <c r="R539" s="1">
        <f>P539/Q539</f>
        <v>10.21584437067559</v>
      </c>
    </row>
    <row r="540" spans="1:18" x14ac:dyDescent="0.35">
      <c r="A540" s="14">
        <v>2844</v>
      </c>
      <c r="B540" s="6">
        <v>0.75</v>
      </c>
      <c r="C540" s="6">
        <v>4000000</v>
      </c>
      <c r="D540" s="6">
        <v>0</v>
      </c>
      <c r="E540" s="6">
        <v>0.25</v>
      </c>
      <c r="F540" s="6">
        <v>1.4999999999999999E-2</v>
      </c>
      <c r="G540" s="11">
        <f>(C540*$V$4)/($V$5*$V$3)</f>
        <v>58.775510204081627</v>
      </c>
      <c r="H540" s="11">
        <f>G540*COS(RADIANS(D540))</f>
        <v>58.775510204081627</v>
      </c>
      <c r="I540" s="11">
        <f>G540*SIN(RADIANS(D540))</f>
        <v>0</v>
      </c>
      <c r="J540" s="12">
        <v>0.28370000000000001</v>
      </c>
      <c r="K540" s="11">
        <v>38</v>
      </c>
      <c r="L540" s="11">
        <f>-(F540*G540*$V$3)/J540</f>
        <v>-3.1076230280621231</v>
      </c>
      <c r="M540" s="11">
        <f>ABS(L540/$V$6)</f>
        <v>9.0601254462452565E-3</v>
      </c>
      <c r="N540" s="11">
        <f>L540*SIN(RADIANS(K540))</f>
        <v>-1.9132437782127163</v>
      </c>
      <c r="O540" s="11">
        <f>L540*COS(RADIANS(K540))</f>
        <v>-2.4488403642688366</v>
      </c>
      <c r="P540" s="1">
        <v>4.7477109286815571</v>
      </c>
      <c r="Q540" s="1">
        <v>-0.29155118274669445</v>
      </c>
      <c r="R540" s="1">
        <f>P540/Q540</f>
        <v>-16.284313731652613</v>
      </c>
    </row>
    <row r="541" spans="1:18" x14ac:dyDescent="0.35">
      <c r="A541" s="14">
        <v>2659</v>
      </c>
      <c r="B541" s="6">
        <v>0.1</v>
      </c>
      <c r="C541" s="6">
        <v>4000000</v>
      </c>
      <c r="D541" s="6">
        <v>10</v>
      </c>
      <c r="E541" s="6">
        <v>0.125</v>
      </c>
      <c r="F541" s="6">
        <v>0.1</v>
      </c>
      <c r="G541" s="11">
        <f>(C541*$V$4)/($V$5*$V$3)</f>
        <v>58.775510204081627</v>
      </c>
      <c r="H541" s="11">
        <f>G541*COS(RADIANS(D541))</f>
        <v>57.882578136227728</v>
      </c>
      <c r="I541" s="11">
        <f>G541*SIN(RADIANS(D541))</f>
        <v>10.206260238382843</v>
      </c>
      <c r="J541" s="12">
        <v>0.1658</v>
      </c>
      <c r="K541" s="11">
        <v>69</v>
      </c>
      <c r="L541" s="11">
        <f>-(F541*G541*$V$3)/J541</f>
        <v>-35.449644272666845</v>
      </c>
      <c r="M541" s="11">
        <f>ABS(L541/$V$6)</f>
        <v>0.10335173257337273</v>
      </c>
      <c r="N541" s="11">
        <f>L541*SIN(RADIANS(K541))</f>
        <v>-33.095094019250396</v>
      </c>
      <c r="O541" s="11">
        <f>L541*COS(RADIANS(K541))</f>
        <v>-12.704016330105919</v>
      </c>
      <c r="P541" s="1">
        <v>1.6874367745739125</v>
      </c>
      <c r="Q541" s="1">
        <v>0.47118649738796464</v>
      </c>
      <c r="R541" s="1">
        <f>P541/Q541</f>
        <v>3.5812502776040165</v>
      </c>
    </row>
    <row r="542" spans="1:18" x14ac:dyDescent="0.35">
      <c r="A542" s="14">
        <v>2842</v>
      </c>
      <c r="B542" s="6">
        <v>0.1</v>
      </c>
      <c r="C542" s="6">
        <v>4000000</v>
      </c>
      <c r="D542" s="6">
        <v>30</v>
      </c>
      <c r="E542" s="6">
        <v>0.125</v>
      </c>
      <c r="F542" s="6">
        <v>0.1</v>
      </c>
      <c r="G542" s="11">
        <f>(C542*$V$4)/($V$5*$V$3)</f>
        <v>58.775510204081627</v>
      </c>
      <c r="H542" s="11">
        <f>G542*COS(RADIANS(D542))</f>
        <v>50.901084957126187</v>
      </c>
      <c r="I542" s="11">
        <f>G542*SIN(RADIANS(D542))</f>
        <v>29.38775510204081</v>
      </c>
      <c r="J542" s="12">
        <v>0.1658</v>
      </c>
      <c r="K542" s="11">
        <v>69</v>
      </c>
      <c r="L542" s="11">
        <f>-(F542*G542*$V$3)/J542</f>
        <v>-35.449644272666845</v>
      </c>
      <c r="M542" s="11">
        <f>ABS(L542/$V$6)</f>
        <v>0.10335173257337273</v>
      </c>
      <c r="N542" s="11">
        <f>L542*SIN(RADIANS(K542))</f>
        <v>-33.095094019250396</v>
      </c>
      <c r="O542" s="11">
        <f>L542*COS(RADIANS(K542))</f>
        <v>-12.704016330105919</v>
      </c>
      <c r="P542" s="1">
        <v>1.3869547844059227</v>
      </c>
      <c r="Q542" s="1">
        <v>1.0059256666654943</v>
      </c>
      <c r="R542" s="1">
        <f>P542/Q542</f>
        <v>1.3787845666603653</v>
      </c>
    </row>
    <row r="543" spans="1:18" x14ac:dyDescent="0.35">
      <c r="A543" s="14">
        <v>2847</v>
      </c>
      <c r="B543" s="6">
        <v>0.75</v>
      </c>
      <c r="C543" s="6">
        <v>4000000</v>
      </c>
      <c r="D543" s="6">
        <v>30</v>
      </c>
      <c r="E543" s="6">
        <v>0.25</v>
      </c>
      <c r="F543" s="6">
        <v>0.05</v>
      </c>
      <c r="G543" s="11">
        <f>(C543*$V$4)/($V$5*$V$3)</f>
        <v>58.775510204081627</v>
      </c>
      <c r="H543" s="11">
        <f>G543*COS(RADIANS(D543))</f>
        <v>50.901084957126187</v>
      </c>
      <c r="I543" s="11">
        <f>G543*SIN(RADIANS(D543))</f>
        <v>29.38775510204081</v>
      </c>
      <c r="J543" s="12">
        <v>0.28370000000000001</v>
      </c>
      <c r="K543" s="11">
        <v>38</v>
      </c>
      <c r="L543" s="11">
        <f>-(F543*G543*$V$3)/J543</f>
        <v>-10.358743426873744</v>
      </c>
      <c r="M543" s="11">
        <f>ABS(L543/$V$6)</f>
        <v>3.0200418154150858E-2</v>
      </c>
      <c r="N543" s="11">
        <f>L543*SIN(RADIANS(K543))</f>
        <v>-6.3774792607090545</v>
      </c>
      <c r="O543" s="11">
        <f>L543*COS(RADIANS(K543))</f>
        <v>-8.1628012142294555</v>
      </c>
      <c r="P543" s="1">
        <v>3.4304667341619264</v>
      </c>
      <c r="Q543" s="1">
        <v>1.2779460661896858</v>
      </c>
      <c r="R543" s="1">
        <f>P543/Q543</f>
        <v>2.6843595554780961</v>
      </c>
    </row>
    <row r="544" spans="1:18" x14ac:dyDescent="0.35">
      <c r="A544" s="14">
        <v>2848</v>
      </c>
      <c r="B544" s="6">
        <v>1</v>
      </c>
      <c r="C544" s="6">
        <v>4000000</v>
      </c>
      <c r="D544" s="6">
        <v>5</v>
      </c>
      <c r="E544" s="6">
        <v>0.375</v>
      </c>
      <c r="F544" s="6">
        <v>1.4999999999999999E-2</v>
      </c>
      <c r="G544" s="11">
        <f>(C544*$V$4)/($V$5*$V$3)</f>
        <v>58.775510204081627</v>
      </c>
      <c r="H544" s="11">
        <f>G544*COS(RADIANS(D544))</f>
        <v>58.551851642943404</v>
      </c>
      <c r="I544" s="11">
        <f>G544*SIN(RADIANS(D544))</f>
        <v>5.1226232472092956</v>
      </c>
      <c r="J544" s="12">
        <v>0.33379999999999999</v>
      </c>
      <c r="K544" s="11">
        <v>49</v>
      </c>
      <c r="L544" s="11">
        <f>-(F544*G544*$V$3)/J544</f>
        <v>-2.6412002787933626</v>
      </c>
      <c r="M544" s="11">
        <f>ABS(L544/$V$6)</f>
        <v>7.7002923579981416E-3</v>
      </c>
      <c r="N544" s="11">
        <f>L544*SIN(RADIANS(K544))</f>
        <v>-1.9933391536924072</v>
      </c>
      <c r="O544" s="11">
        <f>L544*COS(RADIANS(K544))</f>
        <v>-1.7327832902746305</v>
      </c>
      <c r="P544" s="1">
        <v>5.1110903423116012</v>
      </c>
      <c r="Q544" s="1">
        <v>-0.31938534174099842</v>
      </c>
      <c r="R544" s="1">
        <f>P544/Q544</f>
        <v>-16.002895794937192</v>
      </c>
    </row>
    <row r="545" spans="1:18" x14ac:dyDescent="0.35">
      <c r="A545" s="14">
        <v>2849</v>
      </c>
      <c r="B545" s="6">
        <v>0.1</v>
      </c>
      <c r="C545" s="6">
        <v>6000000</v>
      </c>
      <c r="D545" s="6">
        <v>0</v>
      </c>
      <c r="E545" s="6">
        <v>0.375</v>
      </c>
      <c r="F545" s="6">
        <v>0.05</v>
      </c>
      <c r="G545" s="11">
        <f>(C545*$V$4)/($V$5*$V$3)</f>
        <v>88.16326530612244</v>
      </c>
      <c r="H545" s="11">
        <f>G545*COS(RADIANS(D545))</f>
        <v>88.16326530612244</v>
      </c>
      <c r="I545" s="11">
        <f>G545*SIN(RADIANS(D545))</f>
        <v>0</v>
      </c>
      <c r="J545" s="12">
        <v>0.16789999999999999</v>
      </c>
      <c r="K545" s="11">
        <v>85</v>
      </c>
      <c r="L545" s="11">
        <f>-(F545*G545*$V$3)/J545</f>
        <v>-26.254694849947125</v>
      </c>
      <c r="M545" s="11">
        <f>ABS(L545/$V$6)</f>
        <v>7.6544299854073253E-2</v>
      </c>
      <c r="N545" s="11">
        <f>L545*SIN(RADIANS(K545))</f>
        <v>-26.154787809533982</v>
      </c>
      <c r="O545" s="11">
        <f>L545*COS(RADIANS(K545))</f>
        <v>-2.2882474302602565</v>
      </c>
      <c r="P545" s="1">
        <v>1.6321903465054226</v>
      </c>
      <c r="Q545" s="1">
        <v>0.1932532545952842</v>
      </c>
      <c r="R545" s="1">
        <f>P545/Q545</f>
        <v>8.445862140451899</v>
      </c>
    </row>
    <row r="546" spans="1:18" x14ac:dyDescent="0.35">
      <c r="A546" s="14">
        <v>2850</v>
      </c>
      <c r="B546" s="6">
        <v>0.1</v>
      </c>
      <c r="C546" s="6">
        <v>2000000</v>
      </c>
      <c r="D546" s="6">
        <v>15</v>
      </c>
      <c r="E546" s="6">
        <v>0.125</v>
      </c>
      <c r="F546" s="6">
        <v>2.5000000000000001E-2</v>
      </c>
      <c r="G546" s="11">
        <f>(C546*$V$4)/($V$5*$V$3)</f>
        <v>29.387755102040813</v>
      </c>
      <c r="H546" s="11">
        <f>G546*COS(RADIANS(D546))</f>
        <v>28.386391629719554</v>
      </c>
      <c r="I546" s="11">
        <f>G546*SIN(RADIANS(D546))</f>
        <v>7.6061107132169354</v>
      </c>
      <c r="J546" s="12">
        <v>0.1658</v>
      </c>
      <c r="K546" s="11">
        <v>69</v>
      </c>
      <c r="L546" s="11">
        <f>-(F546*G546*$V$3)/J546</f>
        <v>-4.4312055340833556</v>
      </c>
      <c r="M546" s="11">
        <f>ABS(L546/$V$6)</f>
        <v>1.2918966571671591E-2</v>
      </c>
      <c r="N546" s="11">
        <f>L546*SIN(RADIANS(K546))</f>
        <v>-4.1368867524062995</v>
      </c>
      <c r="O546" s="11">
        <f>L546*COS(RADIANS(K546))</f>
        <v>-1.5880020412632398</v>
      </c>
      <c r="P546" s="1">
        <v>1.4062295298096188</v>
      </c>
      <c r="Q546" s="1">
        <v>0.5749522264879251</v>
      </c>
      <c r="R546" s="1">
        <f>P546/Q546</f>
        <v>2.4458197829748762</v>
      </c>
    </row>
    <row r="547" spans="1:18" x14ac:dyDescent="0.35">
      <c r="A547" s="14">
        <v>2851</v>
      </c>
      <c r="B547" s="6">
        <v>1</v>
      </c>
      <c r="C547" s="6">
        <v>2000000</v>
      </c>
      <c r="D547" s="6">
        <v>10</v>
      </c>
      <c r="E547" s="6">
        <v>0.25</v>
      </c>
      <c r="F547" s="6">
        <v>0.05</v>
      </c>
      <c r="G547" s="11">
        <f>(C547*$V$4)/($V$5*$V$3)</f>
        <v>29.387755102040813</v>
      </c>
      <c r="H547" s="11">
        <f>G547*COS(RADIANS(D547))</f>
        <v>28.941289068113864</v>
      </c>
      <c r="I547" s="11">
        <f>G547*SIN(RADIANS(D547))</f>
        <v>5.1031301191914213</v>
      </c>
      <c r="J547" s="13">
        <v>0.33379999999999999</v>
      </c>
      <c r="K547" s="12">
        <v>30</v>
      </c>
      <c r="L547" s="11">
        <f>-(F547*G547*$V$3)/J547</f>
        <v>-4.4020004646556048</v>
      </c>
      <c r="M547" s="11">
        <f>ABS(L547/$V$6)</f>
        <v>1.283382059666357E-2</v>
      </c>
      <c r="N547" s="11">
        <f>L547*SIN(RADIANS(K547))</f>
        <v>-2.201000232327802</v>
      </c>
      <c r="O547" s="11">
        <f>L547*COS(RADIANS(K547))</f>
        <v>-3.8122442298626571</v>
      </c>
      <c r="P547" s="1">
        <v>3.681923603174285</v>
      </c>
      <c r="Q547" s="1">
        <v>0.82340661493065326</v>
      </c>
      <c r="R547" s="1">
        <f>P547/Q547</f>
        <v>4.4715739907972125</v>
      </c>
    </row>
    <row r="548" spans="1:18" x14ac:dyDescent="0.35">
      <c r="A548" s="14">
        <v>2612</v>
      </c>
      <c r="B548" s="6">
        <v>0.1</v>
      </c>
      <c r="C548" s="6">
        <v>4000000</v>
      </c>
      <c r="D548" s="6">
        <v>5</v>
      </c>
      <c r="E548" s="6">
        <v>0.25</v>
      </c>
      <c r="F548" s="6">
        <v>0.1</v>
      </c>
      <c r="G548" s="11">
        <f>(C548*$V$4)/($V$5*$V$3)</f>
        <v>58.775510204081627</v>
      </c>
      <c r="H548" s="11">
        <f>G548*COS(RADIANS(D548))</f>
        <v>58.551851642943404</v>
      </c>
      <c r="I548" s="11">
        <f>G548*SIN(RADIANS(D548))</f>
        <v>5.1226232472092956</v>
      </c>
      <c r="J548" s="20">
        <v>0.1661</v>
      </c>
      <c r="K548" s="19">
        <v>80</v>
      </c>
      <c r="L548" s="11">
        <f>-(F548*G548*$V$3)/J548</f>
        <v>-35.385617221000381</v>
      </c>
      <c r="M548" s="11">
        <f>ABS(L548/$V$6)</f>
        <v>0.10316506478425767</v>
      </c>
      <c r="N548" s="11">
        <f>L548*SIN(RADIANS(K548))</f>
        <v>-34.848030184363481</v>
      </c>
      <c r="O548" s="11">
        <f>L548*COS(RADIANS(K548))</f>
        <v>-6.1446479460462662</v>
      </c>
      <c r="P548" s="1">
        <v>1.7433123508671549</v>
      </c>
      <c r="Q548" s="1">
        <v>0.34280899085463973</v>
      </c>
      <c r="R548" s="1">
        <f>P548/Q548</f>
        <v>5.0853752304482773</v>
      </c>
    </row>
    <row r="549" spans="1:18" x14ac:dyDescent="0.35">
      <c r="A549" s="14">
        <v>2853</v>
      </c>
      <c r="B549" s="6">
        <v>0.1</v>
      </c>
      <c r="C549" s="6">
        <v>2000000</v>
      </c>
      <c r="D549" s="6">
        <v>15</v>
      </c>
      <c r="E549" s="6">
        <v>0.375</v>
      </c>
      <c r="F549" s="6">
        <v>1.4999999999999999E-2</v>
      </c>
      <c r="G549" s="11">
        <f>(C549*$V$4)/($V$5*$V$3)</f>
        <v>29.387755102040813</v>
      </c>
      <c r="H549" s="11">
        <f>G549*COS(RADIANS(D549))</f>
        <v>28.386391629719554</v>
      </c>
      <c r="I549" s="11">
        <f>G549*SIN(RADIANS(D549))</f>
        <v>7.6061107132169354</v>
      </c>
      <c r="J549" s="12">
        <v>0.16789999999999999</v>
      </c>
      <c r="K549" s="11">
        <v>85</v>
      </c>
      <c r="L549" s="11">
        <f>-(F549*G549*$V$3)/J549</f>
        <v>-2.6254694849947122</v>
      </c>
      <c r="M549" s="11">
        <f>ABS(L549/$V$6)</f>
        <v>7.6544299854073242E-3</v>
      </c>
      <c r="N549" s="11">
        <f>L549*SIN(RADIANS(K549))</f>
        <v>-2.6154787809533979</v>
      </c>
      <c r="O549" s="11">
        <f>L549*COS(RADIANS(K549))</f>
        <v>-0.22882474302602562</v>
      </c>
      <c r="P549" s="1">
        <v>1.7674146075376875</v>
      </c>
      <c r="Q549" s="1">
        <v>0.67964829121735915</v>
      </c>
      <c r="R549" s="1">
        <f>P549/Q549</f>
        <v>2.6004841480171521</v>
      </c>
    </row>
    <row r="550" spans="1:18" x14ac:dyDescent="0.35">
      <c r="A550" s="14">
        <v>2854</v>
      </c>
      <c r="B550" s="6">
        <v>0.25</v>
      </c>
      <c r="C550" s="6">
        <v>4000000</v>
      </c>
      <c r="D550" s="6">
        <v>30</v>
      </c>
      <c r="E550" s="6">
        <v>0.125</v>
      </c>
      <c r="F550" s="6">
        <v>0</v>
      </c>
      <c r="G550" s="11">
        <f>(C550*$V$4)/($V$5*$V$3)</f>
        <v>58.775510204081627</v>
      </c>
      <c r="H550" s="11">
        <f>G550*COS(RADIANS(D550))</f>
        <v>50.901084957126187</v>
      </c>
      <c r="I550" s="11">
        <f>G550*SIN(RADIANS(D550))</f>
        <v>29.38775510204081</v>
      </c>
      <c r="J550" s="11">
        <v>0.19020000000000001</v>
      </c>
      <c r="K550" s="11">
        <v>46</v>
      </c>
      <c r="L550" s="11">
        <f>-(F550*G550*$V$3)/J550</f>
        <v>0</v>
      </c>
      <c r="M550" s="11">
        <f>ABS(L550/$V$6)</f>
        <v>0</v>
      </c>
      <c r="N550" s="11">
        <f>L550*SIN(RADIANS(K550))</f>
        <v>0</v>
      </c>
      <c r="O550" s="11">
        <f>L550*COS(RADIANS(K550))</f>
        <v>0</v>
      </c>
      <c r="P550" s="1">
        <v>2.3657865182258746</v>
      </c>
      <c r="Q550" s="1">
        <v>1.1186629146352645</v>
      </c>
      <c r="R550" s="1">
        <f>P550/Q550</f>
        <v>2.1148341357121234</v>
      </c>
    </row>
    <row r="551" spans="1:18" x14ac:dyDescent="0.35">
      <c r="A551" s="14">
        <v>2855</v>
      </c>
      <c r="B551" s="6">
        <v>0.1</v>
      </c>
      <c r="C551" s="6">
        <v>6000000</v>
      </c>
      <c r="D551" s="6">
        <v>10</v>
      </c>
      <c r="E551" s="6">
        <v>0</v>
      </c>
      <c r="F551" s="6">
        <v>0</v>
      </c>
      <c r="G551" s="11">
        <f>(C551*$V$4)/($V$5*$V$3)</f>
        <v>88.16326530612244</v>
      </c>
      <c r="H551" s="11">
        <f>G551*COS(RADIANS(D551))</f>
        <v>86.823867204341596</v>
      </c>
      <c r="I551" s="11">
        <f>G551*SIN(RADIANS(D551))</f>
        <v>15.309390357574264</v>
      </c>
      <c r="J551" s="11">
        <v>0.16569999999999999</v>
      </c>
      <c r="K551" s="12">
        <v>0</v>
      </c>
      <c r="L551" s="11">
        <f>-(F551*G551*$V$3)/J551</f>
        <v>0</v>
      </c>
      <c r="M551" s="11">
        <f>ABS(L551/$V$6)</f>
        <v>0</v>
      </c>
      <c r="N551" s="11">
        <f>L551*SIN(RADIANS(K551))</f>
        <v>0</v>
      </c>
      <c r="O551" s="11">
        <f>L551*COS(RADIANS(K551))</f>
        <v>0</v>
      </c>
      <c r="P551" s="1">
        <v>1.2446930436469756</v>
      </c>
      <c r="Q551" s="1">
        <v>0.45542529389198572</v>
      </c>
      <c r="R551" s="1">
        <f>P551/Q551</f>
        <v>2.7330345071746991</v>
      </c>
    </row>
    <row r="552" spans="1:18" x14ac:dyDescent="0.35">
      <c r="A552" s="14">
        <v>2856</v>
      </c>
      <c r="B552" s="6">
        <v>0.1</v>
      </c>
      <c r="C552" s="6">
        <v>4000000</v>
      </c>
      <c r="D552" s="6">
        <v>5</v>
      </c>
      <c r="E552" s="6">
        <v>0</v>
      </c>
      <c r="F552" s="6">
        <v>2.5000000000000001E-2</v>
      </c>
      <c r="G552" s="11">
        <f>(C552*$V$4)/($V$5*$V$3)</f>
        <v>58.775510204081627</v>
      </c>
      <c r="H552" s="11">
        <f>G552*COS(RADIANS(D552))</f>
        <v>58.551851642943404</v>
      </c>
      <c r="I552" s="11">
        <f>G552*SIN(RADIANS(D552))</f>
        <v>5.1226232472092956</v>
      </c>
      <c r="J552" s="11">
        <v>0.16569999999999999</v>
      </c>
      <c r="K552" s="12">
        <v>0</v>
      </c>
      <c r="L552" s="11">
        <f>-(F552*G552*$V$3)/J552</f>
        <v>-8.8677595359205839</v>
      </c>
      <c r="M552" s="11">
        <f>ABS(L552/$V$6)</f>
        <v>2.5853526343791788E-2</v>
      </c>
      <c r="N552" s="11">
        <f>L552*SIN(RADIANS(K552))</f>
        <v>0</v>
      </c>
      <c r="O552" s="11">
        <f>L552*COS(RADIANS(K552))</f>
        <v>-8.8677595359205839</v>
      </c>
      <c r="P552" s="1">
        <v>1.2297898988819393</v>
      </c>
      <c r="Q552" s="1">
        <v>0.30887943831669823</v>
      </c>
      <c r="R552" s="1">
        <f>P552/Q552</f>
        <v>3.9814560191637596</v>
      </c>
    </row>
    <row r="553" spans="1:18" x14ac:dyDescent="0.35">
      <c r="A553" s="14">
        <v>2857</v>
      </c>
      <c r="B553" s="6">
        <v>0.75</v>
      </c>
      <c r="C553" s="6">
        <v>4000000</v>
      </c>
      <c r="D553" s="6">
        <v>5</v>
      </c>
      <c r="E553" s="6">
        <v>0</v>
      </c>
      <c r="F553" s="6">
        <v>0.1</v>
      </c>
      <c r="G553" s="11">
        <f>(C553*$V$4)/($V$5*$V$3)</f>
        <v>58.775510204081627</v>
      </c>
      <c r="H553" s="11">
        <f>G553*COS(RADIANS(D553))</f>
        <v>58.551851642943404</v>
      </c>
      <c r="I553" s="11">
        <f>G553*SIN(RADIANS(D553))</f>
        <v>5.1226232472092956</v>
      </c>
      <c r="J553" s="11">
        <v>0.27929999999999999</v>
      </c>
      <c r="K553" s="11">
        <v>0</v>
      </c>
      <c r="L553" s="11">
        <f>-(F553*G553*$V$3)/J553</f>
        <v>-21.043863302571296</v>
      </c>
      <c r="M553" s="11">
        <f>ABS(L553/$V$6)</f>
        <v>6.135237114452273E-2</v>
      </c>
      <c r="N553" s="11">
        <f>L553*SIN(RADIANS(K553))</f>
        <v>0</v>
      </c>
      <c r="O553" s="11">
        <f>L553*COS(RADIANS(K553))</f>
        <v>-21.043863302571296</v>
      </c>
      <c r="P553" s="1">
        <v>3.7321961106995989</v>
      </c>
      <c r="Q553" s="1">
        <v>0.55103843094558325</v>
      </c>
      <c r="R553" s="1">
        <f>P553/Q553</f>
        <v>6.7730232613633525</v>
      </c>
    </row>
    <row r="554" spans="1:18" x14ac:dyDescent="0.35">
      <c r="A554" s="14">
        <v>2858</v>
      </c>
      <c r="B554" s="6">
        <v>0.1</v>
      </c>
      <c r="C554" s="6">
        <v>2000000</v>
      </c>
      <c r="D554" s="6">
        <v>10</v>
      </c>
      <c r="E554" s="6">
        <v>0.375</v>
      </c>
      <c r="F554" s="6">
        <v>0.05</v>
      </c>
      <c r="G554" s="11">
        <f>(C554*$V$4)/($V$5*$V$3)</f>
        <v>29.387755102040813</v>
      </c>
      <c r="H554" s="11">
        <f>G554*COS(RADIANS(D554))</f>
        <v>28.941289068113864</v>
      </c>
      <c r="I554" s="11">
        <f>G554*SIN(RADIANS(D554))</f>
        <v>5.1031301191914213</v>
      </c>
      <c r="J554" s="12">
        <v>0.16789999999999999</v>
      </c>
      <c r="K554" s="11">
        <v>85</v>
      </c>
      <c r="L554" s="11">
        <f>-(F554*G554*$V$3)/J554</f>
        <v>-8.7515649499823756</v>
      </c>
      <c r="M554" s="11">
        <f>ABS(L554/$V$6)</f>
        <v>2.5514766618024418E-2</v>
      </c>
      <c r="N554" s="11">
        <f>L554*SIN(RADIANS(K554))</f>
        <v>-8.718262603177994</v>
      </c>
      <c r="O554" s="11">
        <f>L554*COS(RADIANS(K554))</f>
        <v>-0.7627491434200856</v>
      </c>
      <c r="P554" s="1">
        <v>1.8991331967881153</v>
      </c>
      <c r="Q554" s="1">
        <v>0.50811840091800931</v>
      </c>
      <c r="R554" s="1">
        <f>P554/Q554</f>
        <v>3.7375800470067255</v>
      </c>
    </row>
    <row r="555" spans="1:18" x14ac:dyDescent="0.35">
      <c r="A555" s="14">
        <v>2859</v>
      </c>
      <c r="B555" s="6">
        <v>0.5</v>
      </c>
      <c r="C555" s="6">
        <v>4000000</v>
      </c>
      <c r="D555" s="6">
        <v>5</v>
      </c>
      <c r="E555" s="6">
        <v>0</v>
      </c>
      <c r="F555" s="6">
        <v>1.4999999999999999E-2</v>
      </c>
      <c r="G555" s="11">
        <f>(C555*$V$4)/($V$5*$V$3)</f>
        <v>58.775510204081627</v>
      </c>
      <c r="H555" s="11">
        <f>G555*COS(RADIANS(D555))</f>
        <v>58.551851642943404</v>
      </c>
      <c r="I555" s="11">
        <f>G555*SIN(RADIANS(D555))</f>
        <v>5.1226232472092956</v>
      </c>
      <c r="J555" s="12">
        <v>0.23230000000000001</v>
      </c>
      <c r="K555" s="11">
        <v>0</v>
      </c>
      <c r="L555" s="11">
        <f>-(F555*G555*$V$3)/J555</f>
        <v>-3.7952331169230495</v>
      </c>
      <c r="M555" s="11">
        <f>ABS(L555/$V$6)</f>
        <v>1.1064819582866033E-2</v>
      </c>
      <c r="N555" s="11">
        <f>L555*SIN(RADIANS(K555))</f>
        <v>0</v>
      </c>
      <c r="O555" s="11">
        <f>L555*COS(RADIANS(K555))</f>
        <v>-3.7952331169230495</v>
      </c>
      <c r="P555" s="1">
        <v>3.1264262718209288</v>
      </c>
      <c r="Q555" s="1">
        <v>0.53858376139415709</v>
      </c>
      <c r="R555" s="1">
        <f>P555/Q555</f>
        <v>5.8049025906907827</v>
      </c>
    </row>
    <row r="556" spans="1:18" x14ac:dyDescent="0.35">
      <c r="A556" s="14">
        <v>2860</v>
      </c>
      <c r="B556" s="6">
        <v>0.5</v>
      </c>
      <c r="C556" s="6">
        <v>6000000</v>
      </c>
      <c r="D556" s="6">
        <v>20</v>
      </c>
      <c r="E556" s="6">
        <v>0</v>
      </c>
      <c r="F556" s="6">
        <v>0.05</v>
      </c>
      <c r="G556" s="11">
        <f>(C556*$V$4)/($V$5*$V$3)</f>
        <v>88.16326530612244</v>
      </c>
      <c r="H556" s="11">
        <f>G556*COS(RADIANS(D556))</f>
        <v>82.846369832553549</v>
      </c>
      <c r="I556" s="11">
        <f>G556*SIN(RADIANS(D556))</f>
        <v>30.153612636058952</v>
      </c>
      <c r="J556" s="12">
        <v>0.23230000000000001</v>
      </c>
      <c r="K556" s="11">
        <v>0</v>
      </c>
      <c r="L556" s="11">
        <f>-(F556*G556*$V$3)/J556</f>
        <v>-18.976165584615249</v>
      </c>
      <c r="M556" s="11">
        <f>ABS(L556/$V$6)</f>
        <v>5.532409791433017E-2</v>
      </c>
      <c r="N556" s="11">
        <f>L556*SIN(RADIANS(K556))</f>
        <v>0</v>
      </c>
      <c r="O556" s="11">
        <f>L556*COS(RADIANS(K556))</f>
        <v>-18.976165584615249</v>
      </c>
      <c r="P556" s="1">
        <v>3.923041411184732</v>
      </c>
      <c r="Q556" s="1">
        <v>1.0086624156066706</v>
      </c>
      <c r="R556" s="1">
        <f>P556/Q556</f>
        <v>3.8893502429404765</v>
      </c>
    </row>
    <row r="557" spans="1:18" x14ac:dyDescent="0.35">
      <c r="A557" s="14">
        <v>2861</v>
      </c>
      <c r="B557" s="6">
        <v>0.75</v>
      </c>
      <c r="C557" s="6">
        <v>2000000</v>
      </c>
      <c r="D557" s="6">
        <v>0</v>
      </c>
      <c r="E557" s="6">
        <v>0.125</v>
      </c>
      <c r="F557" s="6">
        <v>1.4999999999999999E-2</v>
      </c>
      <c r="G557" s="11">
        <f>(C557*$V$4)/($V$5*$V$3)</f>
        <v>29.387755102040813</v>
      </c>
      <c r="H557" s="11">
        <f>G557*COS(RADIANS(D557))</f>
        <v>29.387755102040813</v>
      </c>
      <c r="I557" s="11">
        <f>G557*SIN(RADIANS(D557))</f>
        <v>0</v>
      </c>
      <c r="J557" s="12">
        <v>0.2802</v>
      </c>
      <c r="K557" s="11">
        <v>19</v>
      </c>
      <c r="L557" s="11">
        <f>-(F557*G557*$V$3)/J557</f>
        <v>-1.5732202945417995</v>
      </c>
      <c r="M557" s="11">
        <f>ABS(L557/$V$6)</f>
        <v>4.5866480890431474E-3</v>
      </c>
      <c r="N557" s="11">
        <f>L557*SIN(RADIANS(K557))</f>
        <v>-0.51219042784851809</v>
      </c>
      <c r="O557" s="11">
        <f>L557*COS(RADIANS(K557))</f>
        <v>-1.4875090119990999</v>
      </c>
      <c r="P557" s="1">
        <v>4.219938157326367</v>
      </c>
      <c r="Q557" s="1">
        <v>0.23395033050070743</v>
      </c>
      <c r="R557" s="1">
        <f>P557/Q557</f>
        <v>18.037752493423412</v>
      </c>
    </row>
    <row r="558" spans="1:18" x14ac:dyDescent="0.35">
      <c r="A558" s="14">
        <v>2862</v>
      </c>
      <c r="B558" s="6">
        <v>0.1</v>
      </c>
      <c r="C558" s="6">
        <v>6000000</v>
      </c>
      <c r="D558" s="6">
        <v>15</v>
      </c>
      <c r="E558" s="6">
        <v>0.375</v>
      </c>
      <c r="F558" s="6">
        <v>3.5000000000000003E-2</v>
      </c>
      <c r="G558" s="11">
        <f>(C558*$V$4)/($V$5*$V$3)</f>
        <v>88.16326530612244</v>
      </c>
      <c r="H558" s="11">
        <f>G558*COS(RADIANS(D558))</f>
        <v>85.159174889158663</v>
      </c>
      <c r="I558" s="11">
        <f>G558*SIN(RADIANS(D558))</f>
        <v>22.818332139650806</v>
      </c>
      <c r="J558" s="12">
        <v>0.16789999999999999</v>
      </c>
      <c r="K558" s="11">
        <v>85</v>
      </c>
      <c r="L558" s="11">
        <f>-(F558*G558*$V$3)/J558</f>
        <v>-18.378286394962991</v>
      </c>
      <c r="M558" s="11">
        <f>ABS(L558/$V$6)</f>
        <v>5.3581009897851285E-2</v>
      </c>
      <c r="N558" s="11">
        <f>L558*SIN(RADIANS(K558))</f>
        <v>-18.308351466673791</v>
      </c>
      <c r="O558" s="11">
        <f>L558*COS(RADIANS(K558))</f>
        <v>-1.6017732011821799</v>
      </c>
      <c r="P558" s="1">
        <v>1.8679748290271716</v>
      </c>
      <c r="Q558" s="1">
        <v>0.69365811542751099</v>
      </c>
      <c r="R558" s="1">
        <f>P558/Q558</f>
        <v>2.6929329989542659</v>
      </c>
    </row>
    <row r="559" spans="1:18" x14ac:dyDescent="0.35">
      <c r="A559" s="14">
        <v>2863</v>
      </c>
      <c r="B559" s="6">
        <v>1</v>
      </c>
      <c r="C559" s="6">
        <v>6000000</v>
      </c>
      <c r="D559" s="6">
        <v>30</v>
      </c>
      <c r="E559" s="6">
        <v>0.375</v>
      </c>
      <c r="F559" s="6">
        <v>0</v>
      </c>
      <c r="G559" s="11">
        <f>(C559*$V$4)/($V$5*$V$3)</f>
        <v>88.16326530612244</v>
      </c>
      <c r="H559" s="11">
        <f>G559*COS(RADIANS(D559))</f>
        <v>76.351627435689281</v>
      </c>
      <c r="I559" s="11">
        <f>G559*SIN(RADIANS(D559))</f>
        <v>44.081632653061213</v>
      </c>
      <c r="J559" s="12">
        <v>0.33379999999999999</v>
      </c>
      <c r="K559" s="11">
        <v>49</v>
      </c>
      <c r="L559" s="11">
        <f>-(F559*G559*$V$3)/J559</f>
        <v>0</v>
      </c>
      <c r="M559" s="11">
        <f>ABS(L559/$V$6)</f>
        <v>0</v>
      </c>
      <c r="N559" s="11">
        <f>L559*SIN(RADIANS(K559))</f>
        <v>0</v>
      </c>
      <c r="O559" s="11">
        <f>L559*COS(RADIANS(K559))</f>
        <v>0</v>
      </c>
      <c r="P559" s="1">
        <v>5.6181942543672241</v>
      </c>
      <c r="Q559" s="1">
        <v>2.6804186689280853</v>
      </c>
      <c r="R559" s="1">
        <f>P559/Q559</f>
        <v>2.0960137009544004</v>
      </c>
    </row>
    <row r="560" spans="1:18" x14ac:dyDescent="0.35">
      <c r="A560" s="14">
        <v>2864</v>
      </c>
      <c r="B560" s="6">
        <v>0.5</v>
      </c>
      <c r="C560" s="6">
        <v>2000000</v>
      </c>
      <c r="D560" s="6">
        <v>15</v>
      </c>
      <c r="E560" s="6">
        <v>0.125</v>
      </c>
      <c r="F560" s="6">
        <v>3.5000000000000003E-2</v>
      </c>
      <c r="G560" s="11">
        <f>(C560*$V$4)/($V$5*$V$3)</f>
        <v>29.387755102040813</v>
      </c>
      <c r="H560" s="11">
        <f>G560*COS(RADIANS(D560))</f>
        <v>28.386391629719554</v>
      </c>
      <c r="I560" s="11">
        <f>G560*SIN(RADIANS(D560))</f>
        <v>7.6061107132169354</v>
      </c>
      <c r="J560" s="12">
        <v>0.23300000000000001</v>
      </c>
      <c r="K560" s="11">
        <v>27</v>
      </c>
      <c r="L560" s="11">
        <f>-(F560*G560*$V$3)/J560</f>
        <v>-4.414469650521152</v>
      </c>
      <c r="M560" s="11">
        <f>ABS(L560/$V$6)</f>
        <v>1.2870173908224933E-2</v>
      </c>
      <c r="N560" s="11">
        <f>L560*SIN(RADIANS(K560))</f>
        <v>-2.0041272827251602</v>
      </c>
      <c r="O560" s="11">
        <f>L560*COS(RADIANS(K560))</f>
        <v>-3.9333212594458908</v>
      </c>
      <c r="P560" s="1">
        <v>4.0304070475433935</v>
      </c>
      <c r="Q560" s="1">
        <v>0.77451864715407737</v>
      </c>
      <c r="R560" s="1">
        <f>P560/Q560</f>
        <v>5.2037572786050852</v>
      </c>
    </row>
    <row r="561" spans="1:18" x14ac:dyDescent="0.35">
      <c r="A561" s="14">
        <v>2865</v>
      </c>
      <c r="B561" s="6">
        <v>1</v>
      </c>
      <c r="C561" s="6">
        <v>6000000</v>
      </c>
      <c r="D561" s="6">
        <v>15</v>
      </c>
      <c r="E561" s="6">
        <v>0.125</v>
      </c>
      <c r="F561" s="6">
        <v>2.5000000000000001E-2</v>
      </c>
      <c r="G561" s="11">
        <f>(C561*$V$4)/($V$5*$V$3)</f>
        <v>88.16326530612244</v>
      </c>
      <c r="H561" s="11">
        <f>G561*COS(RADIANS(D561))</f>
        <v>85.159174889158663</v>
      </c>
      <c r="I561" s="11">
        <f>G561*SIN(RADIANS(D561))</f>
        <v>22.818332139650806</v>
      </c>
      <c r="J561" s="11">
        <v>0.33379999999999999</v>
      </c>
      <c r="K561" s="12">
        <v>14</v>
      </c>
      <c r="L561" s="11">
        <f>-(F561*G561*$V$3)/J561</f>
        <v>-6.6030006969834067</v>
      </c>
      <c r="M561" s="11">
        <f>ABS(L561/$V$6)</f>
        <v>1.9250730894995356E-2</v>
      </c>
      <c r="N561" s="11">
        <f>L561*SIN(RADIANS(K561))</f>
        <v>-1.597410445260153</v>
      </c>
      <c r="O561" s="11">
        <f>L561*COS(RADIANS(K561))</f>
        <v>-6.4068633568804252</v>
      </c>
      <c r="P561" s="1">
        <v>3.6231003225683622</v>
      </c>
      <c r="Q561" s="1">
        <v>1.0101941829092742</v>
      </c>
      <c r="R561" s="1">
        <f>P561/Q561</f>
        <v>3.5865384931579571</v>
      </c>
    </row>
    <row r="562" spans="1:18" x14ac:dyDescent="0.35">
      <c r="A562" s="14">
        <v>2866</v>
      </c>
      <c r="B562" s="6">
        <v>0.5</v>
      </c>
      <c r="C562" s="6">
        <v>4000000</v>
      </c>
      <c r="D562" s="6">
        <v>10</v>
      </c>
      <c r="E562" s="6">
        <v>0.125</v>
      </c>
      <c r="F562" s="6">
        <v>3.5000000000000003E-2</v>
      </c>
      <c r="G562" s="11">
        <f>(C562*$V$4)/($V$5*$V$3)</f>
        <v>58.775510204081627</v>
      </c>
      <c r="H562" s="11">
        <f>G562*COS(RADIANS(D562))</f>
        <v>57.882578136227728</v>
      </c>
      <c r="I562" s="11">
        <f>G562*SIN(RADIANS(D562))</f>
        <v>10.206260238382843</v>
      </c>
      <c r="J562" s="12">
        <v>0.23300000000000001</v>
      </c>
      <c r="K562" s="11">
        <v>27</v>
      </c>
      <c r="L562" s="11">
        <f>-(F562*G562*$V$3)/J562</f>
        <v>-8.8289393010423041</v>
      </c>
      <c r="M562" s="11">
        <f>ABS(L562/$V$6)</f>
        <v>2.5740347816449866E-2</v>
      </c>
      <c r="N562" s="11">
        <f>L562*SIN(RADIANS(K562))</f>
        <v>-4.0082545654503203</v>
      </c>
      <c r="O562" s="11">
        <f>L562*COS(RADIANS(K562))</f>
        <v>-7.8666425188917817</v>
      </c>
      <c r="P562" s="1">
        <v>4.0712753190508684</v>
      </c>
      <c r="Q562" s="1">
        <v>0.56171877116678992</v>
      </c>
      <c r="R562" s="1">
        <f>P562/Q562</f>
        <v>7.2478890292273919</v>
      </c>
    </row>
    <row r="563" spans="1:18" x14ac:dyDescent="0.35">
      <c r="A563" s="14">
        <v>2867</v>
      </c>
      <c r="B563" s="6">
        <v>1</v>
      </c>
      <c r="C563" s="6">
        <v>4000000</v>
      </c>
      <c r="D563" s="6">
        <v>10</v>
      </c>
      <c r="E563" s="6">
        <v>0.125</v>
      </c>
      <c r="F563" s="6">
        <v>3.5000000000000003E-2</v>
      </c>
      <c r="G563" s="11">
        <f>(C563*$V$4)/($V$5*$V$3)</f>
        <v>58.775510204081627</v>
      </c>
      <c r="H563" s="11">
        <f>G563*COS(RADIANS(D563))</f>
        <v>57.882578136227728</v>
      </c>
      <c r="I563" s="11">
        <f>G563*SIN(RADIANS(D563))</f>
        <v>10.206260238382843</v>
      </c>
      <c r="J563" s="11">
        <v>0.33379999999999999</v>
      </c>
      <c r="K563" s="12">
        <v>14</v>
      </c>
      <c r="L563" s="11">
        <f>-(F563*G563*$V$3)/J563</f>
        <v>-6.1628006505178465</v>
      </c>
      <c r="M563" s="11">
        <f>ABS(L563/$V$6)</f>
        <v>1.7967348835328998E-2</v>
      </c>
      <c r="N563" s="11">
        <f>L563*SIN(RADIANS(K563))</f>
        <v>-1.4909164155761427</v>
      </c>
      <c r="O563" s="11">
        <f>L563*COS(RADIANS(K563))</f>
        <v>-5.9797391330883976</v>
      </c>
      <c r="P563" s="1">
        <v>4.3647714875806223</v>
      </c>
      <c r="Q563" s="1">
        <v>0.55999549439462493</v>
      </c>
      <c r="R563" s="1">
        <f>P563/Q563</f>
        <v>7.7942975100167473</v>
      </c>
    </row>
    <row r="564" spans="1:18" x14ac:dyDescent="0.35">
      <c r="A564" s="14">
        <v>2502</v>
      </c>
      <c r="B564" s="6">
        <v>0.25</v>
      </c>
      <c r="C564" s="6">
        <v>6000000</v>
      </c>
      <c r="D564" s="6">
        <v>20</v>
      </c>
      <c r="E564" s="6">
        <v>0.125</v>
      </c>
      <c r="F564" s="6">
        <v>7.4999999999999997E-2</v>
      </c>
      <c r="G564" s="11">
        <f>(C564*$V$4)/($V$5*$V$3)</f>
        <v>88.16326530612244</v>
      </c>
      <c r="H564" s="11">
        <f>G564*COS(RADIANS(D564))</f>
        <v>82.846369832553549</v>
      </c>
      <c r="I564" s="11">
        <f>G564*SIN(RADIANS(D564))</f>
        <v>30.153612636058952</v>
      </c>
      <c r="J564" s="11">
        <v>0.19020000000000001</v>
      </c>
      <c r="K564" s="11">
        <v>46</v>
      </c>
      <c r="L564" s="11">
        <f>-(F564*G564*$V$3)/J564</f>
        <v>-34.764694521341653</v>
      </c>
      <c r="M564" s="11">
        <f>ABS(L564/$V$6)</f>
        <v>0.10135479452286196</v>
      </c>
      <c r="N564" s="11">
        <f>L564*SIN(RADIANS(K564))</f>
        <v>-25.0076284158161</v>
      </c>
      <c r="O564" s="11">
        <f>L564*COS(RADIANS(K564))</f>
        <v>-24.149586045700023</v>
      </c>
      <c r="P564" s="1">
        <v>2.5802098694134439</v>
      </c>
      <c r="Q564" s="1">
        <v>0.70666299311209724</v>
      </c>
      <c r="R564" s="1">
        <f>P564/Q564</f>
        <v>3.6512593620480529</v>
      </c>
    </row>
    <row r="565" spans="1:18" x14ac:dyDescent="0.35">
      <c r="A565" s="14">
        <v>2869</v>
      </c>
      <c r="B565" s="6">
        <v>0.1</v>
      </c>
      <c r="C565" s="6">
        <v>2000000</v>
      </c>
      <c r="D565" s="6">
        <v>20</v>
      </c>
      <c r="E565" s="6">
        <v>0.25</v>
      </c>
      <c r="F565" s="6">
        <v>2.5000000000000001E-2</v>
      </c>
      <c r="G565" s="11">
        <f>(C565*$V$4)/($V$5*$V$3)</f>
        <v>29.387755102040813</v>
      </c>
      <c r="H565" s="11">
        <f>G565*COS(RADIANS(D565))</f>
        <v>27.615456610851183</v>
      </c>
      <c r="I565" s="11">
        <f>G565*SIN(RADIANS(D565))</f>
        <v>10.051204212019652</v>
      </c>
      <c r="J565" s="11">
        <v>0.1661</v>
      </c>
      <c r="K565" s="12">
        <v>80</v>
      </c>
      <c r="L565" s="11">
        <f>-(F565*G565*$V$3)/J565</f>
        <v>-4.4232021526250476</v>
      </c>
      <c r="M565" s="11">
        <f>ABS(L565/$V$6)</f>
        <v>1.2895633098032209E-2</v>
      </c>
      <c r="N565" s="11">
        <f>L565*SIN(RADIANS(K565))</f>
        <v>-4.3560037730454351</v>
      </c>
      <c r="O565" s="11">
        <f>L565*COS(RADIANS(K565))</f>
        <v>-0.76808099325578327</v>
      </c>
      <c r="P565" s="1">
        <v>1.4626159071973523</v>
      </c>
      <c r="Q565" s="1">
        <v>0.75877131312507684</v>
      </c>
      <c r="R565" s="1">
        <f>P565/Q565</f>
        <v>1.927610970390301</v>
      </c>
    </row>
    <row r="566" spans="1:18" x14ac:dyDescent="0.35">
      <c r="A566" s="14">
        <v>2870</v>
      </c>
      <c r="B566" s="6">
        <v>0.25</v>
      </c>
      <c r="C566" s="6">
        <v>4000000</v>
      </c>
      <c r="D566" s="6">
        <v>0</v>
      </c>
      <c r="E566" s="6">
        <v>0</v>
      </c>
      <c r="F566" s="6">
        <v>1.4999999999999999E-2</v>
      </c>
      <c r="G566" s="11">
        <f>(C566*$V$4)/($V$5*$V$3)</f>
        <v>58.775510204081627</v>
      </c>
      <c r="H566" s="11">
        <f>G566*COS(RADIANS(D566))</f>
        <v>58.775510204081627</v>
      </c>
      <c r="I566" s="11">
        <f>G566*SIN(RADIANS(D566))</f>
        <v>0</v>
      </c>
      <c r="J566" s="12">
        <v>0.18990000000000001</v>
      </c>
      <c r="K566" s="11">
        <v>0</v>
      </c>
      <c r="L566" s="11">
        <f>-(F566*G566*$V$3)/J566</f>
        <v>-4.642615339974852</v>
      </c>
      <c r="M566" s="11">
        <f>ABS(L566/$V$6)</f>
        <v>1.3535321690888781E-2</v>
      </c>
      <c r="N566" s="11">
        <f>L566*SIN(RADIANS(K566))</f>
        <v>0</v>
      </c>
      <c r="O566" s="11">
        <f>L566*COS(RADIANS(K566))</f>
        <v>-4.642615339974852</v>
      </c>
      <c r="P566" s="1">
        <v>1.9755109549577901</v>
      </c>
      <c r="Q566" s="1">
        <v>0.2313728744446186</v>
      </c>
      <c r="R566" s="1">
        <f>P566/Q566</f>
        <v>8.5382133048212978</v>
      </c>
    </row>
    <row r="567" spans="1:18" x14ac:dyDescent="0.35">
      <c r="A567" s="14">
        <v>2871</v>
      </c>
      <c r="B567" s="6">
        <v>0.25</v>
      </c>
      <c r="C567" s="6">
        <v>4000000</v>
      </c>
      <c r="D567" s="6">
        <v>0</v>
      </c>
      <c r="E567" s="6">
        <v>0.25</v>
      </c>
      <c r="F567" s="6">
        <v>2.5000000000000001E-2</v>
      </c>
      <c r="G567" s="11">
        <f>(C567*$V$4)/($V$5*$V$3)</f>
        <v>58.775510204081627</v>
      </c>
      <c r="H567" s="11">
        <f>G567*COS(RADIANS(D567))</f>
        <v>58.775510204081627</v>
      </c>
      <c r="I567" s="11">
        <f>G567*SIN(RADIANS(D567))</f>
        <v>0</v>
      </c>
      <c r="J567" s="12">
        <v>0.1913</v>
      </c>
      <c r="K567" s="11">
        <v>67</v>
      </c>
      <c r="L567" s="11">
        <f>-(F567*G567*$V$3)/J567</f>
        <v>-7.6810651076949332</v>
      </c>
      <c r="M567" s="11">
        <f>ABS(L567/$V$6)</f>
        <v>2.239377582418348E-2</v>
      </c>
      <c r="N567" s="11">
        <f>L567*SIN(RADIANS(K567))</f>
        <v>-7.0704577113173777</v>
      </c>
      <c r="O567" s="11">
        <f>L567*COS(RADIANS(K567))</f>
        <v>-3.0012312375292258</v>
      </c>
      <c r="P567" s="1">
        <v>1.978893607710644</v>
      </c>
      <c r="Q567" s="1">
        <v>0.1503942083613041</v>
      </c>
      <c r="R567" s="1">
        <f>P567/Q567</f>
        <v>13.158043978373081</v>
      </c>
    </row>
    <row r="568" spans="1:18" x14ac:dyDescent="0.35">
      <c r="A568" s="14">
        <v>2872</v>
      </c>
      <c r="B568" s="6">
        <v>1</v>
      </c>
      <c r="C568" s="6">
        <v>4000000</v>
      </c>
      <c r="D568" s="6">
        <v>20</v>
      </c>
      <c r="E568" s="6">
        <v>0.125</v>
      </c>
      <c r="F568" s="6">
        <v>1.4999999999999999E-2</v>
      </c>
      <c r="G568" s="11">
        <f>(C568*$V$4)/($V$5*$V$3)</f>
        <v>58.775510204081627</v>
      </c>
      <c r="H568" s="11">
        <f>G568*COS(RADIANS(D568))</f>
        <v>55.230913221702366</v>
      </c>
      <c r="I568" s="11">
        <f>G568*SIN(RADIANS(D568))</f>
        <v>20.102408424039304</v>
      </c>
      <c r="J568" s="11">
        <v>0.33379999999999999</v>
      </c>
      <c r="K568" s="12">
        <v>14</v>
      </c>
      <c r="L568" s="11">
        <f>-(F568*G568*$V$3)/J568</f>
        <v>-2.6412002787933626</v>
      </c>
      <c r="M568" s="11">
        <f>ABS(L568/$V$6)</f>
        <v>7.7002923579981416E-3</v>
      </c>
      <c r="N568" s="11">
        <f>L568*SIN(RADIANS(K568))</f>
        <v>-0.63896417810406114</v>
      </c>
      <c r="O568" s="11">
        <f>L568*COS(RADIANS(K568))</f>
        <v>-2.5627453427521703</v>
      </c>
      <c r="P568" s="1">
        <v>1.6063060089286993</v>
      </c>
      <c r="Q568" s="1">
        <v>1.9483509971180315</v>
      </c>
      <c r="R568" s="1">
        <f>P568/Q568</f>
        <v>0.82444385601194059</v>
      </c>
    </row>
    <row r="569" spans="1:18" x14ac:dyDescent="0.35">
      <c r="A569" s="14">
        <v>2873</v>
      </c>
      <c r="B569" s="6">
        <v>0.75</v>
      </c>
      <c r="C569" s="6">
        <v>2000000</v>
      </c>
      <c r="D569" s="6">
        <v>15</v>
      </c>
      <c r="E569" s="6">
        <v>0.375</v>
      </c>
      <c r="F569" s="6">
        <v>0.15</v>
      </c>
      <c r="G569" s="11">
        <f>(C569*$V$4)/($V$5*$V$3)</f>
        <v>29.387755102040813</v>
      </c>
      <c r="H569" s="11">
        <f>G569*COS(RADIANS(D569))</f>
        <v>28.386391629719554</v>
      </c>
      <c r="I569" s="11">
        <f>G569*SIN(RADIANS(D569))</f>
        <v>7.6061107132169354</v>
      </c>
      <c r="J569" s="11">
        <v>0.29299999999999998</v>
      </c>
      <c r="K569" s="12">
        <v>57</v>
      </c>
      <c r="L569" s="11">
        <f>-(F569*G569*$V$3)/J569</f>
        <v>-15.044925820157413</v>
      </c>
      <c r="M569" s="11">
        <f>ABS(L569/$V$6)</f>
        <v>4.3862757493170298E-2</v>
      </c>
      <c r="N569" s="11">
        <f>L569*SIN(RADIANS(K569))</f>
        <v>-12.617736482288192</v>
      </c>
      <c r="O569" s="11">
        <f>L569*COS(RADIANS(K569))</f>
        <v>-8.1940538805631977</v>
      </c>
      <c r="P569" s="1">
        <v>6.2467265546139314</v>
      </c>
      <c r="Q569" s="1">
        <v>0.22041804030341136</v>
      </c>
      <c r="R569" s="1">
        <f>P569/Q569</f>
        <v>28.340359736504073</v>
      </c>
    </row>
    <row r="570" spans="1:18" x14ac:dyDescent="0.35">
      <c r="A570" s="14">
        <v>2874</v>
      </c>
      <c r="B570" s="6">
        <v>1</v>
      </c>
      <c r="C570" s="6">
        <v>2000000</v>
      </c>
      <c r="D570" s="6">
        <v>5</v>
      </c>
      <c r="E570" s="6">
        <v>0.125</v>
      </c>
      <c r="F570" s="6">
        <v>0</v>
      </c>
      <c r="G570" s="11">
        <f>(C570*$V$4)/($V$5*$V$3)</f>
        <v>29.387755102040813</v>
      </c>
      <c r="H570" s="11">
        <f>G570*COS(RADIANS(D570))</f>
        <v>29.275925821471702</v>
      </c>
      <c r="I570" s="11">
        <f>G570*SIN(RADIANS(D570))</f>
        <v>2.5613116236046478</v>
      </c>
      <c r="J570" s="11">
        <v>0.33379999999999999</v>
      </c>
      <c r="K570" s="12">
        <v>14</v>
      </c>
      <c r="L570" s="11">
        <f>-(F570*G570*$V$3)/J570</f>
        <v>0</v>
      </c>
      <c r="M570" s="11">
        <f>ABS(L570/$V$6)</f>
        <v>0</v>
      </c>
      <c r="N570" s="11">
        <f>L570*SIN(RADIANS(K570))</f>
        <v>0</v>
      </c>
      <c r="O570" s="11">
        <f>L570*COS(RADIANS(K570))</f>
        <v>0</v>
      </c>
      <c r="P570" s="1">
        <v>6.3056702600456465</v>
      </c>
      <c r="Q570" s="1">
        <v>1.5155894981534082</v>
      </c>
      <c r="R570" s="1">
        <f>P570/Q570</f>
        <v>4.1605396894927456</v>
      </c>
    </row>
    <row r="571" spans="1:18" x14ac:dyDescent="0.35">
      <c r="A571" s="14">
        <v>2875</v>
      </c>
      <c r="B571" s="6">
        <v>0.5</v>
      </c>
      <c r="C571" s="6">
        <v>6000000</v>
      </c>
      <c r="D571" s="6">
        <v>10</v>
      </c>
      <c r="E571" s="6">
        <v>0</v>
      </c>
      <c r="F571" s="6">
        <v>3.5000000000000003E-2</v>
      </c>
      <c r="G571" s="11">
        <f>(C571*$V$4)/($V$5*$V$3)</f>
        <v>88.16326530612244</v>
      </c>
      <c r="H571" s="11">
        <f>G571*COS(RADIANS(D571))</f>
        <v>86.823867204341596</v>
      </c>
      <c r="I571" s="11">
        <f>G571*SIN(RADIANS(D571))</f>
        <v>15.309390357574264</v>
      </c>
      <c r="J571" s="12">
        <v>0.23230000000000001</v>
      </c>
      <c r="K571" s="11">
        <v>0</v>
      </c>
      <c r="L571" s="11">
        <f>-(F571*G571*$V$3)/J571</f>
        <v>-13.283315909230675</v>
      </c>
      <c r="M571" s="11">
        <f>ABS(L571/$V$6)</f>
        <v>3.8726868540031122E-2</v>
      </c>
      <c r="N571" s="11">
        <f>L571*SIN(RADIANS(K571))</f>
        <v>0</v>
      </c>
      <c r="O571" s="11">
        <f>L571*COS(RADIANS(K571))</f>
        <v>-13.283315909230675</v>
      </c>
      <c r="P571" s="1">
        <v>3.5527649114167459</v>
      </c>
      <c r="Q571" s="1">
        <v>0.64959717039799558</v>
      </c>
      <c r="R571" s="1">
        <f>P571/Q571</f>
        <v>5.4691816302710121</v>
      </c>
    </row>
    <row r="572" spans="1:18" x14ac:dyDescent="0.35">
      <c r="A572" s="14">
        <v>2876</v>
      </c>
      <c r="B572" s="6">
        <v>0.25</v>
      </c>
      <c r="C572" s="6">
        <v>6000000</v>
      </c>
      <c r="D572" s="6">
        <v>5</v>
      </c>
      <c r="E572" s="6">
        <v>0.375</v>
      </c>
      <c r="F572" s="6">
        <v>0.05</v>
      </c>
      <c r="G572" s="11">
        <f>(C572*$V$4)/($V$5*$V$3)</f>
        <v>88.16326530612244</v>
      </c>
      <c r="H572" s="11">
        <f>G572*COS(RADIANS(D572))</f>
        <v>87.827777464415107</v>
      </c>
      <c r="I572" s="11">
        <f>G572*SIN(RADIANS(D572))</f>
        <v>7.6839348708139434</v>
      </c>
      <c r="J572" s="11">
        <v>0.1976</v>
      </c>
      <c r="K572" s="12">
        <v>78</v>
      </c>
      <c r="L572" s="11">
        <f>-(F572*G572*$V$3)/J572</f>
        <v>-22.308518549120052</v>
      </c>
      <c r="M572" s="11">
        <f>ABS(L572/$V$6)</f>
        <v>6.5039412679650299E-2</v>
      </c>
      <c r="N572" s="11">
        <f>L572*SIN(RADIANS(K572))</f>
        <v>-21.821023894747377</v>
      </c>
      <c r="O572" s="11">
        <f>L572*COS(RADIANS(K572))</f>
        <v>-4.6382018111869003</v>
      </c>
      <c r="P572" s="1">
        <v>2.394513615898203</v>
      </c>
      <c r="Q572" s="1">
        <v>0.2347385722451078</v>
      </c>
      <c r="R572" s="1">
        <f>P572/Q572</f>
        <v>10.200767573034035</v>
      </c>
    </row>
    <row r="573" spans="1:18" x14ac:dyDescent="0.35">
      <c r="A573" s="14">
        <v>2877</v>
      </c>
      <c r="B573" s="6">
        <v>0.5</v>
      </c>
      <c r="C573" s="6">
        <v>4000000</v>
      </c>
      <c r="D573" s="6">
        <v>0</v>
      </c>
      <c r="E573" s="6">
        <v>0.125</v>
      </c>
      <c r="F573" s="6">
        <v>7.4999999999999997E-2</v>
      </c>
      <c r="G573" s="11">
        <f>(C573*$V$4)/($V$5*$V$3)</f>
        <v>58.775510204081627</v>
      </c>
      <c r="H573" s="11">
        <f>G573*COS(RADIANS(D573))</f>
        <v>58.775510204081627</v>
      </c>
      <c r="I573" s="11">
        <f>G573*SIN(RADIANS(D573))</f>
        <v>0</v>
      </c>
      <c r="J573" s="12">
        <v>0.23300000000000001</v>
      </c>
      <c r="K573" s="11">
        <v>27</v>
      </c>
      <c r="L573" s="11">
        <f>-(F573*G573*$V$3)/J573</f>
        <v>-18.919155645090651</v>
      </c>
      <c r="M573" s="11">
        <f>ABS(L573/$V$6)</f>
        <v>5.5157888178106858E-2</v>
      </c>
      <c r="N573" s="11">
        <f>L573*SIN(RADIANS(K573))</f>
        <v>-8.5891169259649711</v>
      </c>
      <c r="O573" s="11">
        <f>L573*COS(RADIANS(K573))</f>
        <v>-16.857091111910961</v>
      </c>
      <c r="P573" s="1">
        <v>4.4168332996015289</v>
      </c>
      <c r="Q573" s="1">
        <v>2.0224258385748081E-3</v>
      </c>
      <c r="R573" s="1">
        <f>P573/Q573</f>
        <v>2183.9284365126814</v>
      </c>
    </row>
    <row r="574" spans="1:18" x14ac:dyDescent="0.35">
      <c r="A574" s="14">
        <v>2878</v>
      </c>
      <c r="B574" s="6">
        <v>0.1</v>
      </c>
      <c r="C574" s="6">
        <v>4000000</v>
      </c>
      <c r="D574" s="6">
        <v>5</v>
      </c>
      <c r="E574" s="6">
        <v>0.375</v>
      </c>
      <c r="F574" s="6">
        <v>3.5000000000000003E-2</v>
      </c>
      <c r="G574" s="11">
        <f>(C574*$V$4)/($V$5*$V$3)</f>
        <v>58.775510204081627</v>
      </c>
      <c r="H574" s="11">
        <f>G574*COS(RADIANS(D574))</f>
        <v>58.551851642943404</v>
      </c>
      <c r="I574" s="11">
        <f>G574*SIN(RADIANS(D574))</f>
        <v>5.1226232472092956</v>
      </c>
      <c r="J574" s="12">
        <v>0.16789999999999999</v>
      </c>
      <c r="K574" s="11">
        <v>85</v>
      </c>
      <c r="L574" s="11">
        <f>-(F574*G574*$V$3)/J574</f>
        <v>-12.252190929975324</v>
      </c>
      <c r="M574" s="11">
        <f>ABS(L574/$V$6)</f>
        <v>3.5720673265234183E-2</v>
      </c>
      <c r="N574" s="11">
        <f>L574*SIN(RADIANS(K574))</f>
        <v>-12.205567644449191</v>
      </c>
      <c r="O574" s="11">
        <f>L574*COS(RADIANS(K574))</f>
        <v>-1.0678488007881197</v>
      </c>
      <c r="P574" s="1">
        <v>1.7756248554331062</v>
      </c>
      <c r="Q574" s="1">
        <v>0.34206671145886691</v>
      </c>
      <c r="R574" s="1">
        <f>P574/Q574</f>
        <v>5.1908729962652993</v>
      </c>
    </row>
    <row r="575" spans="1:18" x14ac:dyDescent="0.35">
      <c r="A575" s="14">
        <v>2879</v>
      </c>
      <c r="B575" s="6">
        <v>1</v>
      </c>
      <c r="C575" s="6">
        <v>6000000</v>
      </c>
      <c r="D575" s="6">
        <v>10</v>
      </c>
      <c r="E575" s="6">
        <v>0</v>
      </c>
      <c r="F575" s="6">
        <v>0.1</v>
      </c>
      <c r="G575" s="11">
        <f>(C575*$V$4)/($V$5*$V$3)</f>
        <v>88.16326530612244</v>
      </c>
      <c r="H575" s="11">
        <f>G575*COS(RADIANS(D575))</f>
        <v>86.823867204341596</v>
      </c>
      <c r="I575" s="11">
        <f>G575*SIN(RADIANS(D575))</f>
        <v>15.309390357574264</v>
      </c>
      <c r="J575" s="11">
        <v>0.33379999999999999</v>
      </c>
      <c r="K575" s="12">
        <v>0</v>
      </c>
      <c r="L575" s="11">
        <f>-(F575*G575*$V$3)/J575</f>
        <v>-26.412002787933627</v>
      </c>
      <c r="M575" s="11">
        <f>ABS(L575/$V$6)</f>
        <v>7.7002923579981425E-2</v>
      </c>
      <c r="N575" s="11">
        <f>L575*SIN(RADIANS(K575))</f>
        <v>0</v>
      </c>
      <c r="O575" s="11">
        <f>L575*COS(RADIANS(K575))</f>
        <v>-26.412002787933627</v>
      </c>
      <c r="P575" s="1">
        <v>2.8524251277669248</v>
      </c>
      <c r="Q575" s="1">
        <v>1.3273347052059363</v>
      </c>
      <c r="R575" s="1">
        <f>P575/Q575</f>
        <v>2.148987076567376</v>
      </c>
    </row>
    <row r="576" spans="1:18" x14ac:dyDescent="0.35">
      <c r="A576" s="14">
        <v>2779</v>
      </c>
      <c r="B576" s="6">
        <v>0.25</v>
      </c>
      <c r="C576" s="6">
        <v>6000000</v>
      </c>
      <c r="D576" s="6">
        <v>5</v>
      </c>
      <c r="E576" s="6">
        <v>0.25</v>
      </c>
      <c r="F576" s="6">
        <v>7.4999999999999997E-2</v>
      </c>
      <c r="G576" s="11">
        <f>(C576*$V$4)/($V$5*$V$3)</f>
        <v>88.16326530612244</v>
      </c>
      <c r="H576" s="11">
        <f>G576*COS(RADIANS(D576))</f>
        <v>87.827777464415107</v>
      </c>
      <c r="I576" s="11">
        <f>G576*SIN(RADIANS(D576))</f>
        <v>7.6839348708139434</v>
      </c>
      <c r="J576" s="12">
        <v>0.1913</v>
      </c>
      <c r="K576" s="11">
        <v>67</v>
      </c>
      <c r="L576" s="11">
        <f>-(F576*G576*$V$3)/J576</f>
        <v>-34.564792984627196</v>
      </c>
      <c r="M576" s="11">
        <f>ABS(L576/$V$6)</f>
        <v>0.10077199120882564</v>
      </c>
      <c r="N576" s="11">
        <f>L576*SIN(RADIANS(K576))</f>
        <v>-31.817059700928198</v>
      </c>
      <c r="O576" s="11">
        <f>L576*COS(RADIANS(K576))</f>
        <v>-13.505540568881516</v>
      </c>
      <c r="P576" s="1">
        <v>2.193975906290885</v>
      </c>
      <c r="Q576" s="1">
        <v>0.25333363835624112</v>
      </c>
      <c r="R576" s="1">
        <f>P576/Q576</f>
        <v>8.6604207815690355</v>
      </c>
    </row>
    <row r="577" spans="10:11" x14ac:dyDescent="0.35">
      <c r="J577" s="5"/>
      <c r="K577" s="5"/>
    </row>
  </sheetData>
  <autoFilter ref="A1:R576" xr:uid="{00000000-0009-0000-0000-000001000000}"/>
  <conditionalFormatting sqref="M2:M576">
    <cfRule type="cellIs" dxfId="2" priority="1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Camelia Calin</cp:lastModifiedBy>
  <dcterms:modified xsi:type="dcterms:W3CDTF">2026-09-22T18:44:33Z</dcterms:modified>
</cp:coreProperties>
</file>